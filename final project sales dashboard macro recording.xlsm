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7.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mc:AlternateContent xmlns:mc="http://schemas.openxmlformats.org/markup-compatibility/2006">
    <mc:Choice Requires="x15">
      <x15ac:absPath xmlns:x15ac="http://schemas.microsoft.com/office/spreadsheetml/2010/11/ac" url="D:\Dashboard project Excel\"/>
    </mc:Choice>
  </mc:AlternateContent>
  <xr:revisionPtr revIDLastSave="0" documentId="13_ncr:1_{9110352D-2064-4408-B106-1BDF9563C140}" xr6:coauthVersionLast="47" xr6:coauthVersionMax="47" xr10:uidLastSave="{00000000-0000-0000-0000-000000000000}"/>
  <workbookProtection workbookAlgorithmName="SHA-512" workbookHashValue="42Hl8yAKl1zsZnxXFNX0oVkB9N+5paAyeTA4OasGtJQhSq21zG4bYLkdTx00PtXJ6JOkNbK8K2l1exEZPwE0jw==" workbookSaltValue="/3h6NqOMlnAPm4l3uKwLzw==" workbookSpinCount="100000" lockStructure="1"/>
  <bookViews>
    <workbookView xWindow="-108" yWindow="-108" windowWidth="23256" windowHeight="12456" firstSheet="1" activeTab="8" xr2:uid="{00000000-000D-0000-FFFF-FFFF00000000}"/>
  </bookViews>
  <sheets>
    <sheet name="Dataset " sheetId="1" r:id="rId1"/>
    <sheet name="time range " sheetId="4" r:id="rId2"/>
    <sheet name="sales analysis" sheetId="6" r:id="rId3"/>
    <sheet name="Sheet5" sheetId="11" r:id="rId4"/>
    <sheet name="Sheet3" sheetId="9" r:id="rId5"/>
    <sheet name="am pm" sheetId="8" r:id="rId6"/>
    <sheet name="country" sheetId="12" r:id="rId7"/>
    <sheet name="cleaned dataset" sheetId="2" r:id="rId8"/>
    <sheet name="dashbard" sheetId="3" r:id="rId9"/>
  </sheets>
  <externalReferences>
    <externalReference r:id="rId10"/>
  </externalReferences>
  <definedNames>
    <definedName name="ExternalData_1" localSheetId="7" hidden="1">'cleaned dataset'!$B$1:$K$999</definedName>
    <definedName name="Slicer_Payment_Type">#N/A</definedName>
    <definedName name="Slicer_Time_range">#N/A</definedName>
    <definedName name="Slicer_Weekdays">#N/A</definedName>
  </definedNames>
  <calcPr calcId="191029"/>
  <pivotCaches>
    <pivotCache cacheId="0" r:id="rId11"/>
  </pivotCaches>
  <extLs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9" l="1"/>
  <c r="A39" i="9"/>
  <c r="E4" i="11"/>
  <c r="E9" i="11"/>
  <c r="F9" i="11" s="1"/>
  <c r="E8" i="11"/>
  <c r="F8" i="11" s="1"/>
  <c r="E7" i="11"/>
  <c r="F7" i="11" s="1"/>
  <c r="C11" i="8"/>
  <c r="B11" i="8"/>
  <c r="A11" i="8"/>
  <c r="C10" i="8"/>
  <c r="B10" i="8"/>
  <c r="A10" i="8"/>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F79" i="6"/>
  <c r="B39" i="9"/>
  <c r="E39" i="9"/>
  <c r="E12" i="11" l="1"/>
  <c r="E15" i="11" s="1"/>
  <c r="H14" i="6" l="1"/>
  <c r="G14" i="6"/>
  <c r="F14" i="6"/>
  <c r="D15" i="6"/>
  <c r="B15" i="6"/>
  <c r="E25" i="6" l="1"/>
  <c r="E15" i="6"/>
  <c r="B22" i="6" s="1"/>
  <c r="B23" i="6" s="1"/>
  <c r="H15" i="6"/>
  <c r="G15" i="6"/>
  <c r="F15" i="6"/>
  <c r="B4" i="4"/>
  <c r="B5" i="4" s="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2" i="1"/>
  <c r="L999" i="2" l="1"/>
  <c r="L998" i="2"/>
  <c r="L997" i="2"/>
  <c r="L996" i="2"/>
  <c r="L995" i="2"/>
  <c r="L994" i="2"/>
  <c r="L993" i="2"/>
  <c r="L992" i="2"/>
  <c r="L991" i="2"/>
  <c r="L990" i="2"/>
  <c r="L989" i="2"/>
  <c r="L988" i="2"/>
  <c r="L987" i="2"/>
  <c r="L986" i="2"/>
  <c r="L985" i="2"/>
  <c r="L984" i="2"/>
  <c r="L983" i="2"/>
  <c r="L982" i="2"/>
  <c r="L981" i="2"/>
  <c r="L980" i="2"/>
  <c r="L979" i="2"/>
  <c r="L978" i="2"/>
  <c r="L977" i="2"/>
  <c r="L976" i="2"/>
  <c r="L975" i="2"/>
  <c r="L974" i="2"/>
  <c r="L973" i="2"/>
  <c r="L972" i="2"/>
  <c r="L971" i="2"/>
  <c r="L970" i="2"/>
  <c r="L969" i="2"/>
  <c r="L968" i="2"/>
  <c r="L967" i="2"/>
  <c r="L966" i="2"/>
  <c r="L965" i="2"/>
  <c r="L964" i="2"/>
  <c r="L963" i="2"/>
  <c r="L962" i="2"/>
  <c r="L961" i="2"/>
  <c r="L960" i="2"/>
  <c r="L959" i="2"/>
  <c r="L958" i="2"/>
  <c r="L957" i="2"/>
  <c r="L956" i="2"/>
  <c r="L955" i="2"/>
  <c r="L954" i="2"/>
  <c r="L953" i="2"/>
  <c r="L952" i="2"/>
  <c r="L951" i="2"/>
  <c r="L950" i="2"/>
  <c r="L949" i="2"/>
  <c r="L948" i="2"/>
  <c r="L947" i="2"/>
  <c r="L946" i="2"/>
  <c r="L945" i="2"/>
  <c r="L944" i="2"/>
  <c r="L943" i="2"/>
  <c r="L942" i="2"/>
  <c r="L941" i="2"/>
  <c r="L940" i="2"/>
  <c r="L939" i="2"/>
  <c r="L938" i="2"/>
  <c r="L937" i="2"/>
  <c r="L936" i="2"/>
  <c r="L935" i="2"/>
  <c r="L934" i="2"/>
  <c r="L933" i="2"/>
  <c r="L932" i="2"/>
  <c r="L931" i="2"/>
  <c r="L930" i="2"/>
  <c r="L929" i="2"/>
  <c r="L928" i="2"/>
  <c r="L927" i="2"/>
  <c r="L926" i="2"/>
  <c r="L925" i="2"/>
  <c r="L924" i="2"/>
  <c r="L923" i="2"/>
  <c r="L922" i="2"/>
  <c r="L921" i="2"/>
  <c r="L920" i="2"/>
  <c r="L919" i="2"/>
  <c r="L918" i="2"/>
  <c r="L917" i="2"/>
  <c r="L916" i="2"/>
  <c r="L915" i="2"/>
  <c r="L914" i="2"/>
  <c r="L913" i="2"/>
  <c r="L912" i="2"/>
  <c r="L911" i="2"/>
  <c r="L910" i="2"/>
  <c r="L909" i="2"/>
  <c r="L908" i="2"/>
  <c r="L907" i="2"/>
  <c r="L906" i="2"/>
  <c r="L905" i="2"/>
  <c r="L904" i="2"/>
  <c r="L903" i="2"/>
  <c r="L902" i="2"/>
  <c r="L901" i="2"/>
  <c r="L900" i="2"/>
  <c r="L899" i="2"/>
  <c r="L898" i="2"/>
  <c r="L897" i="2"/>
  <c r="L896" i="2"/>
  <c r="L895" i="2"/>
  <c r="L894" i="2"/>
  <c r="L893" i="2"/>
  <c r="L892" i="2"/>
  <c r="L891" i="2"/>
  <c r="L890" i="2"/>
  <c r="L889" i="2"/>
  <c r="L888" i="2"/>
  <c r="L887" i="2"/>
  <c r="L886" i="2"/>
  <c r="L885" i="2"/>
  <c r="L884" i="2"/>
  <c r="L883" i="2"/>
  <c r="L882" i="2"/>
  <c r="L881" i="2"/>
  <c r="L880" i="2"/>
  <c r="L879" i="2"/>
  <c r="L878" i="2"/>
  <c r="L877" i="2"/>
  <c r="L876" i="2"/>
  <c r="L875" i="2"/>
  <c r="L874" i="2"/>
  <c r="L873" i="2"/>
  <c r="L872" i="2"/>
  <c r="L871" i="2"/>
  <c r="L870" i="2"/>
  <c r="L869" i="2"/>
  <c r="L868" i="2"/>
  <c r="L867" i="2"/>
  <c r="L866" i="2"/>
  <c r="L865" i="2"/>
  <c r="L864" i="2"/>
  <c r="L863" i="2"/>
  <c r="L862" i="2"/>
  <c r="L861" i="2"/>
  <c r="L860" i="2"/>
  <c r="L859" i="2"/>
  <c r="L858" i="2"/>
  <c r="L857" i="2"/>
  <c r="L856" i="2"/>
  <c r="L855" i="2"/>
  <c r="L854" i="2"/>
  <c r="L853" i="2"/>
  <c r="L852" i="2"/>
  <c r="L851" i="2"/>
  <c r="L850" i="2"/>
  <c r="L849" i="2"/>
  <c r="L848" i="2"/>
  <c r="L847" i="2"/>
  <c r="L846" i="2"/>
  <c r="L845" i="2"/>
  <c r="L844" i="2"/>
  <c r="L843" i="2"/>
  <c r="L842" i="2"/>
  <c r="L841" i="2"/>
  <c r="L840" i="2"/>
  <c r="L839" i="2"/>
  <c r="L838" i="2"/>
  <c r="L837" i="2"/>
  <c r="L836" i="2"/>
  <c r="L835" i="2"/>
  <c r="L834" i="2"/>
  <c r="L833" i="2"/>
  <c r="L832" i="2"/>
  <c r="L831" i="2"/>
  <c r="L830" i="2"/>
  <c r="L829" i="2"/>
  <c r="L828" i="2"/>
  <c r="L827" i="2"/>
  <c r="L826" i="2"/>
  <c r="L825" i="2"/>
  <c r="L824" i="2"/>
  <c r="L823" i="2"/>
  <c r="L822" i="2"/>
  <c r="L821" i="2"/>
  <c r="L820" i="2"/>
  <c r="L819" i="2"/>
  <c r="L818" i="2"/>
  <c r="L817" i="2"/>
  <c r="L816" i="2"/>
  <c r="L815" i="2"/>
  <c r="L814" i="2"/>
  <c r="L813" i="2"/>
  <c r="L812" i="2"/>
  <c r="L811" i="2"/>
  <c r="L810" i="2"/>
  <c r="L809" i="2"/>
  <c r="L808" i="2"/>
  <c r="L807" i="2"/>
  <c r="L806" i="2"/>
  <c r="L805" i="2"/>
  <c r="L804" i="2"/>
  <c r="L803" i="2"/>
  <c r="L802" i="2"/>
  <c r="L801" i="2"/>
  <c r="L800" i="2"/>
  <c r="L799" i="2"/>
  <c r="L798" i="2"/>
  <c r="L797" i="2"/>
  <c r="L796" i="2"/>
  <c r="L795" i="2"/>
  <c r="L794" i="2"/>
  <c r="L793" i="2"/>
  <c r="L792" i="2"/>
  <c r="L791" i="2"/>
  <c r="L790" i="2"/>
  <c r="L789" i="2"/>
  <c r="L788" i="2"/>
  <c r="L787" i="2"/>
  <c r="L786" i="2"/>
  <c r="L785" i="2"/>
  <c r="L784" i="2"/>
  <c r="L783" i="2"/>
  <c r="L782" i="2"/>
  <c r="L781" i="2"/>
  <c r="L780" i="2"/>
  <c r="L779" i="2"/>
  <c r="L778" i="2"/>
  <c r="L777" i="2"/>
  <c r="L776" i="2"/>
  <c r="L775" i="2"/>
  <c r="L774" i="2"/>
  <c r="L773" i="2"/>
  <c r="L772" i="2"/>
  <c r="L771" i="2"/>
  <c r="L770" i="2"/>
  <c r="L769" i="2"/>
  <c r="L768" i="2"/>
  <c r="L767" i="2"/>
  <c r="L766" i="2"/>
  <c r="L765" i="2"/>
  <c r="L764" i="2"/>
  <c r="L763" i="2"/>
  <c r="L762" i="2"/>
  <c r="L761" i="2"/>
  <c r="L760" i="2"/>
  <c r="L759" i="2"/>
  <c r="L758" i="2"/>
  <c r="L757" i="2"/>
  <c r="L756" i="2"/>
  <c r="L755" i="2"/>
  <c r="L754" i="2"/>
  <c r="L753" i="2"/>
  <c r="L752" i="2"/>
  <c r="L751" i="2"/>
  <c r="L750" i="2"/>
  <c r="L749" i="2"/>
  <c r="L748" i="2"/>
  <c r="L747" i="2"/>
  <c r="L746" i="2"/>
  <c r="L745" i="2"/>
  <c r="L744" i="2"/>
  <c r="L743" i="2"/>
  <c r="L742" i="2"/>
  <c r="L741" i="2"/>
  <c r="L740" i="2"/>
  <c r="L739" i="2"/>
  <c r="L738" i="2"/>
  <c r="L737" i="2"/>
  <c r="L736" i="2"/>
  <c r="L735" i="2"/>
  <c r="L734" i="2"/>
  <c r="L733" i="2"/>
  <c r="L732" i="2"/>
  <c r="L731" i="2"/>
  <c r="L730" i="2"/>
  <c r="L729" i="2"/>
  <c r="L728" i="2"/>
  <c r="L727" i="2"/>
  <c r="L726" i="2"/>
  <c r="L725" i="2"/>
  <c r="L724" i="2"/>
  <c r="L723" i="2"/>
  <c r="L722" i="2"/>
  <c r="L721" i="2"/>
  <c r="L720" i="2"/>
  <c r="L719" i="2"/>
  <c r="L718" i="2"/>
  <c r="L717" i="2"/>
  <c r="L716" i="2"/>
  <c r="L715" i="2"/>
  <c r="L714" i="2"/>
  <c r="L713" i="2"/>
  <c r="L712" i="2"/>
  <c r="L711" i="2"/>
  <c r="L710" i="2"/>
  <c r="L709" i="2"/>
  <c r="L708" i="2"/>
  <c r="L707" i="2"/>
  <c r="L706" i="2"/>
  <c r="L705" i="2"/>
  <c r="L704" i="2"/>
  <c r="L703" i="2"/>
  <c r="L702" i="2"/>
  <c r="L701" i="2"/>
  <c r="L700" i="2"/>
  <c r="L699" i="2"/>
  <c r="L698" i="2"/>
  <c r="L697" i="2"/>
  <c r="L696" i="2"/>
  <c r="L695" i="2"/>
  <c r="L694" i="2"/>
  <c r="L693" i="2"/>
  <c r="L692" i="2"/>
  <c r="L691" i="2"/>
  <c r="L690" i="2"/>
  <c r="L689" i="2"/>
  <c r="L688" i="2"/>
  <c r="L687" i="2"/>
  <c r="L686" i="2"/>
  <c r="L685" i="2"/>
  <c r="L684" i="2"/>
  <c r="L683" i="2"/>
  <c r="L682" i="2"/>
  <c r="L681" i="2"/>
  <c r="L680" i="2"/>
  <c r="L679" i="2"/>
  <c r="L678" i="2"/>
  <c r="L677" i="2"/>
  <c r="L676" i="2"/>
  <c r="L675" i="2"/>
  <c r="L674" i="2"/>
  <c r="L673" i="2"/>
  <c r="L672" i="2"/>
  <c r="L671" i="2"/>
  <c r="L670" i="2"/>
  <c r="L669" i="2"/>
  <c r="L668" i="2"/>
  <c r="L667" i="2"/>
  <c r="L666" i="2"/>
  <c r="L665" i="2"/>
  <c r="L664" i="2"/>
  <c r="L663" i="2"/>
  <c r="L662" i="2"/>
  <c r="L661" i="2"/>
  <c r="L660" i="2"/>
  <c r="L659" i="2"/>
  <c r="L658" i="2"/>
  <c r="L657" i="2"/>
  <c r="L656" i="2"/>
  <c r="L655" i="2"/>
  <c r="L654" i="2"/>
  <c r="L653" i="2"/>
  <c r="L652" i="2"/>
  <c r="L651" i="2"/>
  <c r="L650" i="2"/>
  <c r="L649" i="2"/>
  <c r="L648" i="2"/>
  <c r="L647" i="2"/>
  <c r="L646" i="2"/>
  <c r="L645" i="2"/>
  <c r="L644" i="2"/>
  <c r="L643" i="2"/>
  <c r="L642" i="2"/>
  <c r="L641" i="2"/>
  <c r="L640" i="2"/>
  <c r="L639" i="2"/>
  <c r="L638" i="2"/>
  <c r="L637" i="2"/>
  <c r="L636" i="2"/>
  <c r="L635" i="2"/>
  <c r="L634" i="2"/>
  <c r="L633" i="2"/>
  <c r="L632" i="2"/>
  <c r="L631" i="2"/>
  <c r="L630" i="2"/>
  <c r="L629" i="2"/>
  <c r="L628" i="2"/>
  <c r="L627" i="2"/>
  <c r="L626" i="2"/>
  <c r="L625" i="2"/>
  <c r="L624" i="2"/>
  <c r="L623" i="2"/>
  <c r="L622" i="2"/>
  <c r="L621" i="2"/>
  <c r="L620" i="2"/>
  <c r="L619" i="2"/>
  <c r="L618" i="2"/>
  <c r="L617" i="2"/>
  <c r="L616" i="2"/>
  <c r="L615" i="2"/>
  <c r="L614" i="2"/>
  <c r="L613" i="2"/>
  <c r="L612" i="2"/>
  <c r="L611" i="2"/>
  <c r="L610" i="2"/>
  <c r="L609" i="2"/>
  <c r="L608" i="2"/>
  <c r="L607" i="2"/>
  <c r="L606" i="2"/>
  <c r="L605" i="2"/>
  <c r="L604" i="2"/>
  <c r="L603" i="2"/>
  <c r="L602" i="2"/>
  <c r="L601" i="2"/>
  <c r="L600" i="2"/>
  <c r="L599" i="2"/>
  <c r="L598" i="2"/>
  <c r="L597" i="2"/>
  <c r="L596" i="2"/>
  <c r="L595" i="2"/>
  <c r="L594" i="2"/>
  <c r="L593" i="2"/>
  <c r="L592" i="2"/>
  <c r="L591" i="2"/>
  <c r="L590" i="2"/>
  <c r="L589" i="2"/>
  <c r="L588" i="2"/>
  <c r="L587" i="2"/>
  <c r="L586" i="2"/>
  <c r="L585" i="2"/>
  <c r="L584" i="2"/>
  <c r="L583" i="2"/>
  <c r="L582" i="2"/>
  <c r="L581" i="2"/>
  <c r="L580" i="2"/>
  <c r="L579" i="2"/>
  <c r="L578" i="2"/>
  <c r="L577" i="2"/>
  <c r="L576" i="2"/>
  <c r="L575" i="2"/>
  <c r="L574" i="2"/>
  <c r="L573" i="2"/>
  <c r="L572" i="2"/>
  <c r="L571" i="2"/>
  <c r="L570" i="2"/>
  <c r="L569" i="2"/>
  <c r="L568" i="2"/>
  <c r="L567" i="2"/>
  <c r="L566" i="2"/>
  <c r="L565" i="2"/>
  <c r="L564" i="2"/>
  <c r="L563" i="2"/>
  <c r="L562" i="2"/>
  <c r="L561" i="2"/>
  <c r="L560" i="2"/>
  <c r="L559" i="2"/>
  <c r="L558" i="2"/>
  <c r="L557" i="2"/>
  <c r="L556" i="2"/>
  <c r="L555" i="2"/>
  <c r="L554" i="2"/>
  <c r="L553" i="2"/>
  <c r="L552" i="2"/>
  <c r="L551" i="2"/>
  <c r="L550" i="2"/>
  <c r="L549" i="2"/>
  <c r="L548" i="2"/>
  <c r="L547" i="2"/>
  <c r="L546" i="2"/>
  <c r="L545" i="2"/>
  <c r="L544" i="2"/>
  <c r="L543" i="2"/>
  <c r="L542" i="2"/>
  <c r="L541" i="2"/>
  <c r="L540" i="2"/>
  <c r="L539" i="2"/>
  <c r="L538" i="2"/>
  <c r="L537" i="2"/>
  <c r="L536" i="2"/>
  <c r="L535" i="2"/>
  <c r="L534" i="2"/>
  <c r="L533" i="2"/>
  <c r="L532" i="2"/>
  <c r="L531" i="2"/>
  <c r="L530" i="2"/>
  <c r="L529" i="2"/>
  <c r="L528" i="2"/>
  <c r="L527" i="2"/>
  <c r="L526" i="2"/>
  <c r="L525" i="2"/>
  <c r="L524" i="2"/>
  <c r="L523" i="2"/>
  <c r="L522" i="2"/>
  <c r="L521" i="2"/>
  <c r="L520" i="2"/>
  <c r="L519" i="2"/>
  <c r="L518" i="2"/>
  <c r="L517" i="2"/>
  <c r="L516" i="2"/>
  <c r="L515" i="2"/>
  <c r="L514" i="2"/>
  <c r="L513" i="2"/>
  <c r="L512" i="2"/>
  <c r="L511" i="2"/>
  <c r="L510" i="2"/>
  <c r="L509" i="2"/>
  <c r="L508" i="2"/>
  <c r="L507" i="2"/>
  <c r="L506" i="2"/>
  <c r="L505" i="2"/>
  <c r="L504" i="2"/>
  <c r="L503" i="2"/>
  <c r="L502" i="2"/>
  <c r="L501" i="2"/>
  <c r="L500" i="2"/>
  <c r="L499" i="2"/>
  <c r="L498" i="2"/>
  <c r="L497" i="2"/>
  <c r="L496" i="2"/>
  <c r="L495" i="2"/>
  <c r="L494" i="2"/>
  <c r="L493" i="2"/>
  <c r="L492" i="2"/>
  <c r="L491" i="2"/>
  <c r="L490" i="2"/>
  <c r="L489" i="2"/>
  <c r="L488" i="2"/>
  <c r="L487" i="2"/>
  <c r="L486" i="2"/>
  <c r="L485" i="2"/>
  <c r="L484" i="2"/>
  <c r="L483" i="2"/>
  <c r="L482" i="2"/>
  <c r="L481" i="2"/>
  <c r="L480" i="2"/>
  <c r="L479" i="2"/>
  <c r="L478" i="2"/>
  <c r="L477" i="2"/>
  <c r="L476" i="2"/>
  <c r="L475" i="2"/>
  <c r="L474" i="2"/>
  <c r="L473" i="2"/>
  <c r="L472" i="2"/>
  <c r="L471" i="2"/>
  <c r="L470" i="2"/>
  <c r="L469" i="2"/>
  <c r="L468" i="2"/>
  <c r="L467" i="2"/>
  <c r="L466" i="2"/>
  <c r="L465" i="2"/>
  <c r="L464" i="2"/>
  <c r="L463" i="2"/>
  <c r="L462" i="2"/>
  <c r="L461" i="2"/>
  <c r="L460" i="2"/>
  <c r="L459" i="2"/>
  <c r="L458" i="2"/>
  <c r="L457" i="2"/>
  <c r="L456" i="2"/>
  <c r="L455" i="2"/>
  <c r="L454" i="2"/>
  <c r="L453" i="2"/>
  <c r="L452" i="2"/>
  <c r="L451" i="2"/>
  <c r="L450" i="2"/>
  <c r="L449" i="2"/>
  <c r="L448" i="2"/>
  <c r="L447" i="2"/>
  <c r="L446" i="2"/>
  <c r="L445" i="2"/>
  <c r="L444" i="2"/>
  <c r="L443" i="2"/>
  <c r="L442" i="2"/>
  <c r="L441" i="2"/>
  <c r="L440" i="2"/>
  <c r="L439" i="2"/>
  <c r="L438" i="2"/>
  <c r="L437" i="2"/>
  <c r="L436" i="2"/>
  <c r="L435" i="2"/>
  <c r="L434" i="2"/>
  <c r="L433" i="2"/>
  <c r="L432" i="2"/>
  <c r="L431" i="2"/>
  <c r="L430" i="2"/>
  <c r="L429" i="2"/>
  <c r="L428" i="2"/>
  <c r="L427" i="2"/>
  <c r="L426" i="2"/>
  <c r="L425" i="2"/>
  <c r="L424" i="2"/>
  <c r="L423" i="2"/>
  <c r="L422" i="2"/>
  <c r="L421" i="2"/>
  <c r="L420" i="2"/>
  <c r="L419" i="2"/>
  <c r="L418" i="2"/>
  <c r="L417" i="2"/>
  <c r="L416" i="2"/>
  <c r="L415" i="2"/>
  <c r="L414" i="2"/>
  <c r="L413" i="2"/>
  <c r="L412" i="2"/>
  <c r="L411" i="2"/>
  <c r="L410" i="2"/>
  <c r="L409" i="2"/>
  <c r="L408" i="2"/>
  <c r="L407" i="2"/>
  <c r="L406" i="2"/>
  <c r="L405" i="2"/>
  <c r="L404" i="2"/>
  <c r="L403" i="2"/>
  <c r="L402" i="2"/>
  <c r="L401" i="2"/>
  <c r="L400" i="2"/>
  <c r="L399" i="2"/>
  <c r="L398" i="2"/>
  <c r="L397" i="2"/>
  <c r="L396" i="2"/>
  <c r="L395" i="2"/>
  <c r="L394" i="2"/>
  <c r="L393" i="2"/>
  <c r="L392" i="2"/>
  <c r="L391" i="2"/>
  <c r="L390" i="2"/>
  <c r="L389" i="2"/>
  <c r="L388" i="2"/>
  <c r="L387" i="2"/>
  <c r="L386" i="2"/>
  <c r="L385" i="2"/>
  <c r="L384" i="2"/>
  <c r="L383" i="2"/>
  <c r="L382" i="2"/>
  <c r="L381" i="2"/>
  <c r="L380" i="2"/>
  <c r="L379" i="2"/>
  <c r="L378" i="2"/>
  <c r="L377" i="2"/>
  <c r="L376" i="2"/>
  <c r="L375" i="2"/>
  <c r="L374" i="2"/>
  <c r="L373" i="2"/>
  <c r="L372" i="2"/>
  <c r="L371" i="2"/>
  <c r="L370" i="2"/>
  <c r="L369" i="2"/>
  <c r="L368" i="2"/>
  <c r="L367" i="2"/>
  <c r="L366" i="2"/>
  <c r="L365" i="2"/>
  <c r="L364" i="2"/>
  <c r="L363" i="2"/>
  <c r="L362" i="2"/>
  <c r="L361" i="2"/>
  <c r="L360" i="2"/>
  <c r="L359" i="2"/>
  <c r="L358" i="2"/>
  <c r="L357" i="2"/>
  <c r="L356" i="2"/>
  <c r="L355" i="2"/>
  <c r="L354" i="2"/>
  <c r="L353" i="2"/>
  <c r="L352" i="2"/>
  <c r="L351" i="2"/>
  <c r="L350" i="2"/>
  <c r="L349" i="2"/>
  <c r="L348" i="2"/>
  <c r="L347" i="2"/>
  <c r="L346" i="2"/>
  <c r="L345" i="2"/>
  <c r="L344" i="2"/>
  <c r="L343" i="2"/>
  <c r="L342" i="2"/>
  <c r="L341" i="2"/>
  <c r="L340" i="2"/>
  <c r="L339" i="2"/>
  <c r="L338" i="2"/>
  <c r="L337" i="2"/>
  <c r="L336" i="2"/>
  <c r="L335" i="2"/>
  <c r="L334" i="2"/>
  <c r="L333" i="2"/>
  <c r="L332" i="2"/>
  <c r="L331" i="2"/>
  <c r="L330" i="2"/>
  <c r="L329" i="2"/>
  <c r="L328" i="2"/>
  <c r="L327" i="2"/>
  <c r="L326" i="2"/>
  <c r="L325" i="2"/>
  <c r="L324" i="2"/>
  <c r="L323" i="2"/>
  <c r="L322" i="2"/>
  <c r="L321" i="2"/>
  <c r="L320" i="2"/>
  <c r="L319" i="2"/>
  <c r="L318" i="2"/>
  <c r="L317" i="2"/>
  <c r="L316" i="2"/>
  <c r="L315" i="2"/>
  <c r="L314" i="2"/>
  <c r="L313" i="2"/>
  <c r="L312" i="2"/>
  <c r="L311" i="2"/>
  <c r="L310" i="2"/>
  <c r="L309" i="2"/>
  <c r="L308" i="2"/>
  <c r="L307" i="2"/>
  <c r="L306" i="2"/>
  <c r="L305" i="2"/>
  <c r="L304" i="2"/>
  <c r="L303" i="2"/>
  <c r="L302" i="2"/>
  <c r="L301" i="2"/>
  <c r="L300" i="2"/>
  <c r="L299" i="2"/>
  <c r="L298" i="2"/>
  <c r="L297" i="2"/>
  <c r="L296" i="2"/>
  <c r="L295" i="2"/>
  <c r="L294" i="2"/>
  <c r="L293" i="2"/>
  <c r="L292" i="2"/>
  <c r="L291" i="2"/>
  <c r="L290" i="2"/>
  <c r="L289" i="2"/>
  <c r="L288" i="2"/>
  <c r="L287" i="2"/>
  <c r="L286" i="2"/>
  <c r="L285" i="2"/>
  <c r="L284" i="2"/>
  <c r="L283" i="2"/>
  <c r="L282" i="2"/>
  <c r="L281" i="2"/>
  <c r="L280" i="2"/>
  <c r="L279" i="2"/>
  <c r="L278" i="2"/>
  <c r="L277" i="2"/>
  <c r="L276" i="2"/>
  <c r="L275" i="2"/>
  <c r="L274" i="2"/>
  <c r="L273" i="2"/>
  <c r="L272" i="2"/>
  <c r="L271" i="2"/>
  <c r="L270" i="2"/>
  <c r="L269" i="2"/>
  <c r="L268" i="2"/>
  <c r="L267" i="2"/>
  <c r="L266" i="2"/>
  <c r="L265" i="2"/>
  <c r="L264" i="2"/>
  <c r="L263" i="2"/>
  <c r="L262" i="2"/>
  <c r="L261" i="2"/>
  <c r="L260" i="2"/>
  <c r="L259" i="2"/>
  <c r="L258" i="2"/>
  <c r="L257" i="2"/>
  <c r="L256" i="2"/>
  <c r="L255" i="2"/>
  <c r="L254" i="2"/>
  <c r="L253" i="2"/>
  <c r="L252" i="2"/>
  <c r="L251" i="2"/>
  <c r="L250" i="2"/>
  <c r="L249" i="2"/>
  <c r="L248" i="2"/>
  <c r="L247" i="2"/>
  <c r="L246" i="2"/>
  <c r="L245" i="2"/>
  <c r="L244" i="2"/>
  <c r="L243" i="2"/>
  <c r="L242" i="2"/>
  <c r="L241" i="2"/>
  <c r="L240" i="2"/>
  <c r="L239" i="2"/>
  <c r="L238" i="2"/>
  <c r="L237" i="2"/>
  <c r="L236" i="2"/>
  <c r="L235" i="2"/>
  <c r="L234" i="2"/>
  <c r="L233" i="2"/>
  <c r="L232" i="2"/>
  <c r="L231" i="2"/>
  <c r="L230" i="2"/>
  <c r="L229" i="2"/>
  <c r="L228" i="2"/>
  <c r="L227" i="2"/>
  <c r="L226" i="2"/>
  <c r="L225" i="2"/>
  <c r="L224" i="2"/>
  <c r="L223" i="2"/>
  <c r="L222" i="2"/>
  <c r="L221" i="2"/>
  <c r="L220" i="2"/>
  <c r="L219" i="2"/>
  <c r="L218" i="2"/>
  <c r="L217" i="2"/>
  <c r="L216" i="2"/>
  <c r="L215" i="2"/>
  <c r="L214" i="2"/>
  <c r="L213" i="2"/>
  <c r="L212" i="2"/>
  <c r="L211" i="2"/>
  <c r="L210" i="2"/>
  <c r="L209" i="2"/>
  <c r="L208" i="2"/>
  <c r="L207" i="2"/>
  <c r="L206" i="2"/>
  <c r="L205" i="2"/>
  <c r="L204" i="2"/>
  <c r="L203" i="2"/>
  <c r="L202" i="2"/>
  <c r="L201" i="2"/>
  <c r="L200" i="2"/>
  <c r="L199" i="2"/>
  <c r="L198" i="2"/>
  <c r="L197" i="2"/>
  <c r="L196" i="2"/>
  <c r="L195" i="2"/>
  <c r="L194" i="2"/>
  <c r="L193" i="2"/>
  <c r="L192" i="2"/>
  <c r="L191" i="2"/>
  <c r="L190" i="2"/>
  <c r="L189" i="2"/>
  <c r="L188" i="2"/>
  <c r="L187" i="2"/>
  <c r="L186" i="2"/>
  <c r="L185" i="2"/>
  <c r="L184" i="2"/>
  <c r="L183" i="2"/>
  <c r="L182" i="2"/>
  <c r="L181" i="2"/>
  <c r="L180" i="2"/>
  <c r="L179" i="2"/>
  <c r="L178" i="2"/>
  <c r="L177" i="2"/>
  <c r="L176" i="2"/>
  <c r="L175" i="2"/>
  <c r="L174" i="2"/>
  <c r="L173" i="2"/>
  <c r="L172" i="2"/>
  <c r="L171" i="2"/>
  <c r="L170" i="2"/>
  <c r="L169" i="2"/>
  <c r="L168" i="2"/>
  <c r="L167" i="2"/>
  <c r="L166" i="2"/>
  <c r="L165" i="2"/>
  <c r="L164" i="2"/>
  <c r="L163" i="2"/>
  <c r="L162" i="2"/>
  <c r="L161" i="2"/>
  <c r="L160" i="2"/>
  <c r="L159" i="2"/>
  <c r="L158" i="2"/>
  <c r="L157" i="2"/>
  <c r="L156" i="2"/>
  <c r="L155" i="2"/>
  <c r="L154" i="2"/>
  <c r="L153" i="2"/>
  <c r="L152" i="2"/>
  <c r="L151" i="2"/>
  <c r="L150" i="2"/>
  <c r="L149" i="2"/>
  <c r="L148" i="2"/>
  <c r="L147" i="2"/>
  <c r="L146" i="2"/>
  <c r="L145" i="2"/>
  <c r="L144" i="2"/>
  <c r="L143" i="2"/>
  <c r="L142" i="2"/>
  <c r="L141" i="2"/>
  <c r="L140" i="2"/>
  <c r="L139" i="2"/>
  <c r="L138" i="2"/>
  <c r="L137" i="2"/>
  <c r="L136" i="2"/>
  <c r="L135" i="2"/>
  <c r="L134" i="2"/>
  <c r="L133" i="2"/>
  <c r="L132" i="2"/>
  <c r="L131" i="2"/>
  <c r="L130" i="2"/>
  <c r="L129" i="2"/>
  <c r="L128" i="2"/>
  <c r="L127" i="2"/>
  <c r="L126" i="2"/>
  <c r="L125" i="2"/>
  <c r="L124" i="2"/>
  <c r="L123" i="2"/>
  <c r="L122" i="2"/>
  <c r="L121" i="2"/>
  <c r="L120" i="2"/>
  <c r="L119" i="2"/>
  <c r="L118" i="2"/>
  <c r="L117" i="2"/>
  <c r="L116" i="2"/>
  <c r="L115" i="2"/>
  <c r="L114" i="2"/>
  <c r="L113" i="2"/>
  <c r="L112" i="2"/>
  <c r="L111" i="2"/>
  <c r="L110" i="2"/>
  <c r="L109" i="2"/>
  <c r="L108" i="2"/>
  <c r="L107" i="2"/>
  <c r="L106" i="2"/>
  <c r="L105" i="2"/>
  <c r="L104" i="2"/>
  <c r="L103" i="2"/>
  <c r="L102" i="2"/>
  <c r="L101" i="2"/>
  <c r="L100" i="2"/>
  <c r="L99" i="2"/>
  <c r="L98" i="2"/>
  <c r="L97" i="2"/>
  <c r="L96" i="2"/>
  <c r="L95" i="2"/>
  <c r="L94" i="2"/>
  <c r="L93" i="2"/>
  <c r="L92" i="2"/>
  <c r="L91" i="2"/>
  <c r="L90" i="2"/>
  <c r="L89" i="2"/>
  <c r="L88" i="2"/>
  <c r="L87" i="2"/>
  <c r="L86" i="2"/>
  <c r="L85" i="2"/>
  <c r="L84" i="2"/>
  <c r="L83" i="2"/>
  <c r="L82" i="2"/>
  <c r="L81" i="2"/>
  <c r="L80" i="2"/>
  <c r="L79" i="2"/>
  <c r="L78" i="2"/>
  <c r="L77" i="2"/>
  <c r="L76" i="2"/>
  <c r="L75" i="2"/>
  <c r="L74" i="2"/>
  <c r="L73" i="2"/>
  <c r="L72" i="2"/>
  <c r="L71" i="2"/>
  <c r="L70" i="2"/>
  <c r="L69" i="2"/>
  <c r="L68" i="2"/>
  <c r="L67" i="2"/>
  <c r="L66" i="2"/>
  <c r="L65" i="2"/>
  <c r="L64" i="2"/>
  <c r="L63" i="2"/>
  <c r="L62" i="2"/>
  <c r="L61" i="2"/>
  <c r="L60" i="2"/>
  <c r="L59" i="2"/>
  <c r="L58" i="2"/>
  <c r="L57" i="2"/>
  <c r="L56" i="2"/>
  <c r="L55" i="2"/>
  <c r="L54" i="2"/>
  <c r="L53" i="2"/>
  <c r="L52" i="2"/>
  <c r="L51" i="2"/>
  <c r="L50" i="2"/>
  <c r="L49" i="2"/>
  <c r="L48" i="2"/>
  <c r="L47" i="2"/>
  <c r="L46" i="2"/>
  <c r="L45" i="2"/>
  <c r="L44" i="2"/>
  <c r="L43" i="2"/>
  <c r="L42" i="2"/>
  <c r="L41" i="2"/>
  <c r="L40" i="2"/>
  <c r="L39" i="2"/>
  <c r="L38" i="2"/>
  <c r="L37" i="2"/>
  <c r="L36" i="2"/>
  <c r="L35" i="2"/>
  <c r="L34" i="2"/>
  <c r="L33" i="2"/>
  <c r="L32" i="2"/>
  <c r="L31" i="2"/>
  <c r="L30" i="2"/>
  <c r="L29" i="2"/>
  <c r="L28" i="2"/>
  <c r="L27" i="2"/>
  <c r="L26" i="2"/>
  <c r="L25" i="2"/>
  <c r="L24" i="2"/>
  <c r="L23" i="2"/>
  <c r="L22" i="2"/>
  <c r="L21" i="2"/>
  <c r="L20" i="2"/>
  <c r="L19" i="2"/>
  <c r="L18" i="2"/>
  <c r="L17" i="2"/>
  <c r="L16" i="2"/>
  <c r="L15" i="2"/>
  <c r="L14" i="2"/>
  <c r="L13" i="2"/>
  <c r="L12" i="2"/>
  <c r="L11" i="2"/>
  <c r="L10" i="2"/>
  <c r="L9" i="2"/>
  <c r="L8" i="2"/>
  <c r="L7" i="2"/>
  <c r="L6" i="2"/>
  <c r="L5" i="2"/>
  <c r="L4" i="2"/>
  <c r="L3" i="2"/>
  <c r="L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E75513E-5E1A-41FA-A9DA-77290B921B75}" keepAlive="1" name="Query - Table1" description="Connection to the 'Table1' query in the workbook." type="5" refreshedVersion="6"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<sst xmlns="http://schemas.openxmlformats.org/spreadsheetml/2006/main" count="12188" uniqueCount="1813">
  <si>
    <t>Product</t>
  </si>
  <si>
    <t>Sales</t>
  </si>
  <si>
    <t>Payment_Type</t>
  </si>
  <si>
    <t>Buyers name</t>
  </si>
  <si>
    <t>City</t>
  </si>
  <si>
    <t>State</t>
  </si>
  <si>
    <t>Country</t>
  </si>
  <si>
    <t>Last_Login</t>
  </si>
  <si>
    <t>Latitude</t>
  </si>
  <si>
    <t>Longitude</t>
  </si>
  <si>
    <t>US Zip</t>
  </si>
  <si>
    <t>Product1</t>
  </si>
  <si>
    <t>Visa</t>
  </si>
  <si>
    <t>Betina</t>
  </si>
  <si>
    <t>Parkville</t>
  </si>
  <si>
    <t>MO</t>
  </si>
  <si>
    <t>United States</t>
  </si>
  <si>
    <t>Mastercard</t>
  </si>
  <si>
    <t>Federica e Andrea</t>
  </si>
  <si>
    <t>Astoria</t>
  </si>
  <si>
    <t>OR</t>
  </si>
  <si>
    <t>Product2</t>
  </si>
  <si>
    <t>Gerd W</t>
  </si>
  <si>
    <t>Cahaba Heights</t>
  </si>
  <si>
    <t>AL</t>
  </si>
  <si>
    <t>LAURENCE</t>
  </si>
  <si>
    <t>Mickleton</t>
  </si>
  <si>
    <t>NJ</t>
  </si>
  <si>
    <t>Fleur</t>
  </si>
  <si>
    <t>Peoria</t>
  </si>
  <si>
    <t>IL</t>
  </si>
  <si>
    <t>adam</t>
  </si>
  <si>
    <t>Martin</t>
  </si>
  <si>
    <t>TN</t>
  </si>
  <si>
    <t>Stacy</t>
  </si>
  <si>
    <t>New York</t>
  </si>
  <si>
    <t>NY</t>
  </si>
  <si>
    <t>Sean</t>
  </si>
  <si>
    <t>Shavano Park</t>
  </si>
  <si>
    <t>TX</t>
  </si>
  <si>
    <t>Georgia</t>
  </si>
  <si>
    <t>Eagle</t>
  </si>
  <si>
    <t>ID</t>
  </si>
  <si>
    <t>Richard</t>
  </si>
  <si>
    <t>Riverside</t>
  </si>
  <si>
    <t>Hani</t>
  </si>
  <si>
    <t>Salt Lake City</t>
  </si>
  <si>
    <t>UT</t>
  </si>
  <si>
    <t>asuman</t>
  </si>
  <si>
    <t>Chula Vista</t>
  </si>
  <si>
    <t>CA</t>
  </si>
  <si>
    <t>Lisa</t>
  </si>
  <si>
    <t>Sugar Land</t>
  </si>
  <si>
    <t>Bryan Kerrene</t>
  </si>
  <si>
    <t>Maxine</t>
  </si>
  <si>
    <t>Morton</t>
  </si>
  <si>
    <t>Family</t>
  </si>
  <si>
    <t>Los Gatos</t>
  </si>
  <si>
    <t>Katherine</t>
  </si>
  <si>
    <t>Linda</t>
  </si>
  <si>
    <t>Miami</t>
  </si>
  <si>
    <t>FL</t>
  </si>
  <si>
    <t>Sheila</t>
  </si>
  <si>
    <t>Brooklyn</t>
  </si>
  <si>
    <t>Product3</t>
  </si>
  <si>
    <t>Amex</t>
  </si>
  <si>
    <t>Kelly</t>
  </si>
  <si>
    <t>Reston</t>
  </si>
  <si>
    <t>VA</t>
  </si>
  <si>
    <t>jennifer</t>
  </si>
  <si>
    <t>Phoenix</t>
  </si>
  <si>
    <t>AZ</t>
  </si>
  <si>
    <t>Anneli</t>
  </si>
  <si>
    <t>Houston</t>
  </si>
  <si>
    <t>Ritz</t>
  </si>
  <si>
    <t>Pittsfield</t>
  </si>
  <si>
    <t>VT</t>
  </si>
  <si>
    <t>Sylvia</t>
  </si>
  <si>
    <t>Marie</t>
  </si>
  <si>
    <t>Ball Ground</t>
  </si>
  <si>
    <t>GA</t>
  </si>
  <si>
    <t>Anabela</t>
  </si>
  <si>
    <t>Flossmoor</t>
  </si>
  <si>
    <t>Nicole</t>
  </si>
  <si>
    <t>Christiane</t>
  </si>
  <si>
    <t>Delray Beach</t>
  </si>
  <si>
    <t>Vanessa</t>
  </si>
  <si>
    <t>Sandy Springs</t>
  </si>
  <si>
    <t>Karina</t>
  </si>
  <si>
    <t>Fort Lauderdale</t>
  </si>
  <si>
    <t>Angela</t>
  </si>
  <si>
    <t>Ankeny</t>
  </si>
  <si>
    <t>IA</t>
  </si>
  <si>
    <t>Darren</t>
  </si>
  <si>
    <t>Pittsboro</t>
  </si>
  <si>
    <t>NC</t>
  </si>
  <si>
    <t>Nikki</t>
  </si>
  <si>
    <t>New Rochelle</t>
  </si>
  <si>
    <t>June</t>
  </si>
  <si>
    <t>Beachwood</t>
  </si>
  <si>
    <t>OH</t>
  </si>
  <si>
    <t>chrissy</t>
  </si>
  <si>
    <t>W Lebanon</t>
  </si>
  <si>
    <t>NH</t>
  </si>
  <si>
    <t>Dottie</t>
  </si>
  <si>
    <t>Woodsboro</t>
  </si>
  <si>
    <t>MD</t>
  </si>
  <si>
    <t>Lynne</t>
  </si>
  <si>
    <t>Memphis</t>
  </si>
  <si>
    <t>Rosa Maria</t>
  </si>
  <si>
    <t>Cincinnati</t>
  </si>
  <si>
    <t>Gitte</t>
  </si>
  <si>
    <t>Staten Island</t>
  </si>
  <si>
    <t>Crystal</t>
  </si>
  <si>
    <t>Farmington</t>
  </si>
  <si>
    <t>MI</t>
  </si>
  <si>
    <t>Delphine</t>
  </si>
  <si>
    <t>Santa Monica</t>
  </si>
  <si>
    <t>Valda</t>
  </si>
  <si>
    <t>Irvine</t>
  </si>
  <si>
    <t>Clare</t>
  </si>
  <si>
    <t>Keller</t>
  </si>
  <si>
    <t>ZENA</t>
  </si>
  <si>
    <t>Honolulu</t>
  </si>
  <si>
    <t>HI</t>
  </si>
  <si>
    <t>Rennae</t>
  </si>
  <si>
    <t>Amelia Island</t>
  </si>
  <si>
    <t>Tod</t>
  </si>
  <si>
    <t>Coral Gables</t>
  </si>
  <si>
    <t>Janaina</t>
  </si>
  <si>
    <t>Jolene</t>
  </si>
  <si>
    <t>Englewood</t>
  </si>
  <si>
    <t>CO</t>
  </si>
  <si>
    <t>Alexis</t>
  </si>
  <si>
    <t>Genoa</t>
  </si>
  <si>
    <t>Melissa</t>
  </si>
  <si>
    <t>Parkland</t>
  </si>
  <si>
    <t>CLARE</t>
  </si>
  <si>
    <t>San Francisco</t>
  </si>
  <si>
    <t>catherine</t>
  </si>
  <si>
    <t>Bruce and Camille</t>
  </si>
  <si>
    <t>Clinton</t>
  </si>
  <si>
    <t>Ellen</t>
  </si>
  <si>
    <t>Owensboro</t>
  </si>
  <si>
    <t>KY</t>
  </si>
  <si>
    <t>Amy</t>
  </si>
  <si>
    <t>Lakewood Village</t>
  </si>
  <si>
    <t>Brian</t>
  </si>
  <si>
    <t>College Park</t>
  </si>
  <si>
    <t>Kenny</t>
  </si>
  <si>
    <t>Kailua Kona</t>
  </si>
  <si>
    <t>ayse</t>
  </si>
  <si>
    <t>Redondo Beach</t>
  </si>
  <si>
    <t>Maria and Timothy</t>
  </si>
  <si>
    <t>Fountain Hls</t>
  </si>
  <si>
    <t>Gerald</t>
  </si>
  <si>
    <t>Mahopac</t>
  </si>
  <si>
    <t>Kara</t>
  </si>
  <si>
    <t>Chicago</t>
  </si>
  <si>
    <t>Orsi</t>
  </si>
  <si>
    <t>Rayford</t>
  </si>
  <si>
    <t>Ben</t>
  </si>
  <si>
    <t>Escondido</t>
  </si>
  <si>
    <t>Chelsey</t>
  </si>
  <si>
    <t>Ashburn</t>
  </si>
  <si>
    <t>Charis</t>
  </si>
  <si>
    <t>Los Angeles</t>
  </si>
  <si>
    <t>Marlene</t>
  </si>
  <si>
    <t>Edgewood</t>
  </si>
  <si>
    <t>WA</t>
  </si>
  <si>
    <t>Fie</t>
  </si>
  <si>
    <t>Janet</t>
  </si>
  <si>
    <t>Marietta</t>
  </si>
  <si>
    <t>Jamie</t>
  </si>
  <si>
    <t>Chad</t>
  </si>
  <si>
    <t>West Orange</t>
  </si>
  <si>
    <t>Anna</t>
  </si>
  <si>
    <t>Downey</t>
  </si>
  <si>
    <t>Lafayette</t>
  </si>
  <si>
    <t>Ruth</t>
  </si>
  <si>
    <t>Nashville</t>
  </si>
  <si>
    <t>AR</t>
  </si>
  <si>
    <t>Shailesh</t>
  </si>
  <si>
    <t>Joppa</t>
  </si>
  <si>
    <t>Conrad</t>
  </si>
  <si>
    <t>Alison</t>
  </si>
  <si>
    <t>Hampton</t>
  </si>
  <si>
    <t>Tracy</t>
  </si>
  <si>
    <t>Louisville</t>
  </si>
  <si>
    <t>Kate</t>
  </si>
  <si>
    <t>Broadlands</t>
  </si>
  <si>
    <t>Therese</t>
  </si>
  <si>
    <t>Abdul-L</t>
  </si>
  <si>
    <t>heidi</t>
  </si>
  <si>
    <t>Saint Paul</t>
  </si>
  <si>
    <t>MN</t>
  </si>
  <si>
    <t>jiyoung</t>
  </si>
  <si>
    <t>Klara</t>
  </si>
  <si>
    <t>Spring Lake Park</t>
  </si>
  <si>
    <t>Vicki and Bill</t>
  </si>
  <si>
    <t>Seattle</t>
  </si>
  <si>
    <t>David</t>
  </si>
  <si>
    <t>Deptford</t>
  </si>
  <si>
    <t>Alpharetta</t>
  </si>
  <si>
    <t>Greg</t>
  </si>
  <si>
    <t>Washington</t>
  </si>
  <si>
    <t>DC</t>
  </si>
  <si>
    <t>Bernadette</t>
  </si>
  <si>
    <t>luciana</t>
  </si>
  <si>
    <t>Athens</t>
  </si>
  <si>
    <t>Maja</t>
  </si>
  <si>
    <t>Hoschton</t>
  </si>
  <si>
    <t>Kirstie</t>
  </si>
  <si>
    <t>Royal Oak</t>
  </si>
  <si>
    <t>Scott</t>
  </si>
  <si>
    <t>Jammie</t>
  </si>
  <si>
    <t>Belmont</t>
  </si>
  <si>
    <t>MA</t>
  </si>
  <si>
    <t>Frank</t>
  </si>
  <si>
    <t>Old Greenwich</t>
  </si>
  <si>
    <t>CT</t>
  </si>
  <si>
    <t>scott</t>
  </si>
  <si>
    <t>Coconut Grove</t>
  </si>
  <si>
    <t>Jiri</t>
  </si>
  <si>
    <t>Vienna</t>
  </si>
  <si>
    <t>Bev</t>
  </si>
  <si>
    <t>San Ramon</t>
  </si>
  <si>
    <t>Dave and Amy</t>
  </si>
  <si>
    <t>Norfolk</t>
  </si>
  <si>
    <t>Rebecca</t>
  </si>
  <si>
    <t>Djeiny</t>
  </si>
  <si>
    <t>Rockville</t>
  </si>
  <si>
    <t>Amanda</t>
  </si>
  <si>
    <t>Shreveport</t>
  </si>
  <si>
    <t>LA</t>
  </si>
  <si>
    <t>Andrea</t>
  </si>
  <si>
    <t>Joanna</t>
  </si>
  <si>
    <t>Little Silver</t>
  </si>
  <si>
    <t>alison</t>
  </si>
  <si>
    <t>Mid City West</t>
  </si>
  <si>
    <t>PA</t>
  </si>
  <si>
    <t>malin</t>
  </si>
  <si>
    <t>Atlanta</t>
  </si>
  <si>
    <t>Anastasia</t>
  </si>
  <si>
    <t>NYC</t>
  </si>
  <si>
    <t>Brookline</t>
  </si>
  <si>
    <t>Blanca Gabriela</t>
  </si>
  <si>
    <t>Irving</t>
  </si>
  <si>
    <t>Elisa</t>
  </si>
  <si>
    <t>Ottawa Hills</t>
  </si>
  <si>
    <t>Patricia</t>
  </si>
  <si>
    <t>Portola Valley</t>
  </si>
  <si>
    <t>Kristyn</t>
  </si>
  <si>
    <t>Kearns</t>
  </si>
  <si>
    <t>Cathy</t>
  </si>
  <si>
    <t>Kaylee</t>
  </si>
  <si>
    <t>Penngrove</t>
  </si>
  <si>
    <t>suzanne</t>
  </si>
  <si>
    <t>Lemont</t>
  </si>
  <si>
    <t>Cassandra</t>
  </si>
  <si>
    <t>San Carlos</t>
  </si>
  <si>
    <t>Jennifer</t>
  </si>
  <si>
    <t>Wantagh</t>
  </si>
  <si>
    <t>Harriet</t>
  </si>
  <si>
    <t>Fort Oglethorpe</t>
  </si>
  <si>
    <t>Janine</t>
  </si>
  <si>
    <t>Corbin City</t>
  </si>
  <si>
    <t>Debora</t>
  </si>
  <si>
    <t>Lakeside</t>
  </si>
  <si>
    <t>Vishpala</t>
  </si>
  <si>
    <t>Margate</t>
  </si>
  <si>
    <t>Emer</t>
  </si>
  <si>
    <t>South Palm Beach</t>
  </si>
  <si>
    <t>john</t>
  </si>
  <si>
    <t>lailani</t>
  </si>
  <si>
    <t>Anchorage</t>
  </si>
  <si>
    <t>AK</t>
  </si>
  <si>
    <t>Celina</t>
  </si>
  <si>
    <t>North Brunswick</t>
  </si>
  <si>
    <t>Rosemary</t>
  </si>
  <si>
    <t>Jacksonville</t>
  </si>
  <si>
    <t>Patrick</t>
  </si>
  <si>
    <t>Baytown</t>
  </si>
  <si>
    <t>Jacob</t>
  </si>
  <si>
    <t>Winter Haven</t>
  </si>
  <si>
    <t>elisabeth</t>
  </si>
  <si>
    <t>Gonzaga Univ</t>
  </si>
  <si>
    <t>Winchester</t>
  </si>
  <si>
    <t>Orit</t>
  </si>
  <si>
    <t>Dallas</t>
  </si>
  <si>
    <t>Anja Langer</t>
  </si>
  <si>
    <t>Eric</t>
  </si>
  <si>
    <t>Ely</t>
  </si>
  <si>
    <t>NV</t>
  </si>
  <si>
    <t>Miriane</t>
  </si>
  <si>
    <t>Jeff</t>
  </si>
  <si>
    <t>Shannon</t>
  </si>
  <si>
    <t>Buffalo Grove</t>
  </si>
  <si>
    <t>Helen</t>
  </si>
  <si>
    <t>Mechanics Grove</t>
  </si>
  <si>
    <t>Fatisha</t>
  </si>
  <si>
    <t>Nina</t>
  </si>
  <si>
    <t>Silver Spring</t>
  </si>
  <si>
    <t>Georgina</t>
  </si>
  <si>
    <t>Portland</t>
  </si>
  <si>
    <t>Kellie</t>
  </si>
  <si>
    <t>Terry</t>
  </si>
  <si>
    <t>San Antonio</t>
  </si>
  <si>
    <t>Cindy</t>
  </si>
  <si>
    <t>Simone</t>
  </si>
  <si>
    <t>Hilde</t>
  </si>
  <si>
    <t>Princeville</t>
  </si>
  <si>
    <t>leiser</t>
  </si>
  <si>
    <t>N Java</t>
  </si>
  <si>
    <t>Ann</t>
  </si>
  <si>
    <t>Austin</t>
  </si>
  <si>
    <t>Nichol Jane</t>
  </si>
  <si>
    <t>Midland Park</t>
  </si>
  <si>
    <t>Beatriz</t>
  </si>
  <si>
    <t>Centerport</t>
  </si>
  <si>
    <t>Isabelle</t>
  </si>
  <si>
    <t>Shorewood</t>
  </si>
  <si>
    <t>Southlake</t>
  </si>
  <si>
    <t>Doug</t>
  </si>
  <si>
    <t>Huntington</t>
  </si>
  <si>
    <t>AMY</t>
  </si>
  <si>
    <t>The Woodlands</t>
  </si>
  <si>
    <t>HELIDA</t>
  </si>
  <si>
    <t>White House</t>
  </si>
  <si>
    <t>Wendy</t>
  </si>
  <si>
    <t>Lake Mahopac</t>
  </si>
  <si>
    <t>shelby</t>
  </si>
  <si>
    <t>Plantation</t>
  </si>
  <si>
    <t>Heloise</t>
  </si>
  <si>
    <t>Arlington</t>
  </si>
  <si>
    <t>Jodie</t>
  </si>
  <si>
    <t>Great Falls</t>
  </si>
  <si>
    <t>Virginia</t>
  </si>
  <si>
    <t>Dickerson</t>
  </si>
  <si>
    <t>Princeton</t>
  </si>
  <si>
    <t>Katrine</t>
  </si>
  <si>
    <t>North Tustin</t>
  </si>
  <si>
    <t>prof</t>
  </si>
  <si>
    <t>Gladwyne</t>
  </si>
  <si>
    <t>KeithMichelle</t>
  </si>
  <si>
    <t>Miye</t>
  </si>
  <si>
    <t>Downingtown</t>
  </si>
  <si>
    <t>Heidi</t>
  </si>
  <si>
    <t>MT Pleasant</t>
  </si>
  <si>
    <t>Daniele</t>
  </si>
  <si>
    <t>Katy</t>
  </si>
  <si>
    <t>Nadine</t>
  </si>
  <si>
    <t>Belgrade</t>
  </si>
  <si>
    <t>MT</t>
  </si>
  <si>
    <t>Corrales</t>
  </si>
  <si>
    <t>NM</t>
  </si>
  <si>
    <t>Veronique</t>
  </si>
  <si>
    <t>Tenafly</t>
  </si>
  <si>
    <t>Erica</t>
  </si>
  <si>
    <t>Leesburg</t>
  </si>
  <si>
    <t>Natalie</t>
  </si>
  <si>
    <t>Bryceville</t>
  </si>
  <si>
    <t>cari</t>
  </si>
  <si>
    <t>Dryden</t>
  </si>
  <si>
    <t>Ina</t>
  </si>
  <si>
    <t>Fayetteville</t>
  </si>
  <si>
    <t>Trina</t>
  </si>
  <si>
    <t>Overland</t>
  </si>
  <si>
    <t>KS</t>
  </si>
  <si>
    <t>Jenna and Paul</t>
  </si>
  <si>
    <t>Senatobia</t>
  </si>
  <si>
    <t>MS</t>
  </si>
  <si>
    <t>Monique</t>
  </si>
  <si>
    <t>Waldorf</t>
  </si>
  <si>
    <t>lilia</t>
  </si>
  <si>
    <t>Lainey</t>
  </si>
  <si>
    <t>Lakeville</t>
  </si>
  <si>
    <t>Fiona</t>
  </si>
  <si>
    <t>Stamford</t>
  </si>
  <si>
    <t>Stanford</t>
  </si>
  <si>
    <t>Howell</t>
  </si>
  <si>
    <t>ruth</t>
  </si>
  <si>
    <t>Encinitas</t>
  </si>
  <si>
    <t>Courtney</t>
  </si>
  <si>
    <t>Atchison</t>
  </si>
  <si>
    <t>Mililani</t>
  </si>
  <si>
    <t>Anthony</t>
  </si>
  <si>
    <t>Victor</t>
  </si>
  <si>
    <t>Eleanor</t>
  </si>
  <si>
    <t>Fairbanks</t>
  </si>
  <si>
    <t>BALA</t>
  </si>
  <si>
    <t>Accokeek</t>
  </si>
  <si>
    <t>Mrs</t>
  </si>
  <si>
    <t>Sunnyvale</t>
  </si>
  <si>
    <t>Ithaca</t>
  </si>
  <si>
    <t>alex</t>
  </si>
  <si>
    <t>Farmingtn Hls</t>
  </si>
  <si>
    <t>T</t>
  </si>
  <si>
    <t>Alva and Martin</t>
  </si>
  <si>
    <t>Jacqui</t>
  </si>
  <si>
    <t>Scottsdale</t>
  </si>
  <si>
    <t>KERRY</t>
  </si>
  <si>
    <t>leanne</t>
  </si>
  <si>
    <t>Clyde Hill</t>
  </si>
  <si>
    <t>Marina</t>
  </si>
  <si>
    <t>Minneapolis</t>
  </si>
  <si>
    <t>camilla</t>
  </si>
  <si>
    <t>Maie</t>
  </si>
  <si>
    <t>Queen Creek</t>
  </si>
  <si>
    <t>verena</t>
  </si>
  <si>
    <t>Marie-Christine</t>
  </si>
  <si>
    <t>Durham</t>
  </si>
  <si>
    <t>Gabriella</t>
  </si>
  <si>
    <t>valerie et nicolas</t>
  </si>
  <si>
    <t>Glenn Dale</t>
  </si>
  <si>
    <t>Renee</t>
  </si>
  <si>
    <t>Edinburg</t>
  </si>
  <si>
    <t>Monica</t>
  </si>
  <si>
    <t>Weston</t>
  </si>
  <si>
    <t>Laura</t>
  </si>
  <si>
    <t>Sarah</t>
  </si>
  <si>
    <t>Ulrika</t>
  </si>
  <si>
    <t>leigh</t>
  </si>
  <si>
    <t>Potomac Falls</t>
  </si>
  <si>
    <t>Nuria</t>
  </si>
  <si>
    <t>Superior</t>
  </si>
  <si>
    <t>Ignacio</t>
  </si>
  <si>
    <t>Engleside</t>
  </si>
  <si>
    <t>nihan</t>
  </si>
  <si>
    <t>Roanoke</t>
  </si>
  <si>
    <t>alan</t>
  </si>
  <si>
    <t>Norcross</t>
  </si>
  <si>
    <t>lydia</t>
  </si>
  <si>
    <t>Sandy Plains</t>
  </si>
  <si>
    <t>Anja</t>
  </si>
  <si>
    <t>Gainesville</t>
  </si>
  <si>
    <t>Holly</t>
  </si>
  <si>
    <t>megan</t>
  </si>
  <si>
    <t>West Hills</t>
  </si>
  <si>
    <t>Tarah</t>
  </si>
  <si>
    <t>San Jose</t>
  </si>
  <si>
    <t>Joanne</t>
  </si>
  <si>
    <t>Oak Park</t>
  </si>
  <si>
    <t>Margaret</t>
  </si>
  <si>
    <t>Terrell Hills</t>
  </si>
  <si>
    <t>Whitney</t>
  </si>
  <si>
    <t>Falmouth</t>
  </si>
  <si>
    <t>Pam</t>
  </si>
  <si>
    <t>Richmond</t>
  </si>
  <si>
    <t>Heather</t>
  </si>
  <si>
    <t>Ooltewah</t>
  </si>
  <si>
    <t>Kathryn</t>
  </si>
  <si>
    <t>Pacific Beach</t>
  </si>
  <si>
    <t>Michele</t>
  </si>
  <si>
    <t>Craig</t>
  </si>
  <si>
    <t>Kim</t>
  </si>
  <si>
    <t>Elaine</t>
  </si>
  <si>
    <t>Helena</t>
  </si>
  <si>
    <t>Fremont</t>
  </si>
  <si>
    <t>Mark</t>
  </si>
  <si>
    <t>Holmdel</t>
  </si>
  <si>
    <t>alice and rudolf</t>
  </si>
  <si>
    <t>Baltimore</t>
  </si>
  <si>
    <t>Yoko</t>
  </si>
  <si>
    <t>Andover</t>
  </si>
  <si>
    <t>Barbara</t>
  </si>
  <si>
    <t>La Crescenta</t>
  </si>
  <si>
    <t>Kit</t>
  </si>
  <si>
    <t>Suwanee</t>
  </si>
  <si>
    <t>cristina</t>
  </si>
  <si>
    <t>linda</t>
  </si>
  <si>
    <t>Alicja</t>
  </si>
  <si>
    <t>Kenmore</t>
  </si>
  <si>
    <t>Rachel</t>
  </si>
  <si>
    <t>Fresno</t>
  </si>
  <si>
    <t>Atascadero</t>
  </si>
  <si>
    <t>Fairfield</t>
  </si>
  <si>
    <t>Francoise</t>
  </si>
  <si>
    <t>Danville</t>
  </si>
  <si>
    <t>Corinne</t>
  </si>
  <si>
    <t>Anthem</t>
  </si>
  <si>
    <t>Carmen</t>
  </si>
  <si>
    <t>Brittany</t>
  </si>
  <si>
    <t>Orlando</t>
  </si>
  <si>
    <t>Sandrine</t>
  </si>
  <si>
    <t>Walnut Creek</t>
  </si>
  <si>
    <t>asuncion</t>
  </si>
  <si>
    <t>Centennial</t>
  </si>
  <si>
    <t>Sophie</t>
  </si>
  <si>
    <t>Newtown</t>
  </si>
  <si>
    <t>samuel</t>
  </si>
  <si>
    <t>Saddle Brook</t>
  </si>
  <si>
    <t>AngelinaPatrick</t>
  </si>
  <si>
    <t>San Diego</t>
  </si>
  <si>
    <t>Sven</t>
  </si>
  <si>
    <t>Issaquah</t>
  </si>
  <si>
    <t>Lexington</t>
  </si>
  <si>
    <t>jason</t>
  </si>
  <si>
    <t>Altadena</t>
  </si>
  <si>
    <t>Tabatha</t>
  </si>
  <si>
    <t>Aline</t>
  </si>
  <si>
    <t>Davis</t>
  </si>
  <si>
    <t>Natasha</t>
  </si>
  <si>
    <t>Pasadena</t>
  </si>
  <si>
    <t>Melinda</t>
  </si>
  <si>
    <t>Britlyn</t>
  </si>
  <si>
    <t>Norwalk</t>
  </si>
  <si>
    <t>Floyds Knobs</t>
  </si>
  <si>
    <t>IN</t>
  </si>
  <si>
    <t>Caroline</t>
  </si>
  <si>
    <t>Karena</t>
  </si>
  <si>
    <t>janet</t>
  </si>
  <si>
    <t>Hon</t>
  </si>
  <si>
    <t>Hans</t>
  </si>
  <si>
    <t>Knoxville</t>
  </si>
  <si>
    <t>SandraThierryZoe</t>
  </si>
  <si>
    <t>Cara</t>
  </si>
  <si>
    <t>Humble</t>
  </si>
  <si>
    <t>carolien</t>
  </si>
  <si>
    <t>Mashpee</t>
  </si>
  <si>
    <t>Birmingham</t>
  </si>
  <si>
    <t>St Augustine</t>
  </si>
  <si>
    <t>Tom</t>
  </si>
  <si>
    <t>Justine</t>
  </si>
  <si>
    <t>Rogers</t>
  </si>
  <si>
    <t>Fatima</t>
  </si>
  <si>
    <t>Sonja</t>
  </si>
  <si>
    <t>Alpine</t>
  </si>
  <si>
    <t>Cleo</t>
  </si>
  <si>
    <t>Pacific Palisades</t>
  </si>
  <si>
    <t>Claire</t>
  </si>
  <si>
    <t>Trumansburg</t>
  </si>
  <si>
    <t>Lindsey</t>
  </si>
  <si>
    <t>Kennett Square</t>
  </si>
  <si>
    <t>Nicola</t>
  </si>
  <si>
    <t>Morro Bay</t>
  </si>
  <si>
    <t>sherry</t>
  </si>
  <si>
    <t>Las Vegas</t>
  </si>
  <si>
    <t>San Anselmo</t>
  </si>
  <si>
    <t>Matt</t>
  </si>
  <si>
    <t>N Woodmere</t>
  </si>
  <si>
    <t>Stephanie</t>
  </si>
  <si>
    <t>Fairfax</t>
  </si>
  <si>
    <t>Hurst</t>
  </si>
  <si>
    <t>Chandler</t>
  </si>
  <si>
    <t>Liza</t>
  </si>
  <si>
    <t>Dammeron Valley</t>
  </si>
  <si>
    <t>Buffalo</t>
  </si>
  <si>
    <t>Karin</t>
  </si>
  <si>
    <t>Olive Branch</t>
  </si>
  <si>
    <t>cath</t>
  </si>
  <si>
    <t>Warwick</t>
  </si>
  <si>
    <t>San Mateo</t>
  </si>
  <si>
    <t>Aloma</t>
  </si>
  <si>
    <t>C</t>
  </si>
  <si>
    <t>Mareike</t>
  </si>
  <si>
    <t>Cumming</t>
  </si>
  <si>
    <t>lamia</t>
  </si>
  <si>
    <t>Little Compton</t>
  </si>
  <si>
    <t>RI</t>
  </si>
  <si>
    <t>Madhu</t>
  </si>
  <si>
    <t>sandhya</t>
  </si>
  <si>
    <t>Kimberly</t>
  </si>
  <si>
    <t>Herndon</t>
  </si>
  <si>
    <t>Tania</t>
  </si>
  <si>
    <t>Vista</t>
  </si>
  <si>
    <t>andrea</t>
  </si>
  <si>
    <t>Oostburg</t>
  </si>
  <si>
    <t>WI</t>
  </si>
  <si>
    <t>carol</t>
  </si>
  <si>
    <t>Ann Arbor</t>
  </si>
  <si>
    <t>Nona</t>
  </si>
  <si>
    <t>South Jordan</t>
  </si>
  <si>
    <t>Alicia</t>
  </si>
  <si>
    <t>Lincoln</t>
  </si>
  <si>
    <t>NE</t>
  </si>
  <si>
    <t>sandra</t>
  </si>
  <si>
    <t>Burr Oak</t>
  </si>
  <si>
    <t>Olivia</t>
  </si>
  <si>
    <t>Wheaton</t>
  </si>
  <si>
    <t>Killeen</t>
  </si>
  <si>
    <t>Annette</t>
  </si>
  <si>
    <t>Manhattan</t>
  </si>
  <si>
    <t>Jamestown</t>
  </si>
  <si>
    <t>Jasinta Jeanne</t>
  </si>
  <si>
    <t>Owings Mills</t>
  </si>
  <si>
    <t>Cherish</t>
  </si>
  <si>
    <t>Abikay</t>
  </si>
  <si>
    <t>Fullerton</t>
  </si>
  <si>
    <t>amanda</t>
  </si>
  <si>
    <t>Rochester Hills</t>
  </si>
  <si>
    <t>eugenia</t>
  </si>
  <si>
    <t>Wisconsin Rapids</t>
  </si>
  <si>
    <t>Karen</t>
  </si>
  <si>
    <t>Bea</t>
  </si>
  <si>
    <t>Hilde Karin</t>
  </si>
  <si>
    <t>Emillie</t>
  </si>
  <si>
    <t>Eagan</t>
  </si>
  <si>
    <t>Ailsa</t>
  </si>
  <si>
    <t>Lindenhurst</t>
  </si>
  <si>
    <t>Bloomfield</t>
  </si>
  <si>
    <t>Michael</t>
  </si>
  <si>
    <t>Ryan</t>
  </si>
  <si>
    <t>Simpsonville</t>
  </si>
  <si>
    <t>SC</t>
  </si>
  <si>
    <t>Bertrand</t>
  </si>
  <si>
    <t>North Caldwell</t>
  </si>
  <si>
    <t>John</t>
  </si>
  <si>
    <t>Ashley</t>
  </si>
  <si>
    <t>Rancho Cordova</t>
  </si>
  <si>
    <t>Tori</t>
  </si>
  <si>
    <t>Hanne</t>
  </si>
  <si>
    <t>Paula</t>
  </si>
  <si>
    <t>Larchmont</t>
  </si>
  <si>
    <t>Saint Charles</t>
  </si>
  <si>
    <t>kemp</t>
  </si>
  <si>
    <t>Brentwood</t>
  </si>
  <si>
    <t>Pensacola</t>
  </si>
  <si>
    <t>A</t>
  </si>
  <si>
    <t>Saint Petersburg</t>
  </si>
  <si>
    <t>Mc Lean</t>
  </si>
  <si>
    <t>Hendersonville</t>
  </si>
  <si>
    <t>Maricel</t>
  </si>
  <si>
    <t>Malibu</t>
  </si>
  <si>
    <t>Allen</t>
  </si>
  <si>
    <t>Maki</t>
  </si>
  <si>
    <t>Miami Beach</t>
  </si>
  <si>
    <t>Jessica</t>
  </si>
  <si>
    <t>Woodland Hills</t>
  </si>
  <si>
    <t>Wouter and Andrea</t>
  </si>
  <si>
    <t>Pam and Rob</t>
  </si>
  <si>
    <t>Yorba Linda</t>
  </si>
  <si>
    <t>kathleen kane</t>
  </si>
  <si>
    <t>Jamaica Plain</t>
  </si>
  <si>
    <t>cheryl</t>
  </si>
  <si>
    <t>Beverly Hills</t>
  </si>
  <si>
    <t>Charlene</t>
  </si>
  <si>
    <t>Sebastopol</t>
  </si>
  <si>
    <t>Glendora</t>
  </si>
  <si>
    <t>Maria Macarena</t>
  </si>
  <si>
    <t>Billings</t>
  </si>
  <si>
    <t>Maggie</t>
  </si>
  <si>
    <t>Libertyville</t>
  </si>
  <si>
    <t>Christophe</t>
  </si>
  <si>
    <t>Temecula</t>
  </si>
  <si>
    <t>Manoj</t>
  </si>
  <si>
    <t>Boise</t>
  </si>
  <si>
    <t>Brenda</t>
  </si>
  <si>
    <t>Rock Hill</t>
  </si>
  <si>
    <t>Lizelle</t>
  </si>
  <si>
    <t>olla</t>
  </si>
  <si>
    <t>Westminster</t>
  </si>
  <si>
    <t>Keri</t>
  </si>
  <si>
    <t>Attie</t>
  </si>
  <si>
    <t>Cypress</t>
  </si>
  <si>
    <t>odile</t>
  </si>
  <si>
    <t>Lititz</t>
  </si>
  <si>
    <t>Niki</t>
  </si>
  <si>
    <t>Chadds Ford</t>
  </si>
  <si>
    <t>Danny</t>
  </si>
  <si>
    <t>St Thomas</t>
  </si>
  <si>
    <t>VI</t>
  </si>
  <si>
    <t>Coppell</t>
  </si>
  <si>
    <t>Beckie</t>
  </si>
  <si>
    <t>Ladera Ranch</t>
  </si>
  <si>
    <t>ann</t>
  </si>
  <si>
    <t>Boca Raton</t>
  </si>
  <si>
    <t>Chaska</t>
  </si>
  <si>
    <t>Catherine</t>
  </si>
  <si>
    <t>Hghlnds Ranch</t>
  </si>
  <si>
    <t>Rhonda</t>
  </si>
  <si>
    <t>alix</t>
  </si>
  <si>
    <t>Sigrun</t>
  </si>
  <si>
    <t>Maria</t>
  </si>
  <si>
    <t>Boyceville</t>
  </si>
  <si>
    <t>Elizabeth</t>
  </si>
  <si>
    <t>Cos Cob</t>
  </si>
  <si>
    <t>Charlotte</t>
  </si>
  <si>
    <t>Sterling</t>
  </si>
  <si>
    <t>Ridgefield</t>
  </si>
  <si>
    <t>Ronja</t>
  </si>
  <si>
    <t>BURCAK</t>
  </si>
  <si>
    <t>christy</t>
  </si>
  <si>
    <t>Germantown</t>
  </si>
  <si>
    <t>Mandy</t>
  </si>
  <si>
    <t>Hono</t>
  </si>
  <si>
    <t>Elena</t>
  </si>
  <si>
    <t>South Waterford</t>
  </si>
  <si>
    <t>ME</t>
  </si>
  <si>
    <t>Nita and Trebor</t>
  </si>
  <si>
    <t>Washington Township</t>
  </si>
  <si>
    <t>Elisabeth</t>
  </si>
  <si>
    <t>Wilmington</t>
  </si>
  <si>
    <t>Reto</t>
  </si>
  <si>
    <t>Joelle</t>
  </si>
  <si>
    <t>Rowayton</t>
  </si>
  <si>
    <t>Alexandria</t>
  </si>
  <si>
    <t>Lebanon</t>
  </si>
  <si>
    <t>Villanova</t>
  </si>
  <si>
    <t>Alfredo A</t>
  </si>
  <si>
    <t>Saeko</t>
  </si>
  <si>
    <t>VIOLETA</t>
  </si>
  <si>
    <t>Antje</t>
  </si>
  <si>
    <t>Sacramento</t>
  </si>
  <si>
    <t>Nathalie</t>
  </si>
  <si>
    <t>Haymarket</t>
  </si>
  <si>
    <t>Judith L.</t>
  </si>
  <si>
    <t>Audinet</t>
  </si>
  <si>
    <t>Cambridge</t>
  </si>
  <si>
    <t>Jo</t>
  </si>
  <si>
    <t>Pembroke Pines</t>
  </si>
  <si>
    <t>Chester</t>
  </si>
  <si>
    <t>isabela</t>
  </si>
  <si>
    <t>Mary</t>
  </si>
  <si>
    <t>Ringgold</t>
  </si>
  <si>
    <t>Wall</t>
  </si>
  <si>
    <t>Huntington Beach</t>
  </si>
  <si>
    <t>Kristen</t>
  </si>
  <si>
    <t>Aniko</t>
  </si>
  <si>
    <t>Random Lake</t>
  </si>
  <si>
    <t>Petra</t>
  </si>
  <si>
    <t>Ruby</t>
  </si>
  <si>
    <t>Bedford Corners</t>
  </si>
  <si>
    <t>Tammy</t>
  </si>
  <si>
    <t>Milford</t>
  </si>
  <si>
    <t>Croton On Hudson</t>
  </si>
  <si>
    <t>james</t>
  </si>
  <si>
    <t>Allison</t>
  </si>
  <si>
    <t>Naples</t>
  </si>
  <si>
    <t>Surat</t>
  </si>
  <si>
    <t>Bridgewater</t>
  </si>
  <si>
    <t>Judy</t>
  </si>
  <si>
    <t>Megan</t>
  </si>
  <si>
    <t>Huntersville</t>
  </si>
  <si>
    <t>Charmain</t>
  </si>
  <si>
    <t>Cartersburg</t>
  </si>
  <si>
    <t>Katharina</t>
  </si>
  <si>
    <t>Flower Mound</t>
  </si>
  <si>
    <t>Zaneta</t>
  </si>
  <si>
    <t>Rochester</t>
  </si>
  <si>
    <t>Cherie</t>
  </si>
  <si>
    <t>Columbus</t>
  </si>
  <si>
    <t>Sag Harbor</t>
  </si>
  <si>
    <t>Frances</t>
  </si>
  <si>
    <t>Beatrice</t>
  </si>
  <si>
    <t>DE</t>
  </si>
  <si>
    <t>Christian</t>
  </si>
  <si>
    <t>Mableton</t>
  </si>
  <si>
    <t>Hollie</t>
  </si>
  <si>
    <t>Malahat</t>
  </si>
  <si>
    <t>Jean</t>
  </si>
  <si>
    <t>Chiefland</t>
  </si>
  <si>
    <t>Riche Lou</t>
  </si>
  <si>
    <t>Newton</t>
  </si>
  <si>
    <t>lorna</t>
  </si>
  <si>
    <t>Castle Rock</t>
  </si>
  <si>
    <t>Julie</t>
  </si>
  <si>
    <t>Anita</t>
  </si>
  <si>
    <t>Montgomery</t>
  </si>
  <si>
    <t>Manteno</t>
  </si>
  <si>
    <t>elizabeth r</t>
  </si>
  <si>
    <t>Sara</t>
  </si>
  <si>
    <t>Tulin</t>
  </si>
  <si>
    <t>Cranberry Twp</t>
  </si>
  <si>
    <t>Kenneth</t>
  </si>
  <si>
    <t>Lake Ronkonkoma</t>
  </si>
  <si>
    <t>Bluffton</t>
  </si>
  <si>
    <t>Juliann</t>
  </si>
  <si>
    <t>Winter Spgs</t>
  </si>
  <si>
    <t>Chelmsford</t>
  </si>
  <si>
    <t>matthew</t>
  </si>
  <si>
    <t>Steven</t>
  </si>
  <si>
    <t>Angie</t>
  </si>
  <si>
    <t>Rodeo</t>
  </si>
  <si>
    <t>Lauren</t>
  </si>
  <si>
    <t>Poughkeepsie</t>
  </si>
  <si>
    <t>Esther</t>
  </si>
  <si>
    <t>North Eastham</t>
  </si>
  <si>
    <t>marie-louise</t>
  </si>
  <si>
    <t>Sitka</t>
  </si>
  <si>
    <t>paula</t>
  </si>
  <si>
    <t>Sammamish</t>
  </si>
  <si>
    <t>Ewa Beach</t>
  </si>
  <si>
    <t>Maureen</t>
  </si>
  <si>
    <t>Statesville</t>
  </si>
  <si>
    <t>Kapaa</t>
  </si>
  <si>
    <t>caterina</t>
  </si>
  <si>
    <t>Burbank</t>
  </si>
  <si>
    <t>Cheryl</t>
  </si>
  <si>
    <t>Hilton Head</t>
  </si>
  <si>
    <t>Frank and Christelle</t>
  </si>
  <si>
    <t>Valley Center</t>
  </si>
  <si>
    <t>Triona</t>
  </si>
  <si>
    <t>Swampscott</t>
  </si>
  <si>
    <t>Phillip</t>
  </si>
  <si>
    <t>jingyan</t>
  </si>
  <si>
    <t>Bristol</t>
  </si>
  <si>
    <t>Selma</t>
  </si>
  <si>
    <t>Greenville</t>
  </si>
  <si>
    <t>Doug and Tina</t>
  </si>
  <si>
    <t>Pls Vrds Est</t>
  </si>
  <si>
    <t>Hale</t>
  </si>
  <si>
    <t>Morrison</t>
  </si>
  <si>
    <t>Kevin</t>
  </si>
  <si>
    <t>Hollywood</t>
  </si>
  <si>
    <t>christal</t>
  </si>
  <si>
    <t>Alex</t>
  </si>
  <si>
    <t>Augusta</t>
  </si>
  <si>
    <t>Pamela</t>
  </si>
  <si>
    <t>Skaneateles</t>
  </si>
  <si>
    <t>Julia</t>
  </si>
  <si>
    <t>Madison</t>
  </si>
  <si>
    <t>carolina</t>
  </si>
  <si>
    <t>Basildon</t>
  </si>
  <si>
    <t>England</t>
  </si>
  <si>
    <t>United Kingdom</t>
  </si>
  <si>
    <t>Sabine</t>
  </si>
  <si>
    <t>London</t>
  </si>
  <si>
    <t>Jeremy</t>
  </si>
  <si>
    <t>Manchester</t>
  </si>
  <si>
    <t>chris</t>
  </si>
  <si>
    <t>Sari</t>
  </si>
  <si>
    <t>Newbury</t>
  </si>
  <si>
    <t>Kemble</t>
  </si>
  <si>
    <t>Tamar</t>
  </si>
  <si>
    <t>Headley</t>
  </si>
  <si>
    <t>Bernadett</t>
  </si>
  <si>
    <t>Southampton</t>
  </si>
  <si>
    <t>AnaPaula</t>
  </si>
  <si>
    <t>Helens Bay</t>
  </si>
  <si>
    <t>Northern Ireland</t>
  </si>
  <si>
    <t>Cheltenham</t>
  </si>
  <si>
    <t>anne</t>
  </si>
  <si>
    <t>Bournemouth</t>
  </si>
  <si>
    <t>Grace</t>
  </si>
  <si>
    <t>York</t>
  </si>
  <si>
    <t>Basingstoke</t>
  </si>
  <si>
    <t>New Malden</t>
  </si>
  <si>
    <t>Bishop Auckland</t>
  </si>
  <si>
    <t>Aberdeen</t>
  </si>
  <si>
    <t>Scotland</t>
  </si>
  <si>
    <t>Randy</t>
  </si>
  <si>
    <t>Wigan</t>
  </si>
  <si>
    <t>Abbey Town</t>
  </si>
  <si>
    <t>Genevieve</t>
  </si>
  <si>
    <t>Milton Keynes</t>
  </si>
  <si>
    <t>Lina</t>
  </si>
  <si>
    <t>Edinburgh</t>
  </si>
  <si>
    <t>Newburgh</t>
  </si>
  <si>
    <t>Kirriemuir</t>
  </si>
  <si>
    <t>LAURIE</t>
  </si>
  <si>
    <t>Guildford</t>
  </si>
  <si>
    <t>kirsten</t>
  </si>
  <si>
    <t>Bishops Stortford</t>
  </si>
  <si>
    <t>Babs</t>
  </si>
  <si>
    <t>Blackpool</t>
  </si>
  <si>
    <t>Hollyn</t>
  </si>
  <si>
    <t>Miss</t>
  </si>
  <si>
    <t>anissa</t>
  </si>
  <si>
    <t>Slough</t>
  </si>
  <si>
    <t>Saffron Walden</t>
  </si>
  <si>
    <t>Berkeswell</t>
  </si>
  <si>
    <t>breon</t>
  </si>
  <si>
    <t>Leighton Buzzard</t>
  </si>
  <si>
    <t>Dr. Donald</t>
  </si>
  <si>
    <t>Stockton-on-Tees</t>
  </si>
  <si>
    <t>Zane</t>
  </si>
  <si>
    <t>Warlingham</t>
  </si>
  <si>
    <t>Anett</t>
  </si>
  <si>
    <t>Gosport</t>
  </si>
  <si>
    <t>pirunkit</t>
  </si>
  <si>
    <t>Petworth</t>
  </si>
  <si>
    <t>Nanci</t>
  </si>
  <si>
    <t>Reading</t>
  </si>
  <si>
    <t>ciara and mike</t>
  </si>
  <si>
    <t>Tejal</t>
  </si>
  <si>
    <t>Gerardo</t>
  </si>
  <si>
    <t>Ravinder</t>
  </si>
  <si>
    <t>Lurgan</t>
  </si>
  <si>
    <t>Shenfield</t>
  </si>
  <si>
    <t>Bolton</t>
  </si>
  <si>
    <t>High Wycombe</t>
  </si>
  <si>
    <t>DD</t>
  </si>
  <si>
    <t>Toni</t>
  </si>
  <si>
    <t>Luc1nda</t>
  </si>
  <si>
    <t>Naseer</t>
  </si>
  <si>
    <t>Glenn</t>
  </si>
  <si>
    <t>Perth</t>
  </si>
  <si>
    <t>Family in</t>
  </si>
  <si>
    <t>Jodi</t>
  </si>
  <si>
    <t>Sutton Valence</t>
  </si>
  <si>
    <t>Dumbleton</t>
  </si>
  <si>
    <t>maggie</t>
  </si>
  <si>
    <t>Stockton</t>
  </si>
  <si>
    <t>SUSAN</t>
  </si>
  <si>
    <t>Oxford</t>
  </si>
  <si>
    <t>ashton</t>
  </si>
  <si>
    <t>Exeter</t>
  </si>
  <si>
    <t>Pavel</t>
  </si>
  <si>
    <t>Liverpool</t>
  </si>
  <si>
    <t>Calne</t>
  </si>
  <si>
    <t>Aaron</t>
  </si>
  <si>
    <t>Zoe</t>
  </si>
  <si>
    <t>Coventry</t>
  </si>
  <si>
    <t>Kayla</t>
  </si>
  <si>
    <t>Leamington Spa</t>
  </si>
  <si>
    <t>Ken</t>
  </si>
  <si>
    <t>Sidcup</t>
  </si>
  <si>
    <t>Samantha</t>
  </si>
  <si>
    <t>Watford</t>
  </si>
  <si>
    <t>Erika</t>
  </si>
  <si>
    <t>Redruth</t>
  </si>
  <si>
    <t>Louise</t>
  </si>
  <si>
    <t>Ashlee</t>
  </si>
  <si>
    <t>Banbury</t>
  </si>
  <si>
    <t>Astrid</t>
  </si>
  <si>
    <t>Canterbury</t>
  </si>
  <si>
    <t>Eman</t>
  </si>
  <si>
    <t>Penclawdd</t>
  </si>
  <si>
    <t>Wales</t>
  </si>
  <si>
    <t>Jyoti</t>
  </si>
  <si>
    <t>Tunbridge Wells</t>
  </si>
  <si>
    <t>gail</t>
  </si>
  <si>
    <t>Mike</t>
  </si>
  <si>
    <t>Howard</t>
  </si>
  <si>
    <t>Worcester</t>
  </si>
  <si>
    <t>Leicester</t>
  </si>
  <si>
    <t>William</t>
  </si>
  <si>
    <t>Chalfont Saint Peter</t>
  </si>
  <si>
    <t>Tatjana and Martin</t>
  </si>
  <si>
    <t>Malinda</t>
  </si>
  <si>
    <t>Kidderminster</t>
  </si>
  <si>
    <t>dia</t>
  </si>
  <si>
    <t>Claygate</t>
  </si>
  <si>
    <t>Caroline and Jonathan</t>
  </si>
  <si>
    <t>Chichester</t>
  </si>
  <si>
    <t>Carole</t>
  </si>
  <si>
    <t>Cardiff</t>
  </si>
  <si>
    <t>Ashford</t>
  </si>
  <si>
    <t>erin</t>
  </si>
  <si>
    <t>Jen</t>
  </si>
  <si>
    <t>Maidstone</t>
  </si>
  <si>
    <t>gladys</t>
  </si>
  <si>
    <t>Saint Albans</t>
  </si>
  <si>
    <t>Cobham</t>
  </si>
  <si>
    <t>Alyssa</t>
  </si>
  <si>
    <t>Brighton</t>
  </si>
  <si>
    <t>esther</t>
  </si>
  <si>
    <t>Huddersfield</t>
  </si>
  <si>
    <t>Hans-Joerg</t>
  </si>
  <si>
    <t>Belfast</t>
  </si>
  <si>
    <t>julie</t>
  </si>
  <si>
    <t>Haverhill</t>
  </si>
  <si>
    <t>Jumeira</t>
  </si>
  <si>
    <t>Dubayy</t>
  </si>
  <si>
    <t>United Arab Emirates</t>
  </si>
  <si>
    <t>Kathrin</t>
  </si>
  <si>
    <t>Abu Dhabi</t>
  </si>
  <si>
    <t>Abu Zaby</t>
  </si>
  <si>
    <t>Dubai</t>
  </si>
  <si>
    <t>Michelle</t>
  </si>
  <si>
    <t>Jeannette</t>
  </si>
  <si>
    <t>Aziz</t>
  </si>
  <si>
    <t>Irpin'</t>
  </si>
  <si>
    <t>Kiev</t>
  </si>
  <si>
    <t>Ukraine</t>
  </si>
  <si>
    <t>Sam</t>
  </si>
  <si>
    <t>Tesvikiye</t>
  </si>
  <si>
    <t>Istanbul</t>
  </si>
  <si>
    <t>Turkey</t>
  </si>
  <si>
    <t>Zekeriyakoy</t>
  </si>
  <si>
    <t>Dickson</t>
  </si>
  <si>
    <t>Kemerburgaz</t>
  </si>
  <si>
    <t>Costanza</t>
  </si>
  <si>
    <t>Beykoz</t>
  </si>
  <si>
    <t>Novy</t>
  </si>
  <si>
    <t>Darian</t>
  </si>
  <si>
    <t>Izmir</t>
  </si>
  <si>
    <t>Emily</t>
  </si>
  <si>
    <t>Killarney</t>
  </si>
  <si>
    <t>New Providence</t>
  </si>
  <si>
    <t>The Bahamas</t>
  </si>
  <si>
    <t>Cormac</t>
  </si>
  <si>
    <t>Freeport City</t>
  </si>
  <si>
    <t>Freeport</t>
  </si>
  <si>
    <t>PATRICK</t>
  </si>
  <si>
    <t>Ban Khlong Sip</t>
  </si>
  <si>
    <t>Krung Thep</t>
  </si>
  <si>
    <t>Thailand</t>
  </si>
  <si>
    <t>elaine</t>
  </si>
  <si>
    <t>Phuket</t>
  </si>
  <si>
    <t>SYLVIA</t>
  </si>
  <si>
    <t>Vesenaz</t>
  </si>
  <si>
    <t>Geneve</t>
  </si>
  <si>
    <t>Switzerland</t>
  </si>
  <si>
    <t>Deirdre</t>
  </si>
  <si>
    <t>Lausanne</t>
  </si>
  <si>
    <t>Vaud</t>
  </si>
  <si>
    <t>Morges</t>
  </si>
  <si>
    <t>Sherri</t>
  </si>
  <si>
    <t>Freienbach</t>
  </si>
  <si>
    <t>Schwyz</t>
  </si>
  <si>
    <t>Binningen</t>
  </si>
  <si>
    <t>Basel-Country</t>
  </si>
  <si>
    <t>katie</t>
  </si>
  <si>
    <t>Ruschlikon</t>
  </si>
  <si>
    <t>Zurich</t>
  </si>
  <si>
    <t>Anne-line</t>
  </si>
  <si>
    <t>Zug</t>
  </si>
  <si>
    <t>Bellinzona</t>
  </si>
  <si>
    <t>Ticino</t>
  </si>
  <si>
    <t>isabel</t>
  </si>
  <si>
    <t>Ruti</t>
  </si>
  <si>
    <t>Shane</t>
  </si>
  <si>
    <t>Versoix</t>
  </si>
  <si>
    <t>Trelex</t>
  </si>
  <si>
    <t>Meredith</t>
  </si>
  <si>
    <t>Kloten</t>
  </si>
  <si>
    <t>Richard and Comfort</t>
  </si>
  <si>
    <t>Regensdorf</t>
  </si>
  <si>
    <t>Yvette</t>
  </si>
  <si>
    <t>Aubonne</t>
  </si>
  <si>
    <t>george</t>
  </si>
  <si>
    <t>Neuchatel</t>
  </si>
  <si>
    <t>VERBENA</t>
  </si>
  <si>
    <t>Basel</t>
  </si>
  <si>
    <t>Basel-Town</t>
  </si>
  <si>
    <t>Plan-les-Ouattes</t>
  </si>
  <si>
    <t>Suejean</t>
  </si>
  <si>
    <t>Gingins</t>
  </si>
  <si>
    <t>minjeong</t>
  </si>
  <si>
    <t>Bern</t>
  </si>
  <si>
    <t>Lusell</t>
  </si>
  <si>
    <t>Oberwil</t>
  </si>
  <si>
    <t>Katrin</t>
  </si>
  <si>
    <t>Zumikon</t>
  </si>
  <si>
    <t>Balgach</t>
  </si>
  <si>
    <t>St Gallen</t>
  </si>
  <si>
    <t>Carouge</t>
  </si>
  <si>
    <t>Tarja</t>
  </si>
  <si>
    <t>Villars</t>
  </si>
  <si>
    <t>Liz</t>
  </si>
  <si>
    <t>Langnau</t>
  </si>
  <si>
    <t>danielle</t>
  </si>
  <si>
    <t>manuela</t>
  </si>
  <si>
    <t>Massagno</t>
  </si>
  <si>
    <t>Begnins</t>
  </si>
  <si>
    <t>Berikon</t>
  </si>
  <si>
    <t>Aargau</t>
  </si>
  <si>
    <t>Tary</t>
  </si>
  <si>
    <t>Kerry</t>
  </si>
  <si>
    <t>Anieres</t>
  </si>
  <si>
    <t>Lesleigh</t>
  </si>
  <si>
    <t>Baden</t>
  </si>
  <si>
    <t>Bonnie</t>
  </si>
  <si>
    <t>Saltsjobaden</t>
  </si>
  <si>
    <t>Stockholm</t>
  </si>
  <si>
    <t>Sweden</t>
  </si>
  <si>
    <t>ayelet</t>
  </si>
  <si>
    <t>Malmo</t>
  </si>
  <si>
    <t>Skane</t>
  </si>
  <si>
    <t>Marion</t>
  </si>
  <si>
    <t>Umea</t>
  </si>
  <si>
    <t>Vasterbotten</t>
  </si>
  <si>
    <t>mary</t>
  </si>
  <si>
    <t>Nacka</t>
  </si>
  <si>
    <t>JP</t>
  </si>
  <si>
    <t>Tierp</t>
  </si>
  <si>
    <t>Uppsala</t>
  </si>
  <si>
    <t>R</t>
  </si>
  <si>
    <t>Danderyd</t>
  </si>
  <si>
    <t>Ed</t>
  </si>
  <si>
    <t>Stocksund</t>
  </si>
  <si>
    <t>Diane</t>
  </si>
  <si>
    <t>Djurgarden</t>
  </si>
  <si>
    <t>Olympe</t>
  </si>
  <si>
    <t>Lidingo</t>
  </si>
  <si>
    <t>Norrkoping</t>
  </si>
  <si>
    <t>Ostergotland</t>
  </si>
  <si>
    <t>Detlev</t>
  </si>
  <si>
    <t>Taby</t>
  </si>
  <si>
    <t>La Alberca</t>
  </si>
  <si>
    <t>Murcia</t>
  </si>
  <si>
    <t>Spain</t>
  </si>
  <si>
    <t>Christof and Heidi</t>
  </si>
  <si>
    <t>Barcelona</t>
  </si>
  <si>
    <t>Catalonia</t>
  </si>
  <si>
    <t>Jan</t>
  </si>
  <si>
    <t>Madrid</t>
  </si>
  <si>
    <t>DOREEN</t>
  </si>
  <si>
    <t>Andrew</t>
  </si>
  <si>
    <t>Sevilla</t>
  </si>
  <si>
    <t>Andalucia</t>
  </si>
  <si>
    <t>Katie</t>
  </si>
  <si>
    <t>Gava</t>
  </si>
  <si>
    <t>Bent Erik</t>
  </si>
  <si>
    <t>Basauri</t>
  </si>
  <si>
    <t>Pais Vasco</t>
  </si>
  <si>
    <t>beatrice</t>
  </si>
  <si>
    <t>Churra</t>
  </si>
  <si>
    <t>Jerome</t>
  </si>
  <si>
    <t>Roza</t>
  </si>
  <si>
    <t>Alcobendas</t>
  </si>
  <si>
    <t>El Escorial</t>
  </si>
  <si>
    <t>DeeDee</t>
  </si>
  <si>
    <t>Songnae-dong</t>
  </si>
  <si>
    <t>Soul-t'ukpyolsi</t>
  </si>
  <si>
    <t>South Korea</t>
  </si>
  <si>
    <t>Roodepoort</t>
  </si>
  <si>
    <t>Gauteng</t>
  </si>
  <si>
    <t>South Africa</t>
  </si>
  <si>
    <t>Filip and Teresa</t>
  </si>
  <si>
    <t>Centurion</t>
  </si>
  <si>
    <t>Marian</t>
  </si>
  <si>
    <t>Durban</t>
  </si>
  <si>
    <t>KwaZulu-Natal</t>
  </si>
  <si>
    <t>Pietermaritzburg</t>
  </si>
  <si>
    <t>Niamh</t>
  </si>
  <si>
    <t>Benoni</t>
  </si>
  <si>
    <t>ron</t>
  </si>
  <si>
    <t>Tsaritsyno</t>
  </si>
  <si>
    <t>Moscow City</t>
  </si>
  <si>
    <t>Russia</t>
  </si>
  <si>
    <t>Gustavo</t>
  </si>
  <si>
    <t>Voluntari</t>
  </si>
  <si>
    <t>Bucuresti</t>
  </si>
  <si>
    <t>Romania</t>
  </si>
  <si>
    <t>Elyssa</t>
  </si>
  <si>
    <t>Gdansk</t>
  </si>
  <si>
    <t>Pomorskie</t>
  </si>
  <si>
    <t>Poland</t>
  </si>
  <si>
    <t>giovanna</t>
  </si>
  <si>
    <t>Pruszkow</t>
  </si>
  <si>
    <t>Mazowieckie</t>
  </si>
  <si>
    <t>Borja</t>
  </si>
  <si>
    <t>Bohol</t>
  </si>
  <si>
    <t>Philippines</t>
  </si>
  <si>
    <t>Baluan</t>
  </si>
  <si>
    <t>General Santos</t>
  </si>
  <si>
    <t>Stefan</t>
  </si>
  <si>
    <t>Stavanger</t>
  </si>
  <si>
    <t>Rogaland</t>
  </si>
  <si>
    <t>Norway</t>
  </si>
  <si>
    <t>Dr. Claudia</t>
  </si>
  <si>
    <t>Oslo</t>
  </si>
  <si>
    <t>Jannik</t>
  </si>
  <si>
    <t>Holmenkollen</t>
  </si>
  <si>
    <t>nicole</t>
  </si>
  <si>
    <t>Liban</t>
  </si>
  <si>
    <t>frauke</t>
  </si>
  <si>
    <t>Horten</t>
  </si>
  <si>
    <t>Vestfold</t>
  </si>
  <si>
    <t>Pia</t>
  </si>
  <si>
    <t>Sola</t>
  </si>
  <si>
    <t>Aardal</t>
  </si>
  <si>
    <t>Sogn og Fjordane</t>
  </si>
  <si>
    <t>Nordstrand</t>
  </si>
  <si>
    <t>Krista</t>
  </si>
  <si>
    <t>Bergen</t>
  </si>
  <si>
    <t>Hordaland</t>
  </si>
  <si>
    <t>sangeeta</t>
  </si>
  <si>
    <t>Vossevangen</t>
  </si>
  <si>
    <t>Selene</t>
  </si>
  <si>
    <t>Stavenger</t>
  </si>
  <si>
    <t>Laleh</t>
  </si>
  <si>
    <t>Aasgaardstrand</t>
  </si>
  <si>
    <t>Tranby</t>
  </si>
  <si>
    <t>Buskerud</t>
  </si>
  <si>
    <t>ZOE</t>
  </si>
  <si>
    <t>New Plymouth City</t>
  </si>
  <si>
    <t>Taranaki</t>
  </si>
  <si>
    <t>New Zealand</t>
  </si>
  <si>
    <t>Torbay</t>
  </si>
  <si>
    <t>Auckland</t>
  </si>
  <si>
    <t>Elsa</t>
  </si>
  <si>
    <t>Waiwera</t>
  </si>
  <si>
    <t>Waiau Pa</t>
  </si>
  <si>
    <t>Hawera</t>
  </si>
  <si>
    <t>Eindhoven</t>
  </si>
  <si>
    <t>Noord-Brabant</t>
  </si>
  <si>
    <t>Netherlands</t>
  </si>
  <si>
    <t>Badhoevedorp</t>
  </si>
  <si>
    <t>Noord-Holland</t>
  </si>
  <si>
    <t>Regina</t>
  </si>
  <si>
    <t>Glimmen</t>
  </si>
  <si>
    <t>Groningen</t>
  </si>
  <si>
    <t>Den Haag</t>
  </si>
  <si>
    <t>Zuid-Holland</t>
  </si>
  <si>
    <t>sunny</t>
  </si>
  <si>
    <t>Amsterdam</t>
  </si>
  <si>
    <t>Antonella</t>
  </si>
  <si>
    <t>Tricia</t>
  </si>
  <si>
    <t>Castricum</t>
  </si>
  <si>
    <t>Larry</t>
  </si>
  <si>
    <t>Naarden</t>
  </si>
  <si>
    <t>Caterina</t>
  </si>
  <si>
    <t>Darrah</t>
  </si>
  <si>
    <t>Angel Marie</t>
  </si>
  <si>
    <t>Ede</t>
  </si>
  <si>
    <t>Gelderland</t>
  </si>
  <si>
    <t>Kelsi</t>
  </si>
  <si>
    <t>Utrecht</t>
  </si>
  <si>
    <t>Nola</t>
  </si>
  <si>
    <t>Brona</t>
  </si>
  <si>
    <t>Hilversum</t>
  </si>
  <si>
    <t>Chris</t>
  </si>
  <si>
    <t>Parth</t>
  </si>
  <si>
    <t>Oegstgeest</t>
  </si>
  <si>
    <t>Mimi</t>
  </si>
  <si>
    <t>Monte-Carlo</t>
  </si>
  <si>
    <t>Monaco</t>
  </si>
  <si>
    <t>Liann</t>
  </si>
  <si>
    <t>Bubuieci</t>
  </si>
  <si>
    <t>Chisinau</t>
  </si>
  <si>
    <t>Moldova</t>
  </si>
  <si>
    <t>Black River</t>
  </si>
  <si>
    <t>Mauritius</t>
  </si>
  <si>
    <t>seemab</t>
  </si>
  <si>
    <t>San Pawl tat-Targa</t>
  </si>
  <si>
    <t>Malta</t>
  </si>
  <si>
    <t>Nadur</t>
  </si>
  <si>
    <t>Diana</t>
  </si>
  <si>
    <t>Kuala Lumpur</t>
  </si>
  <si>
    <t>Malaysia</t>
  </si>
  <si>
    <t>Gasperich</t>
  </si>
  <si>
    <t>Luxembourg</t>
  </si>
  <si>
    <t>Vecmilgravis</t>
  </si>
  <si>
    <t>Riga</t>
  </si>
  <si>
    <t>Latvia</t>
  </si>
  <si>
    <t>Campbell</t>
  </si>
  <si>
    <t>Mushrif</t>
  </si>
  <si>
    <t>Kuwait</t>
  </si>
  <si>
    <t>luisa</t>
  </si>
  <si>
    <t>Gorey</t>
  </si>
  <si>
    <t>Jersey</t>
  </si>
  <si>
    <t>Christy</t>
  </si>
  <si>
    <t>Setagaya</t>
  </si>
  <si>
    <t>Tokyo</t>
  </si>
  <si>
    <t>Japan</t>
  </si>
  <si>
    <t>Anjan</t>
  </si>
  <si>
    <t>Robin</t>
  </si>
  <si>
    <t>Milan</t>
  </si>
  <si>
    <t>Lombardy</t>
  </si>
  <si>
    <t>Italy</t>
  </si>
  <si>
    <t>Vicenza</t>
  </si>
  <si>
    <t>Veneto</t>
  </si>
  <si>
    <t>Leila</t>
  </si>
  <si>
    <t>Ponte San Nicolo</t>
  </si>
  <si>
    <t>Milano</t>
  </si>
  <si>
    <t>Pilar</t>
  </si>
  <si>
    <t>Florence</t>
  </si>
  <si>
    <t>Tuscany</t>
  </si>
  <si>
    <t>don</t>
  </si>
  <si>
    <t>Cagliari</t>
  </si>
  <si>
    <t>Sardinia</t>
  </si>
  <si>
    <t>Katerina</t>
  </si>
  <si>
    <t>Firenze</t>
  </si>
  <si>
    <t>Fernando</t>
  </si>
  <si>
    <t>Grosseto</t>
  </si>
  <si>
    <t>Nacole</t>
  </si>
  <si>
    <t>Jupiterlina Elika</t>
  </si>
  <si>
    <t>Rome</t>
  </si>
  <si>
    <t>Lazio</t>
  </si>
  <si>
    <t>Lucca</t>
  </si>
  <si>
    <t>Michel</t>
  </si>
  <si>
    <t>Lipari</t>
  </si>
  <si>
    <t>Sicilia</t>
  </si>
  <si>
    <t>natalie</t>
  </si>
  <si>
    <t>jure</t>
  </si>
  <si>
    <t>Renee Elisabeth</t>
  </si>
  <si>
    <t>Tel Aviv</t>
  </si>
  <si>
    <t>Israel</t>
  </si>
  <si>
    <t>Leanne</t>
  </si>
  <si>
    <t>Julianstown</t>
  </si>
  <si>
    <t>Meath</t>
  </si>
  <si>
    <t>Ireland</t>
  </si>
  <si>
    <t>Janis</t>
  </si>
  <si>
    <t>Ballynora</t>
  </si>
  <si>
    <t>Cork</t>
  </si>
  <si>
    <t>Anupam</t>
  </si>
  <si>
    <t>Kinsaley</t>
  </si>
  <si>
    <t>Dublin</t>
  </si>
  <si>
    <t>Danielle</t>
  </si>
  <si>
    <t>Rathgar</t>
  </si>
  <si>
    <t>Roger</t>
  </si>
  <si>
    <t>Urlingford</t>
  </si>
  <si>
    <t>Kilkenny</t>
  </si>
  <si>
    <t>Julianne</t>
  </si>
  <si>
    <t>Navan</t>
  </si>
  <si>
    <t>Lesley</t>
  </si>
  <si>
    <t>Alan</t>
  </si>
  <si>
    <t>Malahide</t>
  </si>
  <si>
    <t>Leah</t>
  </si>
  <si>
    <t>Castleknock</t>
  </si>
  <si>
    <t>Laine</t>
  </si>
  <si>
    <t>Tara</t>
  </si>
  <si>
    <t>Killiney</t>
  </si>
  <si>
    <t>Helga</t>
  </si>
  <si>
    <t>Clontarf</t>
  </si>
  <si>
    <t>Nita</t>
  </si>
  <si>
    <t>Sutton</t>
  </si>
  <si>
    <t>Santry</t>
  </si>
  <si>
    <t>burt</t>
  </si>
  <si>
    <t>Rathfarnham</t>
  </si>
  <si>
    <t>Sandymount</t>
  </si>
  <si>
    <t>Saggart</t>
  </si>
  <si>
    <t>Ec</t>
  </si>
  <si>
    <t>Clonmel</t>
  </si>
  <si>
    <t>Tipperary</t>
  </si>
  <si>
    <t>Drogheda</t>
  </si>
  <si>
    <t>Louth</t>
  </si>
  <si>
    <t>Newcastle</t>
  </si>
  <si>
    <t>Wicklow</t>
  </si>
  <si>
    <t>Dun Laoghaire</t>
  </si>
  <si>
    <t>jo</t>
  </si>
  <si>
    <t>Ballincollig</t>
  </si>
  <si>
    <t>Castlebar</t>
  </si>
  <si>
    <t>Mayo</t>
  </si>
  <si>
    <t>Oswald</t>
  </si>
  <si>
    <t>Tramore</t>
  </si>
  <si>
    <t>Waterford</t>
  </si>
  <si>
    <t>michelle</t>
  </si>
  <si>
    <t>Arklow</t>
  </si>
  <si>
    <t>Shona</t>
  </si>
  <si>
    <t>Mornington</t>
  </si>
  <si>
    <t>Rima</t>
  </si>
  <si>
    <t>Mullingar</t>
  </si>
  <si>
    <t>Westmeath</t>
  </si>
  <si>
    <t>Peter</t>
  </si>
  <si>
    <t>Shankill</t>
  </si>
  <si>
    <t>Elyse</t>
  </si>
  <si>
    <t>Bandon</t>
  </si>
  <si>
    <t>Maryse</t>
  </si>
  <si>
    <t>Baile Atha Bui</t>
  </si>
  <si>
    <t>Dana</t>
  </si>
  <si>
    <t>Thurles</t>
  </si>
  <si>
    <t>Rowena</t>
  </si>
  <si>
    <t>Sneem</t>
  </si>
  <si>
    <t>Lilly</t>
  </si>
  <si>
    <t>Kilcornan</t>
  </si>
  <si>
    <t>Limerick</t>
  </si>
  <si>
    <t>Blarney</t>
  </si>
  <si>
    <t>claire</t>
  </si>
  <si>
    <t>Ballyneety</t>
  </si>
  <si>
    <t>Andree</t>
  </si>
  <si>
    <t>Newmarket</t>
  </si>
  <si>
    <t>Shiree</t>
  </si>
  <si>
    <t>Clondalkin</t>
  </si>
  <si>
    <t>Tracey</t>
  </si>
  <si>
    <t>Harold's Cross</t>
  </si>
  <si>
    <t>Jackie</t>
  </si>
  <si>
    <t>philippa katherine</t>
  </si>
  <si>
    <t>Cabinteely</t>
  </si>
  <si>
    <t>Alexia</t>
  </si>
  <si>
    <t>Blackrock</t>
  </si>
  <si>
    <t>Gloria Gail</t>
  </si>
  <si>
    <t>Foxrock</t>
  </si>
  <si>
    <t>barbara</t>
  </si>
  <si>
    <t>Hyderabad</t>
  </si>
  <si>
    <t>Andhra Pradesh</t>
  </si>
  <si>
    <t>India</t>
  </si>
  <si>
    <t>Gurgaon</t>
  </si>
  <si>
    <t>Haryana</t>
  </si>
  <si>
    <t>Camille and Carmen</t>
  </si>
  <si>
    <t>Thorlakshofn</t>
  </si>
  <si>
    <t>Iceland</t>
  </si>
  <si>
    <t>christina</t>
  </si>
  <si>
    <t>Chepel</t>
  </si>
  <si>
    <t>Budapest</t>
  </si>
  <si>
    <t>Hungary</t>
  </si>
  <si>
    <t>Aideen and Jonathan</t>
  </si>
  <si>
    <t>Kecskemet</t>
  </si>
  <si>
    <t>Bacs-Kiskun</t>
  </si>
  <si>
    <t>Line</t>
  </si>
  <si>
    <t>Budaors</t>
  </si>
  <si>
    <t>Pest</t>
  </si>
  <si>
    <t>Ana</t>
  </si>
  <si>
    <t>Hong Kong</t>
  </si>
  <si>
    <t>Glen</t>
  </si>
  <si>
    <t>Atlantida</t>
  </si>
  <si>
    <t>Guatemala</t>
  </si>
  <si>
    <t>Chevonne</t>
  </si>
  <si>
    <t>Athina</t>
  </si>
  <si>
    <t>Attiki</t>
  </si>
  <si>
    <t>Greece</t>
  </si>
  <si>
    <t>Marcia</t>
  </si>
  <si>
    <t>Telgte</t>
  </si>
  <si>
    <t>Nordrhein-Westfalen</t>
  </si>
  <si>
    <t>Germany</t>
  </si>
  <si>
    <t>Hofheim am Taunus</t>
  </si>
  <si>
    <t>Hessen</t>
  </si>
  <si>
    <t>Caren</t>
  </si>
  <si>
    <t>Braunschweig</t>
  </si>
  <si>
    <t>Lower Saxony</t>
  </si>
  <si>
    <t>Saraya</t>
  </si>
  <si>
    <t>Dresden</t>
  </si>
  <si>
    <t>Saxony</t>
  </si>
  <si>
    <t>Lucien</t>
  </si>
  <si>
    <t>Wiesbaden</t>
  </si>
  <si>
    <t>Oldenburg</t>
  </si>
  <si>
    <t>Irene</t>
  </si>
  <si>
    <t>Munich</t>
  </si>
  <si>
    <t>Bayern</t>
  </si>
  <si>
    <t>Glan-Munchweiler</t>
  </si>
  <si>
    <t>Rhineland-Palatinate</t>
  </si>
  <si>
    <t>Berlin</t>
  </si>
  <si>
    <t>Beate</t>
  </si>
  <si>
    <t>Hamburg</t>
  </si>
  <si>
    <t>Gries</t>
  </si>
  <si>
    <t>Carmela</t>
  </si>
  <si>
    <t>Hannover</t>
  </si>
  <si>
    <t>Bato</t>
  </si>
  <si>
    <t>Munchengosserstadt</t>
  </si>
  <si>
    <t>Thuringia</t>
  </si>
  <si>
    <t>Rich</t>
  </si>
  <si>
    <t>Ingelheim-Mitte</t>
  </si>
  <si>
    <t>Hanna Agla</t>
  </si>
  <si>
    <t>Donauworth</t>
  </si>
  <si>
    <t>Ehingen an der Donau</t>
  </si>
  <si>
    <t>Baden-Wurttemberg</t>
  </si>
  <si>
    <t>Ludwigsburg</t>
  </si>
  <si>
    <t>amy</t>
  </si>
  <si>
    <t>Stuttgart</t>
  </si>
  <si>
    <t>Karen and Andrew</t>
  </si>
  <si>
    <t>Munchen</t>
  </si>
  <si>
    <t>Dania</t>
  </si>
  <si>
    <t>Damian</t>
  </si>
  <si>
    <t>Mettlach</t>
  </si>
  <si>
    <t>Saarland</t>
  </si>
  <si>
    <t>Evelyn</t>
  </si>
  <si>
    <t>Grossbodungen</t>
  </si>
  <si>
    <t>stacy</t>
  </si>
  <si>
    <t>Aidan</t>
  </si>
  <si>
    <t>Chatou</t>
  </si>
  <si>
    <t>Ile-de-France</t>
  </si>
  <si>
    <t>France</t>
  </si>
  <si>
    <t>Rouen</t>
  </si>
  <si>
    <t>Upper Normandy</t>
  </si>
  <si>
    <t>Tiffany</t>
  </si>
  <si>
    <t>Paris</t>
  </si>
  <si>
    <t>Rennes</t>
  </si>
  <si>
    <t>Roquefort</t>
  </si>
  <si>
    <t>Provence-Alpes-Cote d'Azur</t>
  </si>
  <si>
    <t>Brulon</t>
  </si>
  <si>
    <t>Pays de la Loire</t>
  </si>
  <si>
    <t>Jane</t>
  </si>
  <si>
    <t>Biot</t>
  </si>
  <si>
    <t>James</t>
  </si>
  <si>
    <t>Guer</t>
  </si>
  <si>
    <t>Sabrina</t>
  </si>
  <si>
    <t>Rambouillet</t>
  </si>
  <si>
    <t>Veigy-Foncenex</t>
  </si>
  <si>
    <t>Rhone-Alpes</t>
  </si>
  <si>
    <t>Jag</t>
  </si>
  <si>
    <t>Saint-Cergues</t>
  </si>
  <si>
    <t>Adam</t>
  </si>
  <si>
    <t>Besancon</t>
  </si>
  <si>
    <t>Franche-Comte</t>
  </si>
  <si>
    <t>Ornex</t>
  </si>
  <si>
    <t>Ferney-Voltaire</t>
  </si>
  <si>
    <t>steve</t>
  </si>
  <si>
    <t>Evires</t>
  </si>
  <si>
    <t>M George</t>
  </si>
  <si>
    <t>Oscar</t>
  </si>
  <si>
    <t>Chamonix-Mont-Blanc</t>
  </si>
  <si>
    <t>Arc-et-Senans</t>
  </si>
  <si>
    <t>Kasey</t>
  </si>
  <si>
    <t>Aix-en-Provence</t>
  </si>
  <si>
    <t>Antibes</t>
  </si>
  <si>
    <t>Olga</t>
  </si>
  <si>
    <t>Strasbourg</t>
  </si>
  <si>
    <t>Alsace</t>
  </si>
  <si>
    <t>brian</t>
  </si>
  <si>
    <t>Hagen</t>
  </si>
  <si>
    <t>Lorraine</t>
  </si>
  <si>
    <t>Ghislaine</t>
  </si>
  <si>
    <t>Lena</t>
  </si>
  <si>
    <t>Kuopio</t>
  </si>
  <si>
    <t>Ita-Suomen Laani</t>
  </si>
  <si>
    <t>Finland</t>
  </si>
  <si>
    <t>smith</t>
  </si>
  <si>
    <t>Lahti</t>
  </si>
  <si>
    <t>Etela-Suomen Laani</t>
  </si>
  <si>
    <t>Santo Domingo City</t>
  </si>
  <si>
    <t>Distrito Nacional</t>
  </si>
  <si>
    <t>Dominican Republic</t>
  </si>
  <si>
    <t>Mehmet Fatih</t>
  </si>
  <si>
    <t>Helsingor</t>
  </si>
  <si>
    <t>Frederiksborg</t>
  </si>
  <si>
    <t>Denmark</t>
  </si>
  <si>
    <t>simone</t>
  </si>
  <si>
    <t>Kobenhavn</t>
  </si>
  <si>
    <t>Alice</t>
  </si>
  <si>
    <t>Nakskov</t>
  </si>
  <si>
    <t>Storstrom</t>
  </si>
  <si>
    <t>Si</t>
  </si>
  <si>
    <t>Holte</t>
  </si>
  <si>
    <t>Gerlinde</t>
  </si>
  <si>
    <t>Hellerup</t>
  </si>
  <si>
    <t>Cameron</t>
  </si>
  <si>
    <t>Rungsted</t>
  </si>
  <si>
    <t>GAIA</t>
  </si>
  <si>
    <t>Soro</t>
  </si>
  <si>
    <t>Vestsjalland</t>
  </si>
  <si>
    <t>Lyngby</t>
  </si>
  <si>
    <t>George</t>
  </si>
  <si>
    <t>Kjobenhavn</t>
  </si>
  <si>
    <t>Staden Kobenhavn</t>
  </si>
  <si>
    <t>Tomasz</t>
  </si>
  <si>
    <t>Klampenborg</t>
  </si>
  <si>
    <t>Brondby Strand</t>
  </si>
  <si>
    <t>Majken</t>
  </si>
  <si>
    <t>Charlottenlund</t>
  </si>
  <si>
    <t>Laasby</t>
  </si>
  <si>
    <t>Arhus</t>
  </si>
  <si>
    <t>Suchdol</t>
  </si>
  <si>
    <t>Prague</t>
  </si>
  <si>
    <t>Czech Republic</t>
  </si>
  <si>
    <t>Central Bohemia</t>
  </si>
  <si>
    <t>Hradec Kralove</t>
  </si>
  <si>
    <t>East Bohemia</t>
  </si>
  <si>
    <t>melanie</t>
  </si>
  <si>
    <t>Santa Barbaraa</t>
  </si>
  <si>
    <t>Heredia</t>
  </si>
  <si>
    <t>Costa Rica</t>
  </si>
  <si>
    <t>Taicheng</t>
  </si>
  <si>
    <t>Guangdong</t>
  </si>
  <si>
    <t>China</t>
  </si>
  <si>
    <t>Daria</t>
  </si>
  <si>
    <t>George Town</t>
  </si>
  <si>
    <t>Cayman Isls</t>
  </si>
  <si>
    <t>Ottawa</t>
  </si>
  <si>
    <t>Ontario</t>
  </si>
  <si>
    <t>Canada</t>
  </si>
  <si>
    <t>Anushka</t>
  </si>
  <si>
    <t>Maple Ridge District Municipality</t>
  </si>
  <si>
    <t>British Columbia</t>
  </si>
  <si>
    <t>Baybars</t>
  </si>
  <si>
    <t>Prince Albert</t>
  </si>
  <si>
    <t>Saskatchewan</t>
  </si>
  <si>
    <t>Gina</t>
  </si>
  <si>
    <t>Red Deer</t>
  </si>
  <si>
    <t>Alberta</t>
  </si>
  <si>
    <t>Calgary</t>
  </si>
  <si>
    <t>Bruce</t>
  </si>
  <si>
    <t>Belleville</t>
  </si>
  <si>
    <t>Lydia</t>
  </si>
  <si>
    <t>Comox</t>
  </si>
  <si>
    <t>nathalie</t>
  </si>
  <si>
    <t>Lindi</t>
  </si>
  <si>
    <t>Vancouver</t>
  </si>
  <si>
    <t>Gerhard</t>
  </si>
  <si>
    <t>Alliston</t>
  </si>
  <si>
    <t>Kofi</t>
  </si>
  <si>
    <t>Tsawwassen</t>
  </si>
  <si>
    <t>Okotoks</t>
  </si>
  <si>
    <t>Kanata</t>
  </si>
  <si>
    <t>Annelies</t>
  </si>
  <si>
    <t>Ile-Perrot</t>
  </si>
  <si>
    <t>Quebec</t>
  </si>
  <si>
    <t>Sarka</t>
  </si>
  <si>
    <t>Yellowknife</t>
  </si>
  <si>
    <t>Northwest Territories</t>
  </si>
  <si>
    <t>Winnipeg</t>
  </si>
  <si>
    <t>Manitoba</t>
  </si>
  <si>
    <t>Denise</t>
  </si>
  <si>
    <t>Montreal</t>
  </si>
  <si>
    <t>Jeffrey</t>
  </si>
  <si>
    <t>Montreal-Nord</t>
  </si>
  <si>
    <t>Kelowna</t>
  </si>
  <si>
    <t>Gabriel</t>
  </si>
  <si>
    <t>Three Hills</t>
  </si>
  <si>
    <t>Priska</t>
  </si>
  <si>
    <t>Tina</t>
  </si>
  <si>
    <t>Damali</t>
  </si>
  <si>
    <t>Toronto</t>
  </si>
  <si>
    <t>L</t>
  </si>
  <si>
    <t>Alcona</t>
  </si>
  <si>
    <t>Anse Comeau</t>
  </si>
  <si>
    <t>Ginger</t>
  </si>
  <si>
    <t>King City</t>
  </si>
  <si>
    <t>Saint Catharines</t>
  </si>
  <si>
    <t>maria</t>
  </si>
  <si>
    <t>Christyna</t>
  </si>
  <si>
    <t>Sharon</t>
  </si>
  <si>
    <t>Ajax</t>
  </si>
  <si>
    <t>Yana</t>
  </si>
  <si>
    <t>North Bay</t>
  </si>
  <si>
    <t>Henrietta</t>
  </si>
  <si>
    <t>Debra</t>
  </si>
  <si>
    <t>Saskatoon</t>
  </si>
  <si>
    <t>Benoit</t>
  </si>
  <si>
    <t>Fort Saint James</t>
  </si>
  <si>
    <t>Hamilton</t>
  </si>
  <si>
    <t>Kendra</t>
  </si>
  <si>
    <t>Derrick</t>
  </si>
  <si>
    <t>Trine Marie</t>
  </si>
  <si>
    <t>Orillia</t>
  </si>
  <si>
    <t>familly</t>
  </si>
  <si>
    <t>Creemore</t>
  </si>
  <si>
    <t>Precious</t>
  </si>
  <si>
    <t>Edmonton</t>
  </si>
  <si>
    <t>Mona</t>
  </si>
  <si>
    <t>jacqueline</t>
  </si>
  <si>
    <t>North Vancouver</t>
  </si>
  <si>
    <t>Paul</t>
  </si>
  <si>
    <t>Burnaby</t>
  </si>
  <si>
    <t>Cornwall</t>
  </si>
  <si>
    <t>Mount Forest</t>
  </si>
  <si>
    <t>sorcha</t>
  </si>
  <si>
    <t>Cartierville</t>
  </si>
  <si>
    <t>isabelle</t>
  </si>
  <si>
    <t>Sainte-Therese-de-Blainville</t>
  </si>
  <si>
    <t>Lolarae</t>
  </si>
  <si>
    <t>Jenevieve</t>
  </si>
  <si>
    <t>Guelph</t>
  </si>
  <si>
    <t>Simcoe</t>
  </si>
  <si>
    <t>Joern</t>
  </si>
  <si>
    <t>Karoline</t>
  </si>
  <si>
    <t>Powell River</t>
  </si>
  <si>
    <t>Alessandra</t>
  </si>
  <si>
    <t>loudon</t>
  </si>
  <si>
    <t>Mission</t>
  </si>
  <si>
    <t>Brandi</t>
  </si>
  <si>
    <t>Tanya</t>
  </si>
  <si>
    <t>Carcross</t>
  </si>
  <si>
    <t>Yukon Territory</t>
  </si>
  <si>
    <t>Stephen</t>
  </si>
  <si>
    <t>TG</t>
  </si>
  <si>
    <t>Zagore</t>
  </si>
  <si>
    <t>Stara Zagora</t>
  </si>
  <si>
    <t>Bulgaria</t>
  </si>
  <si>
    <t>Joachim</t>
  </si>
  <si>
    <t>Fortaleza</t>
  </si>
  <si>
    <t>Ceara</t>
  </si>
  <si>
    <t>Brazil</t>
  </si>
  <si>
    <t>Campinas</t>
  </si>
  <si>
    <t>Sao Paulo</t>
  </si>
  <si>
    <t>Porto Alegre</t>
  </si>
  <si>
    <t>Rio Grande do Sul</t>
  </si>
  <si>
    <t>Lesa</t>
  </si>
  <si>
    <t>Vespasiano</t>
  </si>
  <si>
    <t>Minas Gerais</t>
  </si>
  <si>
    <t>Michaela</t>
  </si>
  <si>
    <t>Mafra</t>
  </si>
  <si>
    <t>Santa Catarina</t>
  </si>
  <si>
    <t>Bermuda</t>
  </si>
  <si>
    <t>Brussels</t>
  </si>
  <si>
    <t>Brussels (Bruxelles)</t>
  </si>
  <si>
    <t>Belgium</t>
  </si>
  <si>
    <t>Jocelyn</t>
  </si>
  <si>
    <t>Bruxelles</t>
  </si>
  <si>
    <t>Christine</t>
  </si>
  <si>
    <t>Antwerpen</t>
  </si>
  <si>
    <t>Geraldine</t>
  </si>
  <si>
    <t>Audrey</t>
  </si>
  <si>
    <t>mike</t>
  </si>
  <si>
    <t>La Louviere</t>
  </si>
  <si>
    <t>Hainaut</t>
  </si>
  <si>
    <t>Dez</t>
  </si>
  <si>
    <t>Al 'Adliyah</t>
  </si>
  <si>
    <t>Al Manamah</t>
  </si>
  <si>
    <t>Bahrain</t>
  </si>
  <si>
    <t>Austria</t>
  </si>
  <si>
    <t>corina</t>
  </si>
  <si>
    <t>Neustift am Walde</t>
  </si>
  <si>
    <t>manon</t>
  </si>
  <si>
    <t>Altlengbach</t>
  </si>
  <si>
    <t>Lower Austria</t>
  </si>
  <si>
    <t>Tamara</t>
  </si>
  <si>
    <t>Klosterneuburg</t>
  </si>
  <si>
    <t>WalcProduct3ee</t>
  </si>
  <si>
    <t>Tyrol</t>
  </si>
  <si>
    <t>Macy</t>
  </si>
  <si>
    <t>Inner City</t>
  </si>
  <si>
    <t>Gouya</t>
  </si>
  <si>
    <t>Echuca</t>
  </si>
  <si>
    <t>Victoria</t>
  </si>
  <si>
    <t>Australia</t>
  </si>
  <si>
    <t>Burpengary</t>
  </si>
  <si>
    <t>Queensland</t>
  </si>
  <si>
    <t>Melbourne</t>
  </si>
  <si>
    <t>Gold Coast</t>
  </si>
  <si>
    <t>IMAN</t>
  </si>
  <si>
    <t>Brisbane</t>
  </si>
  <si>
    <t>jeremy</t>
  </si>
  <si>
    <t>Charlestown</t>
  </si>
  <si>
    <t>New South Wales</t>
  </si>
  <si>
    <t>The Grange</t>
  </si>
  <si>
    <t>Bob</t>
  </si>
  <si>
    <t>Sydney</t>
  </si>
  <si>
    <t>Wollongong</t>
  </si>
  <si>
    <t>Morgan</t>
  </si>
  <si>
    <t>Coomera</t>
  </si>
  <si>
    <t>STEPHANIE</t>
  </si>
  <si>
    <t>Mona Vale</t>
  </si>
  <si>
    <t>Emma</t>
  </si>
  <si>
    <t>Nerang</t>
  </si>
  <si>
    <t>South Melbourne</t>
  </si>
  <si>
    <t>nina</t>
  </si>
  <si>
    <t>Parramatta</t>
  </si>
  <si>
    <t>eva</t>
  </si>
  <si>
    <t>Gisborne</t>
  </si>
  <si>
    <t>Griffith</t>
  </si>
  <si>
    <t>Lindfield</t>
  </si>
  <si>
    <t>Ruangrote</t>
  </si>
  <si>
    <t>Dawn</t>
  </si>
  <si>
    <t>Vaucluse</t>
  </si>
  <si>
    <t>Lyndoch</t>
  </si>
  <si>
    <t>South Australia</t>
  </si>
  <si>
    <t>Western Australia</t>
  </si>
  <si>
    <t>Anglesea</t>
  </si>
  <si>
    <t>Perth City</t>
  </si>
  <si>
    <t>Ellen Walton</t>
  </si>
  <si>
    <t>Kees en Valesca</t>
  </si>
  <si>
    <t>Scamander</t>
  </si>
  <si>
    <t>Tasmania</t>
  </si>
  <si>
    <t>Dean</t>
  </si>
  <si>
    <t>Rockingham</t>
  </si>
  <si>
    <t>Kirsten</t>
  </si>
  <si>
    <t>Piret</t>
  </si>
  <si>
    <t>Bunbury</t>
  </si>
  <si>
    <t>Birkdale</t>
  </si>
  <si>
    <t>Polyxene</t>
  </si>
  <si>
    <t>clara</t>
  </si>
  <si>
    <t>KELI</t>
  </si>
  <si>
    <t>Worongary</t>
  </si>
  <si>
    <t>Anke</t>
  </si>
  <si>
    <t>Avalon</t>
  </si>
  <si>
    <t>TRICIA</t>
  </si>
  <si>
    <t>pamela</t>
  </si>
  <si>
    <t>Ayacucho</t>
  </si>
  <si>
    <t>Buenos Aires</t>
  </si>
  <si>
    <t>Argentina</t>
  </si>
  <si>
    <t>Transaction date</t>
  </si>
  <si>
    <t>Transaction time.1</t>
  </si>
  <si>
    <t>Time range</t>
  </si>
  <si>
    <t>Weekdays</t>
  </si>
  <si>
    <t>AM</t>
  </si>
  <si>
    <t>PM</t>
  </si>
  <si>
    <t>Row Labels</t>
  </si>
  <si>
    <t>Grand Total</t>
  </si>
  <si>
    <t>year</t>
  </si>
  <si>
    <t>last login</t>
  </si>
  <si>
    <t>new Transaction time</t>
  </si>
  <si>
    <t xml:space="preserve">checked selected time range </t>
  </si>
  <si>
    <t>Transaction</t>
  </si>
  <si>
    <t xml:space="preserve"> Sales %</t>
  </si>
  <si>
    <t>Average Sales</t>
  </si>
  <si>
    <t>percentage</t>
  </si>
  <si>
    <t xml:space="preserve">Sales </t>
  </si>
  <si>
    <t>condition 1</t>
  </si>
  <si>
    <t>condition 2</t>
  </si>
  <si>
    <t>extract</t>
  </si>
  <si>
    <t xml:space="preserve">American express </t>
  </si>
  <si>
    <t>Visa card</t>
  </si>
  <si>
    <t>payment type</t>
  </si>
  <si>
    <t>Sum of Sales</t>
  </si>
  <si>
    <t>Sum of Sales2</t>
  </si>
  <si>
    <t>time range</t>
  </si>
  <si>
    <t>am and pm</t>
  </si>
  <si>
    <t>condition</t>
  </si>
  <si>
    <t>payment type card</t>
  </si>
  <si>
    <t>Transaction date with year</t>
  </si>
  <si>
    <t>04-Jan 2009</t>
  </si>
  <si>
    <t>25-Jan 2009</t>
  </si>
  <si>
    <t xml:space="preserve">top  selling days </t>
  </si>
  <si>
    <t xml:space="preserve"> least selling days</t>
  </si>
  <si>
    <t>hours</t>
  </si>
  <si>
    <t>hour sales analysis</t>
  </si>
  <si>
    <t>extract the top sale base on time ranges</t>
  </si>
  <si>
    <t xml:space="preserve">sales </t>
  </si>
  <si>
    <t>11-Jan 2009</t>
  </si>
  <si>
    <t>18-Jan 2009</t>
  </si>
  <si>
    <t>11 AM</t>
  </si>
  <si>
    <t>1 AM</t>
  </si>
  <si>
    <t>10 AM</t>
  </si>
  <si>
    <t>6 AM</t>
  </si>
  <si>
    <t>8 AM</t>
  </si>
  <si>
    <t>7 AM</t>
  </si>
  <si>
    <t>5 AM</t>
  </si>
  <si>
    <t>2 AM</t>
  </si>
  <si>
    <t>9 AM</t>
  </si>
  <si>
    <t>4 AM</t>
  </si>
  <si>
    <t>3 AM</t>
  </si>
  <si>
    <t>09-Jan 2009</t>
  </si>
  <si>
    <t>10-Jan 2009</t>
  </si>
  <si>
    <t>27-Jan 2009</t>
  </si>
  <si>
    <t>31-Jan 2009</t>
  </si>
  <si>
    <t>17-Jan 2009</t>
  </si>
  <si>
    <t>15-Jan 2009</t>
  </si>
  <si>
    <t>28-Jan 2009</t>
  </si>
  <si>
    <t>30-Jan 2009</t>
  </si>
  <si>
    <t>16-Jan 2009</t>
  </si>
  <si>
    <t>23-Jan 2009</t>
  </si>
  <si>
    <t>08-Jan 2009</t>
  </si>
  <si>
    <t>19-Jan 2009</t>
  </si>
  <si>
    <t>20-Jan 2009</t>
  </si>
  <si>
    <t>29-Jan 2009</t>
  </si>
  <si>
    <t>24-Jan 2009</t>
  </si>
  <si>
    <t>21-Jan 2009</t>
  </si>
  <si>
    <t>03-Jan 2009</t>
  </si>
  <si>
    <t>26-Jan 2009</t>
  </si>
  <si>
    <t>06-Jan 2009</t>
  </si>
  <si>
    <t>01-Jan 2009</t>
  </si>
  <si>
    <t>02-Jan 2009</t>
  </si>
  <si>
    <t>05-Jan 2009</t>
  </si>
  <si>
    <t>12-Jan 2009</t>
  </si>
  <si>
    <t>07-Jan 2009</t>
  </si>
  <si>
    <t>14-Jan 2009</t>
  </si>
  <si>
    <t>13-Jan 2009</t>
  </si>
  <si>
    <t>22-Jan 2009</t>
  </si>
  <si>
    <t>12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</si>
</sst>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ddd"/>
    <numFmt numFmtId="165" formatCode="[$-409]d\-mmm;@"/>
    <numFmt numFmtId="166" formatCode="[$-F400]h:mm:ss\ AM/PM"/>
    <numFmt numFmtId="167" formatCode="[$-F400]h\.mm\.ss\ AM/PM"/>
    <numFmt numFmtId="168" formatCode="&quot;₹&quot;\ #,##0"/>
    <numFmt numFmtId="169" formatCode="0.0%"/>
  </numFmts>
  <fonts count="4" x14ac:knownFonts="1">
    <font>
      <sz val="11"/>
      <color theme="1"/>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rgb="FFFFFF00"/>
        <bgColor indexed="64"/>
      </patternFill>
    </fill>
  </fills>
  <borders count="4">
    <border>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30">
    <xf numFmtId="0" fontId="0" fillId="0" borderId="0" xfId="0"/>
    <xf numFmtId="0" fontId="1" fillId="2" borderId="1" xfId="0" applyFont="1" applyFill="1" applyBorder="1"/>
    <xf numFmtId="0" fontId="1" fillId="2" borderId="2" xfId="0" applyFont="1" applyFill="1" applyBorder="1"/>
    <xf numFmtId="0" fontId="0" fillId="3" borderId="1" xfId="0" applyFill="1" applyBorder="1"/>
    <xf numFmtId="22" fontId="0" fillId="3" borderId="1" xfId="0" applyNumberFormat="1" applyFill="1" applyBorder="1"/>
    <xf numFmtId="0" fontId="0" fillId="3" borderId="2" xfId="0" applyFill="1" applyBorder="1"/>
    <xf numFmtId="0" fontId="0" fillId="0" borderId="1" xfId="0" applyBorder="1"/>
    <xf numFmtId="22" fontId="0" fillId="0" borderId="1" xfId="0" applyNumberFormat="1" applyBorder="1"/>
    <xf numFmtId="0" fontId="0" fillId="0" borderId="2" xfId="0" applyBorder="1"/>
    <xf numFmtId="164" fontId="0" fillId="0" borderId="0" xfId="0" applyNumberFormat="1"/>
    <xf numFmtId="165" fontId="0" fillId="0" borderId="0" xfId="0" applyNumberFormat="1"/>
    <xf numFmtId="166" fontId="0" fillId="0" borderId="0" xfId="0" applyNumberFormat="1"/>
    <xf numFmtId="0" fontId="0" fillId="4" borderId="0" xfId="0" applyFill="1"/>
    <xf numFmtId="0" fontId="0" fillId="0" borderId="0" xfId="0" pivotButton="1"/>
    <xf numFmtId="0" fontId="0" fillId="0" borderId="0" xfId="0" applyAlignment="1">
      <alignment horizontal="left"/>
    </xf>
    <xf numFmtId="22" fontId="0" fillId="3" borderId="1" xfId="0" applyNumberFormat="1" applyFill="1" applyBorder="1" applyAlignment="1">
      <alignment horizontal="right"/>
    </xf>
    <xf numFmtId="14" fontId="0" fillId="0" borderId="0" xfId="0" applyNumberFormat="1"/>
    <xf numFmtId="0" fontId="1" fillId="2" borderId="0" xfId="0" applyFont="1" applyFill="1"/>
    <xf numFmtId="167" fontId="0" fillId="3" borderId="2" xfId="0" applyNumberFormat="1" applyFill="1" applyBorder="1"/>
    <xf numFmtId="167" fontId="0" fillId="0" borderId="2" xfId="0" applyNumberFormat="1" applyBorder="1"/>
    <xf numFmtId="168" fontId="0" fillId="0" borderId="0" xfId="0" applyNumberFormat="1"/>
    <xf numFmtId="10" fontId="0" fillId="0" borderId="0" xfId="0" applyNumberFormat="1"/>
    <xf numFmtId="169" fontId="0" fillId="0" borderId="0" xfId="0" applyNumberFormat="1"/>
    <xf numFmtId="9" fontId="0" fillId="0" borderId="0" xfId="1" applyFont="1"/>
    <xf numFmtId="0" fontId="0" fillId="5" borderId="0" xfId="0" applyFill="1"/>
    <xf numFmtId="0" fontId="3" fillId="5" borderId="0" xfId="0" applyFont="1" applyFill="1"/>
    <xf numFmtId="0" fontId="0" fillId="0" borderId="3" xfId="0" applyBorder="1" applyAlignment="1">
      <alignment horizontal="left"/>
    </xf>
    <xf numFmtId="0" fontId="0" fillId="0" borderId="3" xfId="0" applyBorder="1"/>
    <xf numFmtId="164" fontId="0" fillId="0" borderId="0" xfId="0" applyNumberFormat="1" applyAlignment="1">
      <alignment horizontal="left"/>
    </xf>
    <xf numFmtId="0" fontId="0" fillId="0" borderId="0" xfId="0" applyNumberFormat="1"/>
  </cellXfs>
  <cellStyles count="2">
    <cellStyle name="Normal" xfId="0" builtinId="0"/>
    <cellStyle name="Percent" xfId="1" builtinId="5"/>
  </cellStyles>
  <dxfs count="25">
    <dxf>
      <numFmt numFmtId="164" formatCode="ddd"/>
    </dxf>
    <dxf>
      <numFmt numFmtId="0" formatCode="General"/>
    </dxf>
    <dxf>
      <numFmt numFmtId="0" formatCode="General"/>
    </dxf>
    <dxf>
      <numFmt numFmtId="0" formatCode="General"/>
    </dxf>
    <dxf>
      <numFmt numFmtId="0" formatCode="General"/>
    </dxf>
    <dxf>
      <numFmt numFmtId="0" formatCode="General"/>
    </dxf>
    <dxf>
      <numFmt numFmtId="166" formatCode="[$-F400]h:mm:ss\ AM/PM"/>
    </dxf>
    <dxf>
      <numFmt numFmtId="165" formatCode="[$-409]d\-mmm;@"/>
    </dxf>
    <dxf>
      <numFmt numFmtId="165" formatCode="[$-409]d\-mmm;@"/>
    </dxf>
    <dxf>
      <numFmt numFmtId="0" formatCode="General"/>
    </dxf>
    <dxf>
      <numFmt numFmtId="168" formatCode="&quot;₹&quot;\ #,##0"/>
    </dxf>
    <dxf>
      <numFmt numFmtId="168" formatCode="&quot;₹&quot;\ #,##0"/>
    </dxf>
    <dxf>
      <numFmt numFmtId="168" formatCode="&quot;₹&quot;\ #,##0"/>
    </dxf>
    <dxf>
      <numFmt numFmtId="168" formatCode="&quot;₹&quot;\ #,##0"/>
    </dxf>
    <dxf>
      <numFmt numFmtId="168" formatCode="&quot;₹&quot;\ #,##0"/>
    </dxf>
    <dxf>
      <numFmt numFmtId="168" formatCode="&quot;₹&quot;\ #,##0"/>
    </dxf>
    <dxf>
      <numFmt numFmtId="14" formatCode="0.00%"/>
    </dxf>
    <dxf>
      <numFmt numFmtId="168" formatCode="&quot;₹&quot;\ #,##0"/>
    </dxf>
    <dxf>
      <numFmt numFmtId="168" formatCode="&quot;₹&quot;\ #,##0"/>
    </dxf>
    <dxf>
      <font>
        <b/>
        <color theme="1"/>
      </font>
      <fill>
        <patternFill>
          <bgColor theme="0" tint="-4.9989318521683403E-2"/>
        </patternFill>
      </fill>
      <border>
        <bottom style="thin">
          <color rgb="FF0070C0"/>
        </bottom>
        <vertical/>
        <horizontal/>
      </border>
    </dxf>
    <dxf>
      <font>
        <color theme="1"/>
      </font>
      <fill>
        <patternFill>
          <bgColor theme="0"/>
        </patternFill>
      </fill>
      <border diagonalUp="0" diagonalDown="0">
        <left/>
        <right/>
        <top/>
        <bottom/>
        <vertical/>
        <horizontal/>
      </border>
    </dxf>
    <dxf>
      <font>
        <b/>
        <color theme="1"/>
      </font>
      <border>
        <bottom style="thin">
          <color theme="4"/>
        </bottom>
        <vertical/>
        <horizontal/>
      </border>
    </dxf>
    <dxf>
      <font>
        <color theme="1"/>
      </font>
      <fill>
        <patternFill>
          <bgColor theme="5"/>
        </patternFill>
      </fill>
      <border diagonalUp="0" diagonalDown="0">
        <left/>
        <right/>
        <top/>
        <bottom/>
        <vertical/>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3" defaultTableStyle="TableStyleMedium2" defaultPivotStyle="PivotStyleLight16">
    <tableStyle name="SlicerStyleLight1 2" pivot="0" table="0" count="10" xr9:uid="{2E7DF494-F4C4-4BBE-997B-D5CA6BF392FD}">
      <tableStyleElement type="wholeTable" dxfId="24"/>
      <tableStyleElement type="headerRow" dxfId="23"/>
    </tableStyle>
    <tableStyle name="SlicerStyleLight1 2 2" pivot="0" table="0" count="10" xr9:uid="{3246B866-3E68-4E36-AB8C-B0896E81B170}">
      <tableStyleElement type="wholeTable" dxfId="22"/>
      <tableStyleElement type="headerRow" dxfId="21"/>
    </tableStyle>
    <tableStyle name="SlicerStyleLight1 2 3" pivot="0" table="0" count="10" xr9:uid="{F0184DC1-5049-4F0A-8FA9-B973BBBB0471}">
      <tableStyleElement type="wholeTable" dxfId="20"/>
      <tableStyleElement type="headerRow" dxfId="19"/>
    </tableStyle>
  </tableStyles>
  <colors>
    <mruColors>
      <color rgb="FFFF0066"/>
      <color rgb="FF003366"/>
      <color rgb="FFFFCC66"/>
      <color rgb="FF0033A0"/>
      <color rgb="FF00A3E0"/>
      <color rgb="FF1A4164"/>
      <color rgb="FFFF6600"/>
      <color rgb="FFFFCC99"/>
      <color rgb="FFFFCCFF"/>
      <color rgb="FFFFFFCC"/>
    </mruColors>
  </colors>
  <extLst>
    <ext xmlns:x14="http://schemas.microsoft.com/office/spreadsheetml/2009/9/main" uri="{46F421CA-312F-682f-3DD2-61675219B42D}">
      <x14:dxfs count="24">
        <dxf>
          <font>
            <color rgb="FF000000"/>
          </font>
          <fill>
            <patternFill patternType="solid">
              <fgColor auto="1"/>
              <bgColor theme="7" tint="0.59996337778862885"/>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color rgb="FF000000"/>
          </font>
          <fill>
            <patternFill patternType="solid">
              <fgColor auto="1"/>
              <bgColor rgb="FF00B0F0"/>
            </patternFill>
          </fill>
          <border diagonalUp="0" diagonalDown="0">
            <left/>
            <right/>
            <top/>
            <bottom/>
            <vertical/>
            <horizontal/>
          </border>
        </dxf>
        <dxf>
          <font>
            <b/>
            <i val="0"/>
            <color rgb="FF000000"/>
          </font>
          <fill>
            <patternFill patternType="solid">
              <fgColor auto="1"/>
              <bgColor rgb="FFFFCC66"/>
            </patternFill>
          </fill>
          <border diagonalUp="0" diagonalDown="0">
            <left/>
            <right/>
            <top/>
            <bottom/>
            <vertical/>
            <horizontal/>
          </border>
        </dxf>
        <dxf>
          <font>
            <color theme="2" tint="-0.499984740745262"/>
          </font>
          <fill>
            <patternFill patternType="solid">
              <fgColor theme="2" tint="-0.24994659260841701"/>
              <bgColor theme="0" tint="-4.9989318521683403E-2"/>
            </patternFill>
          </fill>
          <border>
            <left style="thin">
              <color rgb="FFCCCCCC"/>
            </left>
            <right style="thin">
              <color rgb="FFCCCCCC"/>
            </right>
            <top style="thin">
              <color rgb="FFCCCCCC"/>
            </top>
            <bottom style="thin">
              <color rgb="FFCCCCCC"/>
            </bottom>
            <vertical/>
            <horizontal/>
          </border>
        </dxf>
        <dxf>
          <font>
            <b val="0"/>
            <i val="0"/>
            <sz val="12"/>
            <color rgb="FFC00000"/>
          </font>
          <fill>
            <patternFill patternType="solid">
              <fgColor theme="4" tint="0.59999389629810485"/>
              <bgColor theme="4" tint="0.39994506668294322"/>
            </patternFill>
          </fill>
          <border>
            <left style="thin">
              <color rgb="FF999999"/>
            </left>
            <right style="thin">
              <color rgb="FF999999"/>
            </right>
            <top style="thin">
              <color rgb="FF999999"/>
            </top>
            <bottom style="thin">
              <color rgb="FF999999"/>
            </bottom>
            <vertical/>
            <horizontal/>
          </border>
        </dxf>
        <dxf>
          <font>
            <color theme="2" tint="-0.499984740745262"/>
          </font>
          <fill>
            <patternFill patternType="solid">
              <fgColor rgb="FFFFFFFF"/>
              <bgColor theme="0"/>
            </patternFill>
          </fill>
          <border>
            <left style="thin">
              <color rgb="FFE0E0E0"/>
            </left>
            <right style="thin">
              <color rgb="FFE0E0E0"/>
            </right>
            <top style="thin">
              <color rgb="FFE0E0E0"/>
            </top>
            <bottom style="thin">
              <color rgb="FFE0E0E0"/>
            </bottom>
            <vertical/>
            <horizontal/>
          </border>
        </dxf>
        <dxf>
          <font>
            <color theme="2" tint="-0.499984740745262"/>
          </font>
          <fill>
            <patternFill patternType="solid">
              <fgColor rgb="FFFFFFFF"/>
              <bgColor theme="0"/>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color rgb="FF000000"/>
          </font>
          <fill>
            <patternFill patternType="solid">
              <fgColor auto="1"/>
              <bgColor theme="4" tint="0.39994506668294322"/>
            </patternFill>
          </fill>
          <border diagonalUp="0" diagonalDown="0">
            <left/>
            <right/>
            <top/>
            <bottom/>
            <vertical/>
            <horizontal/>
          </border>
        </dxf>
        <dxf>
          <font>
            <b/>
            <i val="0"/>
            <color rgb="FF000000"/>
          </font>
          <fill>
            <patternFill patternType="solid">
              <fgColor auto="1"/>
              <bgColor rgb="FFFF0066"/>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sz val="18"/>
            <color theme="0"/>
          </font>
          <fill>
            <patternFill patternType="solid">
              <fgColor theme="4" tint="0.59999389629810485"/>
              <bgColor theme="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5"/>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color rgb="FF000000"/>
          </font>
          <fill>
            <patternFill patternType="solid">
              <fgColor auto="1"/>
              <bgColor theme="4" tint="0.39994506668294322"/>
            </patternFill>
          </fill>
          <border diagonalUp="0" diagonalDown="0">
            <left/>
            <right/>
            <top/>
            <bottom/>
            <vertical/>
            <horizontal/>
          </border>
        </dxf>
        <dxf>
          <font>
            <b/>
            <i val="0"/>
            <color rgb="FF000000"/>
          </font>
          <fill>
            <patternFill patternType="solid">
              <fgColor auto="1"/>
              <bgColor rgb="FFFF0066"/>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sz val="16"/>
            <color rgb="FFC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externalLink" Target="externalLinks/externalLink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cat>
            <c:strRef>
              <c:f>'sales analysis'!$D$15</c:f>
              <c:strCache>
                <c:ptCount val="1"/>
                <c:pt idx="0">
                  <c:v>Amex</c:v>
                </c:pt>
              </c:strCache>
            </c:strRef>
          </c:cat>
          <c:val>
            <c:numRef>
              <c:f>'sales analysis'!$E$15</c:f>
              <c:numCache>
                <c:formatCode>0.0%</c:formatCode>
                <c:ptCount val="1"/>
                <c:pt idx="0">
                  <c:v>0.13540420114576704</c:v>
                </c:pt>
              </c:numCache>
            </c:numRef>
          </c:val>
          <c:extLst>
            <c:ext xmlns:c16="http://schemas.microsoft.com/office/drawing/2014/chart" uri="{C3380CC4-5D6E-409C-BE32-E72D297353CC}">
              <c16:uniqueId val="{00000000-FFCE-4BDA-BC35-2CD8CE1DB174}"/>
            </c:ext>
          </c:extLst>
        </c:ser>
        <c:dLbls>
          <c:showLegendKey val="0"/>
          <c:showVal val="0"/>
          <c:showCatName val="0"/>
          <c:showSerName val="0"/>
          <c:showPercent val="0"/>
          <c:showBubbleSize val="0"/>
        </c:dLbls>
        <c:gapWidth val="182"/>
        <c:overlap val="-11"/>
        <c:axId val="1147911583"/>
        <c:axId val="1147906303"/>
      </c:barChart>
      <c:catAx>
        <c:axId val="1147911583"/>
        <c:scaling>
          <c:orientation val="minMax"/>
        </c:scaling>
        <c:delete val="1"/>
        <c:axPos val="l"/>
        <c:numFmt formatCode="General" sourceLinked="1"/>
        <c:majorTickMark val="none"/>
        <c:minorTickMark val="none"/>
        <c:tickLblPos val="nextTo"/>
        <c:crossAx val="1147906303"/>
        <c:crosses val="autoZero"/>
        <c:auto val="1"/>
        <c:lblAlgn val="ctr"/>
        <c:lblOffset val="100"/>
        <c:noMultiLvlLbl val="0"/>
      </c:catAx>
      <c:valAx>
        <c:axId val="1147906303"/>
        <c:scaling>
          <c:orientation val="minMax"/>
        </c:scaling>
        <c:delete val="1"/>
        <c:axPos val="b"/>
        <c:numFmt formatCode="0.0%" sourceLinked="1"/>
        <c:majorTickMark val="none"/>
        <c:minorTickMark val="none"/>
        <c:tickLblPos val="nextTo"/>
        <c:crossAx val="114791158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 sales dashboard macro recording.xlsm]sales analysis!PivotTable18</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s>
    <c:plotArea>
      <c:layout/>
      <c:barChart>
        <c:barDir val="col"/>
        <c:grouping val="clustered"/>
        <c:varyColors val="1"/>
        <c:ser>
          <c:idx val="0"/>
          <c:order val="0"/>
          <c:tx>
            <c:strRef>
              <c:f>'sales analysis'!$B$82</c:f>
              <c:strCache>
                <c:ptCount val="1"/>
                <c:pt idx="0">
                  <c:v>Total</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AFF1-425E-8AAC-79E64AED2DDB}"/>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AFF1-425E-8AAC-79E64AED2DDB}"/>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AFF1-425E-8AAC-79E64AED2DDB}"/>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AFF1-425E-8AAC-79E64AED2DDB}"/>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AFF1-425E-8AAC-79E64AED2DDB}"/>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AFF1-425E-8AAC-79E64AED2DDB}"/>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C7FF-4684-842B-24F05966217F}"/>
              </c:ext>
            </c:extLst>
          </c:dPt>
          <c:cat>
            <c:strRef>
              <c:f>'sales analysis'!$A$83:$A$90</c:f>
              <c:strCache>
                <c:ptCount val="7"/>
                <c:pt idx="0">
                  <c:v>Sun</c:v>
                </c:pt>
                <c:pt idx="1">
                  <c:v>Mon</c:v>
                </c:pt>
                <c:pt idx="2">
                  <c:v>Tue</c:v>
                </c:pt>
                <c:pt idx="3">
                  <c:v>Wed</c:v>
                </c:pt>
                <c:pt idx="4">
                  <c:v>Thu</c:v>
                </c:pt>
                <c:pt idx="5">
                  <c:v>Fri</c:v>
                </c:pt>
                <c:pt idx="6">
                  <c:v>Sat</c:v>
                </c:pt>
              </c:strCache>
            </c:strRef>
          </c:cat>
          <c:val>
            <c:numRef>
              <c:f>'sales analysis'!$B$83:$B$90</c:f>
              <c:numCache>
                <c:formatCode>General</c:formatCode>
                <c:ptCount val="7"/>
                <c:pt idx="0">
                  <c:v>3108900</c:v>
                </c:pt>
                <c:pt idx="1">
                  <c:v>3157650</c:v>
                </c:pt>
                <c:pt idx="2">
                  <c:v>2583500</c:v>
                </c:pt>
                <c:pt idx="3">
                  <c:v>2945400</c:v>
                </c:pt>
                <c:pt idx="4">
                  <c:v>3370600</c:v>
                </c:pt>
                <c:pt idx="5">
                  <c:v>2351450</c:v>
                </c:pt>
                <c:pt idx="6">
                  <c:v>2120000</c:v>
                </c:pt>
              </c:numCache>
            </c:numRef>
          </c:val>
          <c:extLst>
            <c:ext xmlns:c16="http://schemas.microsoft.com/office/drawing/2014/chart" uri="{C3380CC4-5D6E-409C-BE32-E72D297353CC}">
              <c16:uniqueId val="{00000000-A810-4644-9951-60089C422286}"/>
            </c:ext>
          </c:extLst>
        </c:ser>
        <c:dLbls>
          <c:showLegendKey val="0"/>
          <c:showVal val="0"/>
          <c:showCatName val="0"/>
          <c:showSerName val="0"/>
          <c:showPercent val="0"/>
          <c:showBubbleSize val="0"/>
        </c:dLbls>
        <c:gapWidth val="219"/>
        <c:overlap val="-27"/>
        <c:axId val="443027407"/>
        <c:axId val="443018287"/>
      </c:barChart>
      <c:catAx>
        <c:axId val="443027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018287"/>
        <c:crosses val="autoZero"/>
        <c:auto val="1"/>
        <c:lblAlgn val="ctr"/>
        <c:lblOffset val="100"/>
        <c:noMultiLvlLbl val="0"/>
      </c:catAx>
      <c:valAx>
        <c:axId val="4430182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0274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 sales dashboard macro recording.xlsm]sales analysis!PivotTable19</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manualLayout>
          <c:layoutTarget val="inner"/>
          <c:xMode val="edge"/>
          <c:yMode val="edge"/>
          <c:x val="0.18784507545148743"/>
          <c:y val="0.32533510043917785"/>
          <c:w val="0.66535714956871439"/>
          <c:h val="0.60205763883474961"/>
        </c:manualLayout>
      </c:layout>
      <c:barChart>
        <c:barDir val="bar"/>
        <c:grouping val="clustered"/>
        <c:varyColors val="1"/>
        <c:ser>
          <c:idx val="0"/>
          <c:order val="0"/>
          <c:tx>
            <c:strRef>
              <c:f>'sales analysis'!$C$100</c:f>
              <c:strCache>
                <c:ptCount val="1"/>
                <c:pt idx="0">
                  <c:v>Total</c:v>
                </c:pt>
              </c:strCache>
            </c:strRef>
          </c:tx>
          <c:invertIfNegative val="1"/>
          <c:dPt>
            <c:idx val="0"/>
            <c:invertIfNegative val="1"/>
            <c:bubble3D val="0"/>
            <c:spPr>
              <a:solidFill>
                <a:schemeClr val="accent1"/>
              </a:solidFill>
              <a:ln>
                <a:noFill/>
              </a:ln>
              <a:effectLst/>
            </c:spPr>
            <c:extLst>
              <c:ext xmlns:c16="http://schemas.microsoft.com/office/drawing/2014/chart" uri="{C3380CC4-5D6E-409C-BE32-E72D297353CC}">
                <c16:uniqueId val="{00000001-FC0A-4D9B-9886-34CBAD95391C}"/>
              </c:ext>
            </c:extLst>
          </c:dPt>
          <c:dPt>
            <c:idx val="1"/>
            <c:invertIfNegative val="1"/>
            <c:bubble3D val="0"/>
            <c:spPr>
              <a:solidFill>
                <a:schemeClr val="accent2"/>
              </a:solidFill>
              <a:ln>
                <a:noFill/>
              </a:ln>
              <a:effectLst/>
            </c:spPr>
            <c:extLst>
              <c:ext xmlns:c16="http://schemas.microsoft.com/office/drawing/2014/chart" uri="{C3380CC4-5D6E-409C-BE32-E72D297353CC}">
                <c16:uniqueId val="{00000003-2ADB-4B0C-BF94-BED549D87A64}"/>
              </c:ext>
            </c:extLst>
          </c:dPt>
          <c:dPt>
            <c:idx val="2"/>
            <c:invertIfNegative val="1"/>
            <c:bubble3D val="0"/>
            <c:spPr>
              <a:solidFill>
                <a:schemeClr val="accent3"/>
              </a:solidFill>
              <a:ln>
                <a:noFill/>
              </a:ln>
              <a:effectLst/>
            </c:spPr>
            <c:extLst>
              <c:ext xmlns:c16="http://schemas.microsoft.com/office/drawing/2014/chart" uri="{C3380CC4-5D6E-409C-BE32-E72D297353CC}">
                <c16:uniqueId val="{00000005-2ADB-4B0C-BF94-BED549D87A64}"/>
              </c:ext>
            </c:extLst>
          </c:dPt>
          <c:cat>
            <c:strRef>
              <c:f>'sales analysis'!$B$101:$B$104</c:f>
              <c:strCache>
                <c:ptCount val="3"/>
                <c:pt idx="0">
                  <c:v>Product1</c:v>
                </c:pt>
                <c:pt idx="1">
                  <c:v>Product2</c:v>
                </c:pt>
                <c:pt idx="2">
                  <c:v>Product3</c:v>
                </c:pt>
              </c:strCache>
            </c:strRef>
          </c:cat>
          <c:val>
            <c:numRef>
              <c:f>'sales analysis'!$C$101:$C$104</c:f>
              <c:numCache>
                <c:formatCode>"₹"\ #,##0</c:formatCode>
                <c:ptCount val="3"/>
                <c:pt idx="0">
                  <c:v>7991000</c:v>
                </c:pt>
                <c:pt idx="1">
                  <c:v>10665600</c:v>
                </c:pt>
                <c:pt idx="2">
                  <c:v>980900</c:v>
                </c:pt>
              </c:numCache>
            </c:numRef>
          </c:val>
          <c:extLst>
            <c:ext xmlns:c16="http://schemas.microsoft.com/office/drawing/2014/chart" uri="{C3380CC4-5D6E-409C-BE32-E72D297353CC}">
              <c16:uniqueId val="{00000000-0C6B-4841-8937-E91B63DFF9E4}"/>
            </c:ext>
          </c:extLst>
        </c:ser>
        <c:dLbls>
          <c:showLegendKey val="0"/>
          <c:showVal val="0"/>
          <c:showCatName val="0"/>
          <c:showSerName val="0"/>
          <c:showPercent val="0"/>
          <c:showBubbleSize val="0"/>
        </c:dLbls>
        <c:gapWidth val="182"/>
        <c:axId val="245119311"/>
        <c:axId val="245121711"/>
      </c:barChart>
      <c:catAx>
        <c:axId val="24511931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121711"/>
        <c:crosses val="autoZero"/>
        <c:auto val="1"/>
        <c:lblAlgn val="ctr"/>
        <c:lblOffset val="100"/>
        <c:noMultiLvlLbl val="0"/>
      </c:catAx>
      <c:valAx>
        <c:axId val="245121711"/>
        <c:scaling>
          <c:orientation val="minMax"/>
        </c:scaling>
        <c:delete val="0"/>
        <c:axPos val="t"/>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119311"/>
        <c:crosses val="autoZero"/>
        <c:crossBetween val="between"/>
      </c:valAx>
      <c:spPr>
        <a:noFill/>
        <a:ln>
          <a:solidFill>
            <a:schemeClr val="accent1">
              <a:alpha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 sales dashboard macro recording.xlsm]Sheet5!PivotTable14</c:name>
    <c:fmtId val="5"/>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pivotFmt>
      <c:pivotFmt>
        <c:idx val="3"/>
        <c:spPr>
          <a:solidFill>
            <a:schemeClr val="accent1"/>
          </a:solidFill>
          <a:ln>
            <a:noFill/>
          </a:ln>
          <a:effectLst/>
          <a:sp3d/>
        </c:spPr>
      </c:pivotFmt>
      <c:pivotFmt>
        <c:idx val="4"/>
        <c:spPr>
          <a:solidFill>
            <a:schemeClr val="accent1"/>
          </a:solidFill>
          <a:ln>
            <a:noFill/>
          </a:ln>
          <a:effectLst/>
          <a:sp3d/>
        </c:spPr>
      </c:pivotFmt>
      <c:pivotFmt>
        <c:idx val="5"/>
        <c:spPr>
          <a:solidFill>
            <a:schemeClr val="accent1"/>
          </a:solidFill>
          <a:ln>
            <a:noFill/>
          </a:ln>
          <a:effectLst/>
          <a:sp3d/>
        </c:spPr>
      </c:pivotFmt>
      <c:pivotFmt>
        <c:idx val="6"/>
        <c:spPr>
          <a:solidFill>
            <a:schemeClr val="accent1"/>
          </a:solidFill>
          <a:ln>
            <a:noFill/>
          </a:ln>
          <a:effectLst/>
          <a:sp3d/>
        </c:spPr>
      </c:pivotFmt>
      <c:pivotFmt>
        <c:idx val="7"/>
        <c:spPr>
          <a:solidFill>
            <a:schemeClr val="accent1"/>
          </a:solidFill>
          <a:ln>
            <a:noFill/>
          </a:ln>
          <a:effectLst/>
          <a:sp3d/>
        </c:spPr>
      </c:pivotFmt>
      <c:pivotFmt>
        <c:idx val="8"/>
        <c:spPr>
          <a:solidFill>
            <a:schemeClr val="accent1"/>
          </a:solidFill>
          <a:ln>
            <a:noFill/>
          </a:ln>
          <a:effectLst/>
          <a:sp3d/>
        </c:spPr>
      </c:pivotFmt>
      <c:pivotFmt>
        <c:idx val="9"/>
        <c:spPr>
          <a:solidFill>
            <a:schemeClr val="accent1"/>
          </a:solidFill>
          <a:ln>
            <a:noFill/>
          </a:ln>
          <a:effectLst/>
          <a:sp3d/>
        </c:spPr>
      </c:pivotFmt>
      <c:pivotFmt>
        <c:idx val="10"/>
        <c:spPr>
          <a:solidFill>
            <a:schemeClr val="accent1"/>
          </a:solidFill>
          <a:ln>
            <a:noFill/>
          </a:ln>
          <a:effectLst/>
          <a:sp3d/>
        </c:spPr>
      </c:pivotFmt>
      <c:pivotFmt>
        <c:idx val="11"/>
        <c:spPr>
          <a:solidFill>
            <a:schemeClr val="accent1"/>
          </a:solidFill>
          <a:ln>
            <a:noFill/>
          </a:ln>
          <a:effectLst/>
          <a:sp3d/>
        </c:spPr>
      </c:pivotFmt>
      <c:pivotFmt>
        <c:idx val="12"/>
        <c:spPr>
          <a:solidFill>
            <a:schemeClr val="accent1"/>
          </a:solidFill>
          <a:ln>
            <a:noFill/>
          </a:ln>
          <a:effectLst/>
          <a:sp3d/>
        </c:spPr>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pivotFmt>
      <c:pivotFmt>
        <c:idx val="15"/>
        <c:spPr>
          <a:solidFill>
            <a:schemeClr val="accent1"/>
          </a:solidFill>
          <a:ln>
            <a:noFill/>
          </a:ln>
          <a:effectLst/>
          <a:sp3d/>
        </c:spPr>
      </c:pivotFmt>
      <c:pivotFmt>
        <c:idx val="16"/>
        <c:spPr>
          <a:solidFill>
            <a:schemeClr val="accent1"/>
          </a:solidFill>
          <a:ln>
            <a:noFill/>
          </a:ln>
          <a:effectLst/>
          <a:sp3d/>
        </c:spPr>
      </c:pivotFmt>
      <c:pivotFmt>
        <c:idx val="17"/>
        <c:spPr>
          <a:solidFill>
            <a:schemeClr val="accent1"/>
          </a:solidFill>
          <a:ln>
            <a:noFill/>
          </a:ln>
          <a:effectLst/>
          <a:sp3d/>
        </c:spPr>
      </c:pivotFmt>
      <c:pivotFmt>
        <c:idx val="18"/>
        <c:spPr>
          <a:solidFill>
            <a:schemeClr val="accent1"/>
          </a:solidFill>
          <a:ln>
            <a:noFill/>
          </a:ln>
          <a:effectLst/>
          <a:sp3d/>
        </c:spPr>
      </c:pivotFmt>
      <c:pivotFmt>
        <c:idx val="19"/>
        <c:spPr>
          <a:solidFill>
            <a:schemeClr val="accent1"/>
          </a:solidFill>
          <a:ln>
            <a:noFill/>
          </a:ln>
          <a:effectLst/>
          <a:sp3d/>
        </c:spPr>
      </c:pivotFmt>
      <c:pivotFmt>
        <c:idx val="20"/>
        <c:spPr>
          <a:solidFill>
            <a:schemeClr val="accent1"/>
          </a:solidFill>
          <a:ln>
            <a:noFill/>
          </a:ln>
          <a:effectLst/>
          <a:sp3d/>
        </c:spPr>
      </c:pivotFmt>
      <c:pivotFmt>
        <c:idx val="21"/>
        <c:spPr>
          <a:solidFill>
            <a:schemeClr val="accent1"/>
          </a:solidFill>
          <a:ln>
            <a:noFill/>
          </a:ln>
          <a:effectLst/>
          <a:sp3d/>
        </c:spPr>
      </c:pivotFmt>
      <c:pivotFmt>
        <c:idx val="22"/>
        <c:spPr>
          <a:solidFill>
            <a:schemeClr val="accent1"/>
          </a:solidFill>
          <a:ln>
            <a:noFill/>
          </a:ln>
          <a:effectLst/>
          <a:sp3d/>
        </c:spPr>
      </c:pivotFmt>
      <c:pivotFmt>
        <c:idx val="23"/>
        <c:spPr>
          <a:solidFill>
            <a:schemeClr val="accent1"/>
          </a:solidFill>
          <a:ln>
            <a:noFill/>
          </a:ln>
          <a:effectLst/>
          <a:sp3d/>
        </c:spPr>
      </c:pivotFmt>
      <c:pivotFmt>
        <c:idx val="24"/>
        <c:spPr>
          <a:solidFill>
            <a:schemeClr val="accent1"/>
          </a:solidFill>
          <a:ln>
            <a:noFill/>
          </a:ln>
          <a:effectLst/>
          <a:sp3d/>
        </c:spPr>
      </c:pivotFmt>
      <c:pivotFmt>
        <c:idx val="25"/>
        <c:spPr>
          <a:solidFill>
            <a:schemeClr val="accent1"/>
          </a:solidFill>
          <a:ln>
            <a:noFill/>
          </a:ln>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1"/>
        <c:ser>
          <c:idx val="0"/>
          <c:order val="0"/>
          <c:tx>
            <c:strRef>
              <c:f>Sheet5!$B$3</c:f>
              <c:strCache>
                <c:ptCount val="1"/>
                <c:pt idx="0">
                  <c:v>Total</c:v>
                </c:pt>
              </c:strCache>
            </c:strRef>
          </c:tx>
          <c:invertIfNegative val="0"/>
          <c:dPt>
            <c:idx val="0"/>
            <c:invertIfNegative val="0"/>
            <c:bubble3D val="0"/>
            <c:spPr>
              <a:solidFill>
                <a:schemeClr val="accent1"/>
              </a:solidFill>
              <a:ln>
                <a:noFill/>
              </a:ln>
              <a:effectLst/>
              <a:sp3d/>
            </c:spPr>
            <c:extLst>
              <c:ext xmlns:c16="http://schemas.microsoft.com/office/drawing/2014/chart" uri="{C3380CC4-5D6E-409C-BE32-E72D297353CC}">
                <c16:uniqueId val="{00000001-DE78-4515-AD34-5B3F5375C156}"/>
              </c:ext>
            </c:extLst>
          </c:dPt>
          <c:dPt>
            <c:idx val="1"/>
            <c:invertIfNegative val="0"/>
            <c:bubble3D val="0"/>
            <c:spPr>
              <a:solidFill>
                <a:schemeClr val="accent2"/>
              </a:solidFill>
              <a:ln>
                <a:noFill/>
              </a:ln>
              <a:effectLst/>
              <a:sp3d/>
            </c:spPr>
            <c:extLst>
              <c:ext xmlns:c16="http://schemas.microsoft.com/office/drawing/2014/chart" uri="{C3380CC4-5D6E-409C-BE32-E72D297353CC}">
                <c16:uniqueId val="{00000003-DE78-4515-AD34-5B3F5375C156}"/>
              </c:ext>
            </c:extLst>
          </c:dPt>
          <c:dPt>
            <c:idx val="2"/>
            <c:invertIfNegative val="0"/>
            <c:bubble3D val="0"/>
            <c:spPr>
              <a:solidFill>
                <a:schemeClr val="accent3"/>
              </a:solidFill>
              <a:ln>
                <a:noFill/>
              </a:ln>
              <a:effectLst/>
              <a:sp3d/>
            </c:spPr>
            <c:extLst>
              <c:ext xmlns:c16="http://schemas.microsoft.com/office/drawing/2014/chart" uri="{C3380CC4-5D6E-409C-BE32-E72D297353CC}">
                <c16:uniqueId val="{00000005-DE78-4515-AD34-5B3F5375C156}"/>
              </c:ext>
            </c:extLst>
          </c:dPt>
          <c:dPt>
            <c:idx val="3"/>
            <c:invertIfNegative val="0"/>
            <c:bubble3D val="0"/>
            <c:spPr>
              <a:solidFill>
                <a:schemeClr val="accent4"/>
              </a:solidFill>
              <a:ln>
                <a:noFill/>
              </a:ln>
              <a:effectLst/>
              <a:sp3d/>
            </c:spPr>
            <c:extLst>
              <c:ext xmlns:c16="http://schemas.microsoft.com/office/drawing/2014/chart" uri="{C3380CC4-5D6E-409C-BE32-E72D297353CC}">
                <c16:uniqueId val="{00000007-DE78-4515-AD34-5B3F5375C156}"/>
              </c:ext>
            </c:extLst>
          </c:dPt>
          <c:dPt>
            <c:idx val="4"/>
            <c:invertIfNegative val="0"/>
            <c:bubble3D val="0"/>
            <c:spPr>
              <a:solidFill>
                <a:schemeClr val="accent5"/>
              </a:solidFill>
              <a:ln>
                <a:noFill/>
              </a:ln>
              <a:effectLst/>
              <a:sp3d/>
            </c:spPr>
            <c:extLst>
              <c:ext xmlns:c16="http://schemas.microsoft.com/office/drawing/2014/chart" uri="{C3380CC4-5D6E-409C-BE32-E72D297353CC}">
                <c16:uniqueId val="{00000009-DE78-4515-AD34-5B3F5375C156}"/>
              </c:ext>
            </c:extLst>
          </c:dPt>
          <c:dPt>
            <c:idx val="5"/>
            <c:invertIfNegative val="0"/>
            <c:bubble3D val="0"/>
            <c:spPr>
              <a:solidFill>
                <a:schemeClr val="accent6"/>
              </a:solidFill>
              <a:ln>
                <a:noFill/>
              </a:ln>
              <a:effectLst/>
              <a:sp3d/>
            </c:spPr>
            <c:extLst>
              <c:ext xmlns:c16="http://schemas.microsoft.com/office/drawing/2014/chart" uri="{C3380CC4-5D6E-409C-BE32-E72D297353CC}">
                <c16:uniqueId val="{0000000B-DE78-4515-AD34-5B3F5375C156}"/>
              </c:ext>
            </c:extLst>
          </c:dPt>
          <c:dPt>
            <c:idx val="6"/>
            <c:invertIfNegative val="0"/>
            <c:bubble3D val="0"/>
            <c:spPr>
              <a:solidFill>
                <a:schemeClr val="accent1">
                  <a:lumMod val="60000"/>
                </a:schemeClr>
              </a:solidFill>
              <a:ln>
                <a:noFill/>
              </a:ln>
              <a:effectLst/>
              <a:sp3d/>
            </c:spPr>
            <c:extLst>
              <c:ext xmlns:c16="http://schemas.microsoft.com/office/drawing/2014/chart" uri="{C3380CC4-5D6E-409C-BE32-E72D297353CC}">
                <c16:uniqueId val="{0000000D-DE78-4515-AD34-5B3F5375C156}"/>
              </c:ext>
            </c:extLst>
          </c:dPt>
          <c:dPt>
            <c:idx val="7"/>
            <c:invertIfNegative val="0"/>
            <c:bubble3D val="0"/>
            <c:spPr>
              <a:solidFill>
                <a:schemeClr val="accent2">
                  <a:lumMod val="60000"/>
                </a:schemeClr>
              </a:solidFill>
              <a:ln>
                <a:noFill/>
              </a:ln>
              <a:effectLst/>
              <a:sp3d/>
            </c:spPr>
            <c:extLst>
              <c:ext xmlns:c16="http://schemas.microsoft.com/office/drawing/2014/chart" uri="{C3380CC4-5D6E-409C-BE32-E72D297353CC}">
                <c16:uniqueId val="{0000000F-DE78-4515-AD34-5B3F5375C156}"/>
              </c:ext>
            </c:extLst>
          </c:dPt>
          <c:dPt>
            <c:idx val="8"/>
            <c:invertIfNegative val="0"/>
            <c:bubble3D val="0"/>
            <c:spPr>
              <a:solidFill>
                <a:schemeClr val="accent3">
                  <a:lumMod val="60000"/>
                </a:schemeClr>
              </a:solidFill>
              <a:ln>
                <a:noFill/>
              </a:ln>
              <a:effectLst/>
              <a:sp3d/>
            </c:spPr>
            <c:extLst>
              <c:ext xmlns:c16="http://schemas.microsoft.com/office/drawing/2014/chart" uri="{C3380CC4-5D6E-409C-BE32-E72D297353CC}">
                <c16:uniqueId val="{00000011-DE78-4515-AD34-5B3F5375C156}"/>
              </c:ext>
            </c:extLst>
          </c:dPt>
          <c:dPt>
            <c:idx val="9"/>
            <c:invertIfNegative val="0"/>
            <c:bubble3D val="0"/>
            <c:spPr>
              <a:solidFill>
                <a:schemeClr val="accent4">
                  <a:lumMod val="60000"/>
                </a:schemeClr>
              </a:solidFill>
              <a:ln>
                <a:noFill/>
              </a:ln>
              <a:effectLst/>
              <a:sp3d/>
            </c:spPr>
            <c:extLst>
              <c:ext xmlns:c16="http://schemas.microsoft.com/office/drawing/2014/chart" uri="{C3380CC4-5D6E-409C-BE32-E72D297353CC}">
                <c16:uniqueId val="{00000013-DE78-4515-AD34-5B3F5375C156}"/>
              </c:ext>
            </c:extLst>
          </c:dPt>
          <c:dPt>
            <c:idx val="10"/>
            <c:invertIfNegative val="0"/>
            <c:bubble3D val="0"/>
            <c:spPr>
              <a:solidFill>
                <a:schemeClr val="accent5">
                  <a:lumMod val="60000"/>
                </a:schemeClr>
              </a:solidFill>
              <a:ln>
                <a:noFill/>
              </a:ln>
              <a:effectLst/>
              <a:sp3d/>
            </c:spPr>
            <c:extLst>
              <c:ext xmlns:c16="http://schemas.microsoft.com/office/drawing/2014/chart" uri="{C3380CC4-5D6E-409C-BE32-E72D297353CC}">
                <c16:uniqueId val="{00000015-DE78-4515-AD34-5B3F5375C156}"/>
              </c:ext>
            </c:extLst>
          </c:dPt>
          <c:dPt>
            <c:idx val="11"/>
            <c:invertIfNegative val="0"/>
            <c:bubble3D val="0"/>
            <c:spPr>
              <a:solidFill>
                <a:schemeClr val="accent6">
                  <a:lumMod val="60000"/>
                </a:schemeClr>
              </a:solidFill>
              <a:ln>
                <a:noFill/>
              </a:ln>
              <a:effectLst/>
              <a:sp3d/>
            </c:spPr>
            <c:extLst>
              <c:ext xmlns:c16="http://schemas.microsoft.com/office/drawing/2014/chart" uri="{C3380CC4-5D6E-409C-BE32-E72D297353CC}">
                <c16:uniqueId val="{00000017-AA28-4846-84C3-0281B84E6517}"/>
              </c:ext>
            </c:extLst>
          </c:dPt>
          <c:cat>
            <c:strRef>
              <c:f>Sheet5!$A$4:$A$16</c:f>
              <c:strCache>
                <c:ptCount val="12"/>
                <c:pt idx="0">
                  <c:v>10 AM</c:v>
                </c:pt>
                <c:pt idx="1">
                  <c:v>12 PM</c:v>
                </c:pt>
                <c:pt idx="2">
                  <c:v>11 AM</c:v>
                </c:pt>
                <c:pt idx="3">
                  <c:v>1 AM</c:v>
                </c:pt>
                <c:pt idx="4">
                  <c:v>7 AM</c:v>
                </c:pt>
                <c:pt idx="5">
                  <c:v>5 AM</c:v>
                </c:pt>
                <c:pt idx="6">
                  <c:v>2 AM</c:v>
                </c:pt>
                <c:pt idx="7">
                  <c:v>8 AM</c:v>
                </c:pt>
                <c:pt idx="8">
                  <c:v>3 AM</c:v>
                </c:pt>
                <c:pt idx="9">
                  <c:v>6 AM</c:v>
                </c:pt>
                <c:pt idx="10">
                  <c:v>4 AM</c:v>
                </c:pt>
                <c:pt idx="11">
                  <c:v>9 AM</c:v>
                </c:pt>
              </c:strCache>
            </c:strRef>
          </c:cat>
          <c:val>
            <c:numRef>
              <c:f>Sheet5!$B$4:$B$16</c:f>
              <c:numCache>
                <c:formatCode>"₹"\ #,##0</c:formatCode>
                <c:ptCount val="12"/>
                <c:pt idx="0">
                  <c:v>2650300</c:v>
                </c:pt>
                <c:pt idx="1">
                  <c:v>2209350</c:v>
                </c:pt>
                <c:pt idx="2">
                  <c:v>2167100</c:v>
                </c:pt>
                <c:pt idx="3">
                  <c:v>2094800</c:v>
                </c:pt>
                <c:pt idx="4">
                  <c:v>1727350</c:v>
                </c:pt>
                <c:pt idx="5">
                  <c:v>1617100</c:v>
                </c:pt>
                <c:pt idx="6">
                  <c:v>1585100</c:v>
                </c:pt>
                <c:pt idx="7">
                  <c:v>1545600</c:v>
                </c:pt>
                <c:pt idx="8">
                  <c:v>1340800</c:v>
                </c:pt>
                <c:pt idx="9">
                  <c:v>1106600</c:v>
                </c:pt>
                <c:pt idx="10">
                  <c:v>844200</c:v>
                </c:pt>
                <c:pt idx="11">
                  <c:v>749200</c:v>
                </c:pt>
              </c:numCache>
            </c:numRef>
          </c:val>
          <c:extLst>
            <c:ext xmlns:c16="http://schemas.microsoft.com/office/drawing/2014/chart" uri="{C3380CC4-5D6E-409C-BE32-E72D297353CC}">
              <c16:uniqueId val="{00000016-DE78-4515-AD34-5B3F5375C156}"/>
            </c:ext>
          </c:extLst>
        </c:ser>
        <c:dLbls>
          <c:showLegendKey val="0"/>
          <c:showVal val="0"/>
          <c:showCatName val="0"/>
          <c:showSerName val="0"/>
          <c:showPercent val="0"/>
          <c:showBubbleSize val="0"/>
        </c:dLbls>
        <c:gapWidth val="150"/>
        <c:shape val="box"/>
        <c:axId val="2112074640"/>
        <c:axId val="2112076080"/>
        <c:axId val="0"/>
      </c:bar3DChart>
      <c:catAx>
        <c:axId val="21120746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2076080"/>
        <c:crosses val="autoZero"/>
        <c:auto val="1"/>
        <c:lblAlgn val="ctr"/>
        <c:lblOffset val="100"/>
        <c:noMultiLvlLbl val="0"/>
      </c:catAx>
      <c:valAx>
        <c:axId val="2112076080"/>
        <c:scaling>
          <c:orientation val="minMax"/>
        </c:scaling>
        <c:delete val="0"/>
        <c:axPos val="l"/>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20746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cat>
            <c:strRef>
              <c:f>'am pm'!$A$10</c:f>
              <c:strCache>
                <c:ptCount val="1"/>
                <c:pt idx="0">
                  <c:v>AM</c:v>
                </c:pt>
              </c:strCache>
            </c:strRef>
          </c:cat>
          <c:val>
            <c:numRef>
              <c:f>'am pm'!$B$10</c:f>
              <c:numCache>
                <c:formatCode>0.0%</c:formatCode>
                <c:ptCount val="1"/>
                <c:pt idx="0">
                  <c:v>0.88749331635900697</c:v>
                </c:pt>
              </c:numCache>
            </c:numRef>
          </c:val>
          <c:extLst>
            <c:ext xmlns:c16="http://schemas.microsoft.com/office/drawing/2014/chart" uri="{C3380CC4-5D6E-409C-BE32-E72D297353CC}">
              <c16:uniqueId val="{00000000-4048-461A-A3BA-458B140B8AE6}"/>
            </c:ext>
          </c:extLst>
        </c:ser>
        <c:dLbls>
          <c:showLegendKey val="0"/>
          <c:showVal val="0"/>
          <c:showCatName val="0"/>
          <c:showSerName val="0"/>
          <c:showPercent val="0"/>
          <c:showBubbleSize val="0"/>
        </c:dLbls>
        <c:gapWidth val="182"/>
        <c:axId val="18521487"/>
        <c:axId val="18519567"/>
      </c:barChart>
      <c:catAx>
        <c:axId val="18521487"/>
        <c:scaling>
          <c:orientation val="minMax"/>
        </c:scaling>
        <c:delete val="1"/>
        <c:axPos val="l"/>
        <c:numFmt formatCode="General" sourceLinked="1"/>
        <c:majorTickMark val="none"/>
        <c:minorTickMark val="none"/>
        <c:tickLblPos val="nextTo"/>
        <c:crossAx val="18519567"/>
        <c:crosses val="autoZero"/>
        <c:auto val="1"/>
        <c:lblAlgn val="ctr"/>
        <c:lblOffset val="100"/>
        <c:noMultiLvlLbl val="0"/>
      </c:catAx>
      <c:valAx>
        <c:axId val="18519567"/>
        <c:scaling>
          <c:orientation val="minMax"/>
          <c:max val="1"/>
          <c:min val="0"/>
        </c:scaling>
        <c:delete val="1"/>
        <c:axPos val="b"/>
        <c:numFmt formatCode="0.0%" sourceLinked="1"/>
        <c:majorTickMark val="none"/>
        <c:minorTickMark val="none"/>
        <c:tickLblPos val="nextTo"/>
        <c:crossAx val="1852148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FF0066"/>
            </a:solidFill>
            <a:ln>
              <a:solidFill>
                <a:srgbClr val="FF0066"/>
              </a:solidFill>
            </a:ln>
            <a:effectLst/>
          </c:spPr>
          <c:invertIfNegative val="0"/>
          <c:cat>
            <c:strRef>
              <c:f>'sales analysis'!$D$15</c:f>
              <c:strCache>
                <c:ptCount val="1"/>
                <c:pt idx="0">
                  <c:v>Amex</c:v>
                </c:pt>
              </c:strCache>
            </c:strRef>
          </c:cat>
          <c:val>
            <c:numRef>
              <c:f>'sales analysis'!$E$15</c:f>
              <c:numCache>
                <c:formatCode>0.0%</c:formatCode>
                <c:ptCount val="1"/>
                <c:pt idx="0">
                  <c:v>0.13540420114576704</c:v>
                </c:pt>
              </c:numCache>
            </c:numRef>
          </c:val>
          <c:extLst>
            <c:ext xmlns:c16="http://schemas.microsoft.com/office/drawing/2014/chart" uri="{C3380CC4-5D6E-409C-BE32-E72D297353CC}">
              <c16:uniqueId val="{00000000-1536-423B-87C3-D6BD7AA94DE3}"/>
            </c:ext>
          </c:extLst>
        </c:ser>
        <c:dLbls>
          <c:showLegendKey val="0"/>
          <c:showVal val="0"/>
          <c:showCatName val="0"/>
          <c:showSerName val="0"/>
          <c:showPercent val="0"/>
          <c:showBubbleSize val="0"/>
        </c:dLbls>
        <c:gapWidth val="182"/>
        <c:overlap val="-11"/>
        <c:axId val="1147911583"/>
        <c:axId val="1147906303"/>
      </c:barChart>
      <c:catAx>
        <c:axId val="1147911583"/>
        <c:scaling>
          <c:orientation val="minMax"/>
        </c:scaling>
        <c:delete val="1"/>
        <c:axPos val="l"/>
        <c:numFmt formatCode="General" sourceLinked="1"/>
        <c:majorTickMark val="none"/>
        <c:minorTickMark val="none"/>
        <c:tickLblPos val="nextTo"/>
        <c:crossAx val="1147906303"/>
        <c:crosses val="autoZero"/>
        <c:auto val="1"/>
        <c:lblAlgn val="ctr"/>
        <c:lblOffset val="100"/>
        <c:noMultiLvlLbl val="0"/>
      </c:catAx>
      <c:valAx>
        <c:axId val="1147906303"/>
        <c:scaling>
          <c:orientation val="minMax"/>
        </c:scaling>
        <c:delete val="1"/>
        <c:axPos val="b"/>
        <c:numFmt formatCode="0.0%" sourceLinked="1"/>
        <c:majorTickMark val="none"/>
        <c:minorTickMark val="none"/>
        <c:tickLblPos val="nextTo"/>
        <c:crossAx val="114791158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Pt>
            <c:idx val="0"/>
            <c:invertIfNegative val="0"/>
            <c:bubble3D val="0"/>
            <c:spPr>
              <a:solidFill>
                <a:srgbClr val="FF0066"/>
              </a:solidFill>
              <a:ln>
                <a:noFill/>
              </a:ln>
              <a:effectLst/>
            </c:spPr>
            <c:extLst>
              <c:ext xmlns:c16="http://schemas.microsoft.com/office/drawing/2014/chart" uri="{C3380CC4-5D6E-409C-BE32-E72D297353CC}">
                <c16:uniqueId val="{00000004-C064-40AE-9C30-C65C0EB8C04F}"/>
              </c:ext>
            </c:extLst>
          </c:dPt>
          <c:cat>
            <c:strRef>
              <c:f>'am pm'!$A$10</c:f>
              <c:strCache>
                <c:ptCount val="1"/>
                <c:pt idx="0">
                  <c:v>AM</c:v>
                </c:pt>
              </c:strCache>
            </c:strRef>
          </c:cat>
          <c:val>
            <c:numRef>
              <c:f>'am pm'!$B$10</c:f>
              <c:numCache>
                <c:formatCode>0.0%</c:formatCode>
                <c:ptCount val="1"/>
                <c:pt idx="0">
                  <c:v>0.88749331635900697</c:v>
                </c:pt>
              </c:numCache>
            </c:numRef>
          </c:val>
          <c:extLst>
            <c:ext xmlns:c16="http://schemas.microsoft.com/office/drawing/2014/chart" uri="{C3380CC4-5D6E-409C-BE32-E72D297353CC}">
              <c16:uniqueId val="{00000000-C064-40AE-9C30-C65C0EB8C04F}"/>
            </c:ext>
          </c:extLst>
        </c:ser>
        <c:dLbls>
          <c:showLegendKey val="0"/>
          <c:showVal val="0"/>
          <c:showCatName val="0"/>
          <c:showSerName val="0"/>
          <c:showPercent val="0"/>
          <c:showBubbleSize val="0"/>
        </c:dLbls>
        <c:gapWidth val="182"/>
        <c:axId val="18521487"/>
        <c:axId val="18519567"/>
      </c:barChart>
      <c:catAx>
        <c:axId val="18521487"/>
        <c:scaling>
          <c:orientation val="minMax"/>
        </c:scaling>
        <c:delete val="1"/>
        <c:axPos val="l"/>
        <c:numFmt formatCode="General" sourceLinked="1"/>
        <c:majorTickMark val="none"/>
        <c:minorTickMark val="none"/>
        <c:tickLblPos val="nextTo"/>
        <c:crossAx val="18519567"/>
        <c:crosses val="autoZero"/>
        <c:auto val="1"/>
        <c:lblAlgn val="ctr"/>
        <c:lblOffset val="100"/>
        <c:noMultiLvlLbl val="0"/>
      </c:catAx>
      <c:valAx>
        <c:axId val="18519567"/>
        <c:scaling>
          <c:orientation val="minMax"/>
          <c:max val="1"/>
          <c:min val="0"/>
        </c:scaling>
        <c:delete val="1"/>
        <c:axPos val="b"/>
        <c:numFmt formatCode="0.0%" sourceLinked="1"/>
        <c:majorTickMark val="none"/>
        <c:minorTickMark val="none"/>
        <c:tickLblPos val="nextTo"/>
        <c:crossAx val="1852148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077519379844961"/>
          <c:y val="0.38596491228070173"/>
          <c:w val="0.8294573643410853"/>
          <c:h val="0.61403508771929827"/>
        </c:manualLayout>
      </c:layout>
      <c:barChart>
        <c:barDir val="bar"/>
        <c:grouping val="clustered"/>
        <c:varyColors val="0"/>
        <c:ser>
          <c:idx val="0"/>
          <c:order val="0"/>
          <c:spPr>
            <a:solidFill>
              <a:schemeClr val="accent1"/>
            </a:solidFill>
            <a:ln>
              <a:noFill/>
            </a:ln>
            <a:effectLst/>
          </c:spPr>
          <c:invertIfNegative val="0"/>
          <c:cat>
            <c:strRef>
              <c:f>'am pm'!$A$11</c:f>
              <c:strCache>
                <c:ptCount val="1"/>
                <c:pt idx="0">
                  <c:v>PM</c:v>
                </c:pt>
              </c:strCache>
            </c:strRef>
          </c:cat>
          <c:val>
            <c:numRef>
              <c:f>'am pm'!$B$11</c:f>
              <c:numCache>
                <c:formatCode>0.0%</c:formatCode>
                <c:ptCount val="1"/>
                <c:pt idx="0">
                  <c:v>0.112506683640993</c:v>
                </c:pt>
              </c:numCache>
            </c:numRef>
          </c:val>
          <c:extLst>
            <c:ext xmlns:c16="http://schemas.microsoft.com/office/drawing/2014/chart" uri="{C3380CC4-5D6E-409C-BE32-E72D297353CC}">
              <c16:uniqueId val="{00000000-E5DE-4826-8002-49E04A2042D4}"/>
            </c:ext>
          </c:extLst>
        </c:ser>
        <c:dLbls>
          <c:showLegendKey val="0"/>
          <c:showVal val="0"/>
          <c:showCatName val="0"/>
          <c:showSerName val="0"/>
          <c:showPercent val="0"/>
          <c:showBubbleSize val="0"/>
        </c:dLbls>
        <c:gapWidth val="182"/>
        <c:axId val="18521487"/>
        <c:axId val="18519567"/>
      </c:barChart>
      <c:catAx>
        <c:axId val="18521487"/>
        <c:scaling>
          <c:orientation val="minMax"/>
        </c:scaling>
        <c:delete val="1"/>
        <c:axPos val="l"/>
        <c:numFmt formatCode="General" sourceLinked="1"/>
        <c:majorTickMark val="none"/>
        <c:minorTickMark val="none"/>
        <c:tickLblPos val="nextTo"/>
        <c:crossAx val="18519567"/>
        <c:crosses val="autoZero"/>
        <c:auto val="1"/>
        <c:lblAlgn val="ctr"/>
        <c:lblOffset val="100"/>
        <c:noMultiLvlLbl val="0"/>
      </c:catAx>
      <c:valAx>
        <c:axId val="18519567"/>
        <c:scaling>
          <c:orientation val="minMax"/>
          <c:max val="1"/>
          <c:min val="0"/>
        </c:scaling>
        <c:delete val="1"/>
        <c:axPos val="b"/>
        <c:numFmt formatCode="0.0%" sourceLinked="1"/>
        <c:majorTickMark val="none"/>
        <c:minorTickMark val="none"/>
        <c:tickLblPos val="nextTo"/>
        <c:crossAx val="1852148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 sales dashboard macro recording.xlsm]Sheet5!PivotTable14</c:name>
    <c:fmtId val="3"/>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pivotFmt>
      <c:pivotFmt>
        <c:idx val="3"/>
        <c:spPr>
          <a:solidFill>
            <a:schemeClr val="accent1"/>
          </a:solidFill>
          <a:ln>
            <a:noFill/>
          </a:ln>
          <a:effectLst/>
          <a:sp3d/>
        </c:spPr>
      </c:pivotFmt>
      <c:pivotFmt>
        <c:idx val="4"/>
        <c:spPr>
          <a:solidFill>
            <a:schemeClr val="accent1"/>
          </a:solidFill>
          <a:ln>
            <a:noFill/>
          </a:ln>
          <a:effectLst/>
          <a:sp3d/>
        </c:spPr>
      </c:pivotFmt>
      <c:pivotFmt>
        <c:idx val="5"/>
        <c:spPr>
          <a:solidFill>
            <a:schemeClr val="accent1"/>
          </a:solidFill>
          <a:ln>
            <a:noFill/>
          </a:ln>
          <a:effectLst/>
          <a:sp3d/>
        </c:spPr>
      </c:pivotFmt>
      <c:pivotFmt>
        <c:idx val="6"/>
        <c:spPr>
          <a:solidFill>
            <a:schemeClr val="accent1"/>
          </a:solidFill>
          <a:ln>
            <a:noFill/>
          </a:ln>
          <a:effectLst/>
          <a:sp3d/>
        </c:spPr>
      </c:pivotFmt>
      <c:pivotFmt>
        <c:idx val="7"/>
        <c:spPr>
          <a:solidFill>
            <a:schemeClr val="accent1"/>
          </a:solidFill>
          <a:ln>
            <a:noFill/>
          </a:ln>
          <a:effectLst/>
          <a:sp3d/>
        </c:spPr>
      </c:pivotFmt>
      <c:pivotFmt>
        <c:idx val="8"/>
        <c:spPr>
          <a:solidFill>
            <a:schemeClr val="accent1"/>
          </a:solidFill>
          <a:ln>
            <a:noFill/>
          </a:ln>
          <a:effectLst/>
          <a:sp3d/>
        </c:spPr>
      </c:pivotFmt>
      <c:pivotFmt>
        <c:idx val="9"/>
        <c:spPr>
          <a:solidFill>
            <a:schemeClr val="accent1"/>
          </a:solidFill>
          <a:ln>
            <a:noFill/>
          </a:ln>
          <a:effectLst/>
          <a:sp3d/>
        </c:spPr>
      </c:pivotFmt>
      <c:pivotFmt>
        <c:idx val="10"/>
        <c:spPr>
          <a:solidFill>
            <a:schemeClr val="accent1"/>
          </a:solidFill>
          <a:ln>
            <a:noFill/>
          </a:ln>
          <a:effectLst/>
          <a:sp3d/>
        </c:spPr>
      </c:pivotFmt>
      <c:pivotFmt>
        <c:idx val="11"/>
        <c:spPr>
          <a:solidFill>
            <a:schemeClr val="accent1"/>
          </a:solidFill>
          <a:ln>
            <a:noFill/>
          </a:ln>
          <a:effectLst/>
          <a:sp3d/>
        </c:spPr>
      </c:pivotFmt>
      <c:pivotFmt>
        <c:idx val="12"/>
        <c:spPr>
          <a:solidFill>
            <a:schemeClr val="accent1"/>
          </a:solidFill>
          <a:ln>
            <a:noFill/>
          </a:ln>
          <a:effectLst/>
          <a:sp3d/>
        </c:spPr>
      </c:pivotFmt>
      <c:pivotFmt>
        <c:idx val="13"/>
        <c:spPr>
          <a:solidFill>
            <a:schemeClr val="accent1"/>
          </a:solidFill>
          <a:ln>
            <a:noFill/>
          </a:ln>
          <a:effectLst/>
          <a:sp3d/>
        </c:spPr>
      </c:pivotFmt>
      <c:pivotFmt>
        <c:idx val="1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p3d/>
        </c:spPr>
      </c:pivotFmt>
      <c:pivotFmt>
        <c:idx val="16"/>
        <c:spPr>
          <a:solidFill>
            <a:schemeClr val="accent1"/>
          </a:solidFill>
          <a:ln>
            <a:noFill/>
          </a:ln>
          <a:effectLst/>
          <a:sp3d/>
        </c:spPr>
      </c:pivotFmt>
      <c:pivotFmt>
        <c:idx val="17"/>
        <c:spPr>
          <a:solidFill>
            <a:schemeClr val="accent1"/>
          </a:solidFill>
          <a:ln>
            <a:noFill/>
          </a:ln>
          <a:effectLst/>
          <a:sp3d/>
        </c:spPr>
      </c:pivotFmt>
      <c:pivotFmt>
        <c:idx val="18"/>
        <c:spPr>
          <a:solidFill>
            <a:schemeClr val="accent1"/>
          </a:solidFill>
          <a:ln>
            <a:noFill/>
          </a:ln>
          <a:effectLst/>
          <a:sp3d/>
        </c:spPr>
      </c:pivotFmt>
      <c:pivotFmt>
        <c:idx val="19"/>
        <c:spPr>
          <a:solidFill>
            <a:schemeClr val="accent1"/>
          </a:solidFill>
          <a:ln>
            <a:noFill/>
          </a:ln>
          <a:effectLst/>
          <a:sp3d/>
        </c:spPr>
      </c:pivotFmt>
      <c:pivotFmt>
        <c:idx val="20"/>
        <c:spPr>
          <a:solidFill>
            <a:schemeClr val="accent1"/>
          </a:solidFill>
          <a:ln>
            <a:noFill/>
          </a:ln>
          <a:effectLst/>
          <a:sp3d/>
        </c:spPr>
      </c:pivotFmt>
      <c:pivotFmt>
        <c:idx val="21"/>
        <c:spPr>
          <a:solidFill>
            <a:schemeClr val="accent1"/>
          </a:solidFill>
          <a:ln>
            <a:noFill/>
          </a:ln>
          <a:effectLst/>
          <a:sp3d/>
        </c:spPr>
      </c:pivotFmt>
      <c:pivotFmt>
        <c:idx val="22"/>
        <c:spPr>
          <a:solidFill>
            <a:schemeClr val="accent1"/>
          </a:solidFill>
          <a:ln>
            <a:noFill/>
          </a:ln>
          <a:effectLst/>
          <a:sp3d/>
        </c:spPr>
      </c:pivotFmt>
      <c:pivotFmt>
        <c:idx val="23"/>
        <c:spPr>
          <a:solidFill>
            <a:schemeClr val="accent1"/>
          </a:solidFill>
          <a:ln>
            <a:noFill/>
          </a:ln>
          <a:effectLst/>
          <a:sp3d/>
        </c:spPr>
      </c:pivotFmt>
      <c:pivotFmt>
        <c:idx val="24"/>
        <c:spPr>
          <a:solidFill>
            <a:schemeClr val="accent1"/>
          </a:solidFill>
          <a:ln>
            <a:noFill/>
          </a:ln>
          <a:effectLst/>
          <a:sp3d/>
        </c:spPr>
      </c:pivotFmt>
      <c:pivotFmt>
        <c:idx val="25"/>
        <c:spPr>
          <a:solidFill>
            <a:schemeClr val="accent1"/>
          </a:solidFill>
          <a:ln>
            <a:noFill/>
          </a:ln>
          <a:effectLst/>
          <a:sp3d/>
        </c:spPr>
      </c:pivotFmt>
      <c:pivotFmt>
        <c:idx val="26"/>
        <c:spPr>
          <a:solidFill>
            <a:schemeClr val="accent1"/>
          </a:solidFill>
          <a:ln>
            <a:noFill/>
          </a:ln>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1"/>
        <c:ser>
          <c:idx val="0"/>
          <c:order val="0"/>
          <c:tx>
            <c:strRef>
              <c:f>Sheet5!$B$3</c:f>
              <c:strCache>
                <c:ptCount val="1"/>
                <c:pt idx="0">
                  <c:v>Total</c:v>
                </c:pt>
              </c:strCache>
            </c:strRef>
          </c:tx>
          <c:invertIfNegative val="0"/>
          <c:dPt>
            <c:idx val="0"/>
            <c:invertIfNegative val="0"/>
            <c:bubble3D val="0"/>
            <c:spPr>
              <a:solidFill>
                <a:schemeClr val="accent1"/>
              </a:solidFill>
              <a:ln>
                <a:noFill/>
              </a:ln>
              <a:effectLst/>
              <a:sp3d/>
            </c:spPr>
            <c:extLst>
              <c:ext xmlns:c16="http://schemas.microsoft.com/office/drawing/2014/chart" uri="{C3380CC4-5D6E-409C-BE32-E72D297353CC}">
                <c16:uniqueId val="{00000001-02E7-402D-BB94-FEC81239F8A7}"/>
              </c:ext>
            </c:extLst>
          </c:dPt>
          <c:dPt>
            <c:idx val="1"/>
            <c:invertIfNegative val="0"/>
            <c:bubble3D val="0"/>
            <c:spPr>
              <a:solidFill>
                <a:schemeClr val="accent2"/>
              </a:solidFill>
              <a:ln>
                <a:noFill/>
              </a:ln>
              <a:effectLst/>
              <a:sp3d/>
            </c:spPr>
            <c:extLst>
              <c:ext xmlns:c16="http://schemas.microsoft.com/office/drawing/2014/chart" uri="{C3380CC4-5D6E-409C-BE32-E72D297353CC}">
                <c16:uniqueId val="{00000003-02E7-402D-BB94-FEC81239F8A7}"/>
              </c:ext>
            </c:extLst>
          </c:dPt>
          <c:dPt>
            <c:idx val="2"/>
            <c:invertIfNegative val="0"/>
            <c:bubble3D val="0"/>
            <c:spPr>
              <a:solidFill>
                <a:schemeClr val="accent3"/>
              </a:solidFill>
              <a:ln>
                <a:noFill/>
              </a:ln>
              <a:effectLst/>
              <a:sp3d/>
            </c:spPr>
            <c:extLst>
              <c:ext xmlns:c16="http://schemas.microsoft.com/office/drawing/2014/chart" uri="{C3380CC4-5D6E-409C-BE32-E72D297353CC}">
                <c16:uniqueId val="{00000005-02E7-402D-BB94-FEC81239F8A7}"/>
              </c:ext>
            </c:extLst>
          </c:dPt>
          <c:dPt>
            <c:idx val="3"/>
            <c:invertIfNegative val="0"/>
            <c:bubble3D val="0"/>
            <c:spPr>
              <a:solidFill>
                <a:schemeClr val="accent4"/>
              </a:solidFill>
              <a:ln>
                <a:noFill/>
              </a:ln>
              <a:effectLst/>
              <a:sp3d/>
            </c:spPr>
            <c:extLst>
              <c:ext xmlns:c16="http://schemas.microsoft.com/office/drawing/2014/chart" uri="{C3380CC4-5D6E-409C-BE32-E72D297353CC}">
                <c16:uniqueId val="{00000007-02E7-402D-BB94-FEC81239F8A7}"/>
              </c:ext>
            </c:extLst>
          </c:dPt>
          <c:dPt>
            <c:idx val="4"/>
            <c:invertIfNegative val="0"/>
            <c:bubble3D val="0"/>
            <c:spPr>
              <a:solidFill>
                <a:schemeClr val="accent5"/>
              </a:solidFill>
              <a:ln>
                <a:noFill/>
              </a:ln>
              <a:effectLst/>
              <a:sp3d/>
            </c:spPr>
            <c:extLst>
              <c:ext xmlns:c16="http://schemas.microsoft.com/office/drawing/2014/chart" uri="{C3380CC4-5D6E-409C-BE32-E72D297353CC}">
                <c16:uniqueId val="{00000009-02E7-402D-BB94-FEC81239F8A7}"/>
              </c:ext>
            </c:extLst>
          </c:dPt>
          <c:dPt>
            <c:idx val="5"/>
            <c:invertIfNegative val="0"/>
            <c:bubble3D val="0"/>
            <c:spPr>
              <a:solidFill>
                <a:schemeClr val="accent6"/>
              </a:solidFill>
              <a:ln>
                <a:noFill/>
              </a:ln>
              <a:effectLst/>
              <a:sp3d/>
            </c:spPr>
            <c:extLst>
              <c:ext xmlns:c16="http://schemas.microsoft.com/office/drawing/2014/chart" uri="{C3380CC4-5D6E-409C-BE32-E72D297353CC}">
                <c16:uniqueId val="{0000000B-02E7-402D-BB94-FEC81239F8A7}"/>
              </c:ext>
            </c:extLst>
          </c:dPt>
          <c:dPt>
            <c:idx val="6"/>
            <c:invertIfNegative val="0"/>
            <c:bubble3D val="0"/>
            <c:spPr>
              <a:solidFill>
                <a:schemeClr val="accent1">
                  <a:lumMod val="60000"/>
                </a:schemeClr>
              </a:solidFill>
              <a:ln>
                <a:noFill/>
              </a:ln>
              <a:effectLst/>
              <a:sp3d/>
            </c:spPr>
            <c:extLst>
              <c:ext xmlns:c16="http://schemas.microsoft.com/office/drawing/2014/chart" uri="{C3380CC4-5D6E-409C-BE32-E72D297353CC}">
                <c16:uniqueId val="{0000000D-02E7-402D-BB94-FEC81239F8A7}"/>
              </c:ext>
            </c:extLst>
          </c:dPt>
          <c:dPt>
            <c:idx val="7"/>
            <c:invertIfNegative val="0"/>
            <c:bubble3D val="0"/>
            <c:spPr>
              <a:solidFill>
                <a:schemeClr val="accent2">
                  <a:lumMod val="60000"/>
                </a:schemeClr>
              </a:solidFill>
              <a:ln>
                <a:noFill/>
              </a:ln>
              <a:effectLst/>
              <a:sp3d/>
            </c:spPr>
            <c:extLst>
              <c:ext xmlns:c16="http://schemas.microsoft.com/office/drawing/2014/chart" uri="{C3380CC4-5D6E-409C-BE32-E72D297353CC}">
                <c16:uniqueId val="{0000000F-02E7-402D-BB94-FEC81239F8A7}"/>
              </c:ext>
            </c:extLst>
          </c:dPt>
          <c:dPt>
            <c:idx val="8"/>
            <c:invertIfNegative val="0"/>
            <c:bubble3D val="0"/>
            <c:spPr>
              <a:solidFill>
                <a:schemeClr val="accent3">
                  <a:lumMod val="60000"/>
                </a:schemeClr>
              </a:solidFill>
              <a:ln>
                <a:noFill/>
              </a:ln>
              <a:effectLst/>
              <a:sp3d/>
            </c:spPr>
            <c:extLst>
              <c:ext xmlns:c16="http://schemas.microsoft.com/office/drawing/2014/chart" uri="{C3380CC4-5D6E-409C-BE32-E72D297353CC}">
                <c16:uniqueId val="{00000011-02E7-402D-BB94-FEC81239F8A7}"/>
              </c:ext>
            </c:extLst>
          </c:dPt>
          <c:dPt>
            <c:idx val="9"/>
            <c:invertIfNegative val="0"/>
            <c:bubble3D val="0"/>
            <c:spPr>
              <a:solidFill>
                <a:schemeClr val="accent4">
                  <a:lumMod val="60000"/>
                </a:schemeClr>
              </a:solidFill>
              <a:ln>
                <a:noFill/>
              </a:ln>
              <a:effectLst/>
              <a:sp3d/>
            </c:spPr>
            <c:extLst>
              <c:ext xmlns:c16="http://schemas.microsoft.com/office/drawing/2014/chart" uri="{C3380CC4-5D6E-409C-BE32-E72D297353CC}">
                <c16:uniqueId val="{00000013-02E7-402D-BB94-FEC81239F8A7}"/>
              </c:ext>
            </c:extLst>
          </c:dPt>
          <c:dPt>
            <c:idx val="10"/>
            <c:invertIfNegative val="0"/>
            <c:bubble3D val="0"/>
            <c:spPr>
              <a:solidFill>
                <a:schemeClr val="accent5">
                  <a:lumMod val="60000"/>
                </a:schemeClr>
              </a:solidFill>
              <a:ln>
                <a:noFill/>
              </a:ln>
              <a:effectLst/>
              <a:sp3d/>
            </c:spPr>
            <c:extLst>
              <c:ext xmlns:c16="http://schemas.microsoft.com/office/drawing/2014/chart" uri="{C3380CC4-5D6E-409C-BE32-E72D297353CC}">
                <c16:uniqueId val="{00000015-02E7-402D-BB94-FEC81239F8A7}"/>
              </c:ext>
            </c:extLst>
          </c:dPt>
          <c:dPt>
            <c:idx val="11"/>
            <c:invertIfNegative val="0"/>
            <c:bubble3D val="0"/>
            <c:spPr>
              <a:solidFill>
                <a:schemeClr val="accent6">
                  <a:lumMod val="60000"/>
                </a:schemeClr>
              </a:solidFill>
              <a:ln>
                <a:noFill/>
              </a:ln>
              <a:effectLst/>
              <a:sp3d/>
            </c:spPr>
            <c:extLst>
              <c:ext xmlns:c16="http://schemas.microsoft.com/office/drawing/2014/chart" uri="{C3380CC4-5D6E-409C-BE32-E72D297353CC}">
                <c16:uniqueId val="{00000017-02E7-402D-BB94-FEC81239F8A7}"/>
              </c:ext>
            </c:extLst>
          </c:dPt>
          <c:cat>
            <c:strRef>
              <c:f>Sheet5!$A$4:$A$16</c:f>
              <c:strCache>
                <c:ptCount val="12"/>
                <c:pt idx="0">
                  <c:v>10 AM</c:v>
                </c:pt>
                <c:pt idx="1">
                  <c:v>12 PM</c:v>
                </c:pt>
                <c:pt idx="2">
                  <c:v>11 AM</c:v>
                </c:pt>
                <c:pt idx="3">
                  <c:v>1 AM</c:v>
                </c:pt>
                <c:pt idx="4">
                  <c:v>7 AM</c:v>
                </c:pt>
                <c:pt idx="5">
                  <c:v>5 AM</c:v>
                </c:pt>
                <c:pt idx="6">
                  <c:v>2 AM</c:v>
                </c:pt>
                <c:pt idx="7">
                  <c:v>8 AM</c:v>
                </c:pt>
                <c:pt idx="8">
                  <c:v>3 AM</c:v>
                </c:pt>
                <c:pt idx="9">
                  <c:v>6 AM</c:v>
                </c:pt>
                <c:pt idx="10">
                  <c:v>4 AM</c:v>
                </c:pt>
                <c:pt idx="11">
                  <c:v>9 AM</c:v>
                </c:pt>
              </c:strCache>
            </c:strRef>
          </c:cat>
          <c:val>
            <c:numRef>
              <c:f>Sheet5!$B$4:$B$16</c:f>
              <c:numCache>
                <c:formatCode>"₹"\ #,##0</c:formatCode>
                <c:ptCount val="12"/>
                <c:pt idx="0">
                  <c:v>2650300</c:v>
                </c:pt>
                <c:pt idx="1">
                  <c:v>2209350</c:v>
                </c:pt>
                <c:pt idx="2">
                  <c:v>2167100</c:v>
                </c:pt>
                <c:pt idx="3">
                  <c:v>2094800</c:v>
                </c:pt>
                <c:pt idx="4">
                  <c:v>1727350</c:v>
                </c:pt>
                <c:pt idx="5">
                  <c:v>1617100</c:v>
                </c:pt>
                <c:pt idx="6">
                  <c:v>1585100</c:v>
                </c:pt>
                <c:pt idx="7">
                  <c:v>1545600</c:v>
                </c:pt>
                <c:pt idx="8">
                  <c:v>1340800</c:v>
                </c:pt>
                <c:pt idx="9">
                  <c:v>1106600</c:v>
                </c:pt>
                <c:pt idx="10">
                  <c:v>844200</c:v>
                </c:pt>
                <c:pt idx="11">
                  <c:v>749200</c:v>
                </c:pt>
              </c:numCache>
            </c:numRef>
          </c:val>
          <c:extLst>
            <c:ext xmlns:c16="http://schemas.microsoft.com/office/drawing/2014/chart" uri="{C3380CC4-5D6E-409C-BE32-E72D297353CC}">
              <c16:uniqueId val="{00000018-02E7-402D-BB94-FEC81239F8A7}"/>
            </c:ext>
          </c:extLst>
        </c:ser>
        <c:dLbls>
          <c:showLegendKey val="0"/>
          <c:showVal val="0"/>
          <c:showCatName val="0"/>
          <c:showSerName val="0"/>
          <c:showPercent val="0"/>
          <c:showBubbleSize val="0"/>
        </c:dLbls>
        <c:gapWidth val="150"/>
        <c:shape val="box"/>
        <c:axId val="2112074640"/>
        <c:axId val="2112076080"/>
        <c:axId val="0"/>
      </c:bar3DChart>
      <c:catAx>
        <c:axId val="21120746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2076080"/>
        <c:crosses val="autoZero"/>
        <c:auto val="1"/>
        <c:lblAlgn val="ctr"/>
        <c:lblOffset val="100"/>
        <c:noMultiLvlLbl val="0"/>
      </c:catAx>
      <c:valAx>
        <c:axId val="2112076080"/>
        <c:scaling>
          <c:orientation val="minMax"/>
        </c:scaling>
        <c:delete val="0"/>
        <c:axPos val="l"/>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20746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 sales dashboard macro recording.xlsm]sales analysis!PivotTable18</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s>
    <c:plotArea>
      <c:layout/>
      <c:barChart>
        <c:barDir val="col"/>
        <c:grouping val="clustered"/>
        <c:varyColors val="1"/>
        <c:ser>
          <c:idx val="0"/>
          <c:order val="0"/>
          <c:tx>
            <c:strRef>
              <c:f>'sales analysis'!$B$82</c:f>
              <c:strCache>
                <c:ptCount val="1"/>
                <c:pt idx="0">
                  <c:v>Total</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B082-4438-A8DC-E8427B3A183F}"/>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B082-4438-A8DC-E8427B3A183F}"/>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B082-4438-A8DC-E8427B3A183F}"/>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B082-4438-A8DC-E8427B3A183F}"/>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B082-4438-A8DC-E8427B3A183F}"/>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B082-4438-A8DC-E8427B3A183F}"/>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B082-4438-A8DC-E8427B3A183F}"/>
              </c:ext>
            </c:extLst>
          </c:dPt>
          <c:cat>
            <c:strRef>
              <c:f>'sales analysis'!$A$83:$A$90</c:f>
              <c:strCache>
                <c:ptCount val="7"/>
                <c:pt idx="0">
                  <c:v>Sun</c:v>
                </c:pt>
                <c:pt idx="1">
                  <c:v>Mon</c:v>
                </c:pt>
                <c:pt idx="2">
                  <c:v>Tue</c:v>
                </c:pt>
                <c:pt idx="3">
                  <c:v>Wed</c:v>
                </c:pt>
                <c:pt idx="4">
                  <c:v>Thu</c:v>
                </c:pt>
                <c:pt idx="5">
                  <c:v>Fri</c:v>
                </c:pt>
                <c:pt idx="6">
                  <c:v>Sat</c:v>
                </c:pt>
              </c:strCache>
            </c:strRef>
          </c:cat>
          <c:val>
            <c:numRef>
              <c:f>'sales analysis'!$B$83:$B$90</c:f>
              <c:numCache>
                <c:formatCode>General</c:formatCode>
                <c:ptCount val="7"/>
                <c:pt idx="0">
                  <c:v>3108900</c:v>
                </c:pt>
                <c:pt idx="1">
                  <c:v>3157650</c:v>
                </c:pt>
                <c:pt idx="2">
                  <c:v>2583500</c:v>
                </c:pt>
                <c:pt idx="3">
                  <c:v>2945400</c:v>
                </c:pt>
                <c:pt idx="4">
                  <c:v>3370600</c:v>
                </c:pt>
                <c:pt idx="5">
                  <c:v>2351450</c:v>
                </c:pt>
                <c:pt idx="6">
                  <c:v>2120000</c:v>
                </c:pt>
              </c:numCache>
            </c:numRef>
          </c:val>
          <c:extLst>
            <c:ext xmlns:c16="http://schemas.microsoft.com/office/drawing/2014/chart" uri="{C3380CC4-5D6E-409C-BE32-E72D297353CC}">
              <c16:uniqueId val="{0000000E-B082-4438-A8DC-E8427B3A183F}"/>
            </c:ext>
          </c:extLst>
        </c:ser>
        <c:dLbls>
          <c:showLegendKey val="0"/>
          <c:showVal val="0"/>
          <c:showCatName val="0"/>
          <c:showSerName val="0"/>
          <c:showPercent val="0"/>
          <c:showBubbleSize val="0"/>
        </c:dLbls>
        <c:gapWidth val="219"/>
        <c:overlap val="-27"/>
        <c:axId val="443027407"/>
        <c:axId val="443018287"/>
      </c:barChart>
      <c:catAx>
        <c:axId val="443027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018287"/>
        <c:crosses val="autoZero"/>
        <c:auto val="1"/>
        <c:lblAlgn val="ctr"/>
        <c:lblOffset val="100"/>
        <c:noMultiLvlLbl val="0"/>
      </c:catAx>
      <c:valAx>
        <c:axId val="4430182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0274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 sales dashboard macro recording.xlsm]sales analysis!PivotTable19</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s>
    <c:plotArea>
      <c:layout>
        <c:manualLayout>
          <c:layoutTarget val="inner"/>
          <c:xMode val="edge"/>
          <c:yMode val="edge"/>
          <c:x val="0.18784507545148743"/>
          <c:y val="0.18971769321126081"/>
          <c:w val="0.66535714956871439"/>
          <c:h val="0.73767500154557764"/>
        </c:manualLayout>
      </c:layout>
      <c:barChart>
        <c:barDir val="bar"/>
        <c:grouping val="clustered"/>
        <c:varyColors val="1"/>
        <c:ser>
          <c:idx val="0"/>
          <c:order val="0"/>
          <c:tx>
            <c:strRef>
              <c:f>'sales analysis'!$C$100</c:f>
              <c:strCache>
                <c:ptCount val="1"/>
                <c:pt idx="0">
                  <c:v>Total</c:v>
                </c:pt>
              </c:strCache>
            </c:strRef>
          </c:tx>
          <c:invertIfNegative val="1"/>
          <c:dPt>
            <c:idx val="0"/>
            <c:invertIfNegative val="1"/>
            <c:bubble3D val="0"/>
            <c:spPr>
              <a:solidFill>
                <a:schemeClr val="accent1"/>
              </a:solidFill>
              <a:ln>
                <a:noFill/>
              </a:ln>
              <a:effectLst/>
            </c:spPr>
            <c:extLst>
              <c:ext xmlns:c16="http://schemas.microsoft.com/office/drawing/2014/chart" uri="{C3380CC4-5D6E-409C-BE32-E72D297353CC}">
                <c16:uniqueId val="{00000001-D0B0-4594-8049-0EDC6427476D}"/>
              </c:ext>
            </c:extLst>
          </c:dPt>
          <c:dPt>
            <c:idx val="1"/>
            <c:invertIfNegative val="1"/>
            <c:bubble3D val="0"/>
            <c:spPr>
              <a:solidFill>
                <a:schemeClr val="accent2"/>
              </a:solidFill>
              <a:ln>
                <a:noFill/>
              </a:ln>
              <a:effectLst/>
            </c:spPr>
            <c:extLst>
              <c:ext xmlns:c16="http://schemas.microsoft.com/office/drawing/2014/chart" uri="{C3380CC4-5D6E-409C-BE32-E72D297353CC}">
                <c16:uniqueId val="{00000003-D0B0-4594-8049-0EDC6427476D}"/>
              </c:ext>
            </c:extLst>
          </c:dPt>
          <c:dPt>
            <c:idx val="2"/>
            <c:invertIfNegative val="1"/>
            <c:bubble3D val="0"/>
            <c:spPr>
              <a:solidFill>
                <a:schemeClr val="accent3"/>
              </a:solidFill>
              <a:ln>
                <a:noFill/>
              </a:ln>
              <a:effectLst/>
            </c:spPr>
            <c:extLst>
              <c:ext xmlns:c16="http://schemas.microsoft.com/office/drawing/2014/chart" uri="{C3380CC4-5D6E-409C-BE32-E72D297353CC}">
                <c16:uniqueId val="{00000005-D0B0-4594-8049-0EDC6427476D}"/>
              </c:ext>
            </c:extLst>
          </c:dPt>
          <c:cat>
            <c:strRef>
              <c:f>'sales analysis'!$B$101:$B$104</c:f>
              <c:strCache>
                <c:ptCount val="3"/>
                <c:pt idx="0">
                  <c:v>Product1</c:v>
                </c:pt>
                <c:pt idx="1">
                  <c:v>Product2</c:v>
                </c:pt>
                <c:pt idx="2">
                  <c:v>Product3</c:v>
                </c:pt>
              </c:strCache>
            </c:strRef>
          </c:cat>
          <c:val>
            <c:numRef>
              <c:f>'sales analysis'!$C$101:$C$104</c:f>
              <c:numCache>
                <c:formatCode>"₹"\ #,##0</c:formatCode>
                <c:ptCount val="3"/>
                <c:pt idx="0">
                  <c:v>7991000</c:v>
                </c:pt>
                <c:pt idx="1">
                  <c:v>10665600</c:v>
                </c:pt>
                <c:pt idx="2">
                  <c:v>980900</c:v>
                </c:pt>
              </c:numCache>
            </c:numRef>
          </c:val>
          <c:extLst>
            <c:ext xmlns:c16="http://schemas.microsoft.com/office/drawing/2014/chart" uri="{C3380CC4-5D6E-409C-BE32-E72D297353CC}">
              <c16:uniqueId val="{00000006-D0B0-4594-8049-0EDC6427476D}"/>
            </c:ext>
          </c:extLst>
        </c:ser>
        <c:dLbls>
          <c:showLegendKey val="0"/>
          <c:showVal val="0"/>
          <c:showCatName val="0"/>
          <c:showSerName val="0"/>
          <c:showPercent val="0"/>
          <c:showBubbleSize val="0"/>
        </c:dLbls>
        <c:gapWidth val="182"/>
        <c:axId val="245119311"/>
        <c:axId val="245121711"/>
      </c:barChart>
      <c:catAx>
        <c:axId val="24511931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121711"/>
        <c:crosses val="autoZero"/>
        <c:auto val="1"/>
        <c:lblAlgn val="ctr"/>
        <c:lblOffset val="100"/>
        <c:noMultiLvlLbl val="0"/>
      </c:catAx>
      <c:valAx>
        <c:axId val="245121711"/>
        <c:scaling>
          <c:orientation val="minMax"/>
        </c:scaling>
        <c:delete val="0"/>
        <c:axPos val="t"/>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1193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6.xml"/><Relationship Id="rId18" Type="http://schemas.openxmlformats.org/officeDocument/2006/relationships/chart" Target="../charts/chart9.xml"/><Relationship Id="rId26" Type="http://schemas.openxmlformats.org/officeDocument/2006/relationships/image" Target="../media/image20.svg"/><Relationship Id="rId3" Type="http://schemas.openxmlformats.org/officeDocument/2006/relationships/image" Target="../media/image3.png"/><Relationship Id="rId21" Type="http://schemas.openxmlformats.org/officeDocument/2006/relationships/image" Target="../media/image15.png"/><Relationship Id="rId34" Type="http://schemas.openxmlformats.org/officeDocument/2006/relationships/image" Target="../media/image28.sv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8.xml"/><Relationship Id="rId25" Type="http://schemas.openxmlformats.org/officeDocument/2006/relationships/image" Target="../media/image19.png"/><Relationship Id="rId33" Type="http://schemas.openxmlformats.org/officeDocument/2006/relationships/image" Target="../media/image27.png"/><Relationship Id="rId2" Type="http://schemas.openxmlformats.org/officeDocument/2006/relationships/image" Target="../media/image2.svg"/><Relationship Id="rId16" Type="http://schemas.openxmlformats.org/officeDocument/2006/relationships/chart" Target="../charts/chart7.xml"/><Relationship Id="rId20" Type="http://schemas.openxmlformats.org/officeDocument/2006/relationships/chart" Target="../charts/chart11.xml"/><Relationship Id="rId29" Type="http://schemas.openxmlformats.org/officeDocument/2006/relationships/image" Target="../media/image23.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18.svg"/><Relationship Id="rId32" Type="http://schemas.openxmlformats.org/officeDocument/2006/relationships/image" Target="../media/image26.svg"/><Relationship Id="rId5" Type="http://schemas.openxmlformats.org/officeDocument/2006/relationships/image" Target="../media/image5.png"/><Relationship Id="rId15" Type="http://schemas.openxmlformats.org/officeDocument/2006/relationships/image" Target="../media/image14.svg"/><Relationship Id="rId23" Type="http://schemas.openxmlformats.org/officeDocument/2006/relationships/image" Target="../media/image17.png"/><Relationship Id="rId28" Type="http://schemas.openxmlformats.org/officeDocument/2006/relationships/image" Target="../media/image22.svg"/><Relationship Id="rId10" Type="http://schemas.openxmlformats.org/officeDocument/2006/relationships/image" Target="../media/image10.svg"/><Relationship Id="rId19" Type="http://schemas.openxmlformats.org/officeDocument/2006/relationships/chart" Target="../charts/chart10.xml"/><Relationship Id="rId31" Type="http://schemas.openxmlformats.org/officeDocument/2006/relationships/image" Target="../media/image25.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3.png"/><Relationship Id="rId22" Type="http://schemas.openxmlformats.org/officeDocument/2006/relationships/image" Target="../media/image16.svg"/><Relationship Id="rId27" Type="http://schemas.openxmlformats.org/officeDocument/2006/relationships/image" Target="../media/image21.png"/><Relationship Id="rId30" Type="http://schemas.openxmlformats.org/officeDocument/2006/relationships/image" Target="../media/image24.svg"/><Relationship Id="rId8" Type="http://schemas.openxmlformats.org/officeDocument/2006/relationships/image" Target="../media/image8.svg"/></Relationships>
</file>

<file path=xl/drawings/drawing1.xml><?xml version="1.0" encoding="utf-8"?>
<xdr:wsDr xmlns:xdr="http://schemas.openxmlformats.org/drawingml/2006/spreadsheetDrawing" xmlns:a="http://schemas.openxmlformats.org/drawingml/2006/main">
  <xdr:twoCellAnchor editAs="oneCell">
    <xdr:from>
      <xdr:col>7</xdr:col>
      <xdr:colOff>114300</xdr:colOff>
      <xdr:row>7</xdr:row>
      <xdr:rowOff>0</xdr:rowOff>
    </xdr:from>
    <xdr:to>
      <xdr:col>10</xdr:col>
      <xdr:colOff>114300</xdr:colOff>
      <xdr:row>20</xdr:row>
      <xdr:rowOff>89535</xdr:rowOff>
    </xdr:to>
    <mc:AlternateContent xmlns:mc="http://schemas.openxmlformats.org/markup-compatibility/2006" xmlns:a14="http://schemas.microsoft.com/office/drawing/2010/main">
      <mc:Choice Requires="a14">
        <xdr:graphicFrame macro="">
          <xdr:nvGraphicFramePr>
            <xdr:cNvPr id="2" name="Time range">
              <a:extLst>
                <a:ext uri="{FF2B5EF4-FFF2-40B4-BE49-F238E27FC236}">
                  <a16:creationId xmlns:a16="http://schemas.microsoft.com/office/drawing/2014/main" id="{B85D782E-E76D-A6DB-57E3-3CC75E76D423}"/>
                </a:ext>
              </a:extLst>
            </xdr:cNvPr>
            <xdr:cNvGraphicFramePr/>
          </xdr:nvGraphicFramePr>
          <xdr:xfrm>
            <a:off x="0" y="0"/>
            <a:ext cx="0" cy="0"/>
          </xdr:xfrm>
          <a:graphic>
            <a:graphicData uri="http://schemas.microsoft.com/office/drawing/2010/slicer">
              <sle:slicer xmlns:sle="http://schemas.microsoft.com/office/drawing/2010/slicer" name="Time range"/>
            </a:graphicData>
          </a:graphic>
        </xdr:graphicFrame>
      </mc:Choice>
      <mc:Fallback xmlns="">
        <xdr:sp macro="" textlink="">
          <xdr:nvSpPr>
            <xdr:cNvPr id="0" name=""/>
            <xdr:cNvSpPr>
              <a:spLocks noTextEdit="1"/>
            </xdr:cNvSpPr>
          </xdr:nvSpPr>
          <xdr:spPr>
            <a:xfrm>
              <a:off x="6286500" y="12801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541020</xdr:colOff>
      <xdr:row>5</xdr:row>
      <xdr:rowOff>121920</xdr:rowOff>
    </xdr:from>
    <xdr:to>
      <xdr:col>13</xdr:col>
      <xdr:colOff>541020</xdr:colOff>
      <xdr:row>19</xdr:row>
      <xdr:rowOff>28575</xdr:rowOff>
    </xdr:to>
    <mc:AlternateContent xmlns:mc="http://schemas.openxmlformats.org/markup-compatibility/2006" xmlns:a14="http://schemas.microsoft.com/office/drawing/2010/main">
      <mc:Choice Requires="a14">
        <xdr:graphicFrame macro="">
          <xdr:nvGraphicFramePr>
            <xdr:cNvPr id="3" name="Weekdays">
              <a:extLst>
                <a:ext uri="{FF2B5EF4-FFF2-40B4-BE49-F238E27FC236}">
                  <a16:creationId xmlns:a16="http://schemas.microsoft.com/office/drawing/2014/main" id="{B8CCD9CB-A80E-EFD7-0ACC-5C04216168A7}"/>
                </a:ext>
              </a:extLst>
            </xdr:cNvPr>
            <xdr:cNvGraphicFramePr/>
          </xdr:nvGraphicFramePr>
          <xdr:xfrm>
            <a:off x="0" y="0"/>
            <a:ext cx="0" cy="0"/>
          </xdr:xfrm>
          <a:graphic>
            <a:graphicData uri="http://schemas.microsoft.com/office/drawing/2010/slicer">
              <sle:slicer xmlns:sle="http://schemas.microsoft.com/office/drawing/2010/slicer" name="Weekdays"/>
            </a:graphicData>
          </a:graphic>
        </xdr:graphicFrame>
      </mc:Choice>
      <mc:Fallback xmlns="">
        <xdr:sp macro="" textlink="">
          <xdr:nvSpPr>
            <xdr:cNvPr id="0" name=""/>
            <xdr:cNvSpPr>
              <a:spLocks noTextEdit="1"/>
            </xdr:cNvSpPr>
          </xdr:nvSpPr>
          <xdr:spPr>
            <a:xfrm>
              <a:off x="8542020" y="10363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243840</xdr:colOff>
      <xdr:row>6</xdr:row>
      <xdr:rowOff>160020</xdr:rowOff>
    </xdr:from>
    <xdr:to>
      <xdr:col>5</xdr:col>
      <xdr:colOff>403860</xdr:colOff>
      <xdr:row>20</xdr:row>
      <xdr:rowOff>66675</xdr:rowOff>
    </xdr:to>
    <mc:AlternateContent xmlns:mc="http://schemas.openxmlformats.org/markup-compatibility/2006" xmlns:a14="http://schemas.microsoft.com/office/drawing/2010/main">
      <mc:Choice Requires="a14">
        <xdr:graphicFrame macro="">
          <xdr:nvGraphicFramePr>
            <xdr:cNvPr id="4" name="Payment_Type">
              <a:extLst>
                <a:ext uri="{FF2B5EF4-FFF2-40B4-BE49-F238E27FC236}">
                  <a16:creationId xmlns:a16="http://schemas.microsoft.com/office/drawing/2014/main" id="{E5524048-57F9-D108-8A88-D52631BCD9AA}"/>
                </a:ext>
              </a:extLst>
            </xdr:cNvPr>
            <xdr:cNvGraphicFramePr/>
          </xdr:nvGraphicFramePr>
          <xdr:xfrm>
            <a:off x="0" y="0"/>
            <a:ext cx="0" cy="0"/>
          </xdr:xfrm>
          <a:graphic>
            <a:graphicData uri="http://schemas.microsoft.com/office/drawing/2010/slicer">
              <sle:slicer xmlns:sle="http://schemas.microsoft.com/office/drawing/2010/slicer" name="Payment_Type"/>
            </a:graphicData>
          </a:graphic>
        </xdr:graphicFrame>
      </mc:Choice>
      <mc:Fallback xmlns="">
        <xdr:sp macro="" textlink="">
          <xdr:nvSpPr>
            <xdr:cNvPr id="0" name=""/>
            <xdr:cNvSpPr>
              <a:spLocks noTextEdit="1"/>
            </xdr:cNvSpPr>
          </xdr:nvSpPr>
          <xdr:spPr>
            <a:xfrm>
              <a:off x="3268980" y="12573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152400</xdr:colOff>
      <xdr:row>6</xdr:row>
      <xdr:rowOff>41910</xdr:rowOff>
    </xdr:from>
    <xdr:to>
      <xdr:col>12</xdr:col>
      <xdr:colOff>121920</xdr:colOff>
      <xdr:row>11</xdr:row>
      <xdr:rowOff>91440</xdr:rowOff>
    </xdr:to>
    <xdr:graphicFrame macro="">
      <xdr:nvGraphicFramePr>
        <xdr:cNvPr id="2" name="Chart 1">
          <a:extLst>
            <a:ext uri="{FF2B5EF4-FFF2-40B4-BE49-F238E27FC236}">
              <a16:creationId xmlns:a16="http://schemas.microsoft.com/office/drawing/2014/main" id="{A0BCCE45-C155-788A-448F-357E7F3418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220980</xdr:colOff>
      <xdr:row>82</xdr:row>
      <xdr:rowOff>45720</xdr:rowOff>
    </xdr:from>
    <xdr:to>
      <xdr:col>7</xdr:col>
      <xdr:colOff>830580</xdr:colOff>
      <xdr:row>95</xdr:row>
      <xdr:rowOff>80010</xdr:rowOff>
    </xdr:to>
    <xdr:graphicFrame macro="">
      <xdr:nvGraphicFramePr>
        <xdr:cNvPr id="8" name="Chart 7">
          <a:extLst>
            <a:ext uri="{FF2B5EF4-FFF2-40B4-BE49-F238E27FC236}">
              <a16:creationId xmlns:a16="http://schemas.microsoft.com/office/drawing/2014/main" id="{284A94CF-E0DC-4AE6-3F3C-B41E4396E0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891540</xdr:colOff>
      <xdr:row>98</xdr:row>
      <xdr:rowOff>137160</xdr:rowOff>
    </xdr:from>
    <xdr:to>
      <xdr:col>7</xdr:col>
      <xdr:colOff>426720</xdr:colOff>
      <xdr:row>109</xdr:row>
      <xdr:rowOff>49530</xdr:rowOff>
    </xdr:to>
    <xdr:graphicFrame macro="">
      <xdr:nvGraphicFramePr>
        <xdr:cNvPr id="9" name="Chart 8">
          <a:extLst>
            <a:ext uri="{FF2B5EF4-FFF2-40B4-BE49-F238E27FC236}">
              <a16:creationId xmlns:a16="http://schemas.microsoft.com/office/drawing/2014/main" id="{6E8FCEA3-7126-3925-FE09-105EAC0D97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617220</xdr:colOff>
      <xdr:row>0</xdr:row>
      <xdr:rowOff>91440</xdr:rowOff>
    </xdr:from>
    <xdr:to>
      <xdr:col>14</xdr:col>
      <xdr:colOff>45720</xdr:colOff>
      <xdr:row>7</xdr:row>
      <xdr:rowOff>144780</xdr:rowOff>
    </xdr:to>
    <xdr:graphicFrame macro="">
      <xdr:nvGraphicFramePr>
        <xdr:cNvPr id="2" name="Chart 1">
          <a:extLst>
            <a:ext uri="{FF2B5EF4-FFF2-40B4-BE49-F238E27FC236}">
              <a16:creationId xmlns:a16="http://schemas.microsoft.com/office/drawing/2014/main" id="{37D1C5DA-5E4B-456F-9728-7F4A621FC7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533400</xdr:colOff>
      <xdr:row>14</xdr:row>
      <xdr:rowOff>15240</xdr:rowOff>
    </xdr:from>
    <xdr:to>
      <xdr:col>14</xdr:col>
      <xdr:colOff>533400</xdr:colOff>
      <xdr:row>27</xdr:row>
      <xdr:rowOff>104775</xdr:rowOff>
    </xdr:to>
    <mc:AlternateContent xmlns:mc="http://schemas.openxmlformats.org/markup-compatibility/2006" xmlns:a14="http://schemas.microsoft.com/office/drawing/2010/main">
      <mc:Choice Requires="a14">
        <xdr:graphicFrame macro="">
          <xdr:nvGraphicFramePr>
            <xdr:cNvPr id="3" name="Time range 2">
              <a:extLst>
                <a:ext uri="{FF2B5EF4-FFF2-40B4-BE49-F238E27FC236}">
                  <a16:creationId xmlns:a16="http://schemas.microsoft.com/office/drawing/2014/main" id="{B395A334-5CAC-4318-AD5E-57FE8508E160}"/>
                </a:ext>
              </a:extLst>
            </xdr:cNvPr>
            <xdr:cNvGraphicFramePr/>
          </xdr:nvGraphicFramePr>
          <xdr:xfrm>
            <a:off x="0" y="0"/>
            <a:ext cx="0" cy="0"/>
          </xdr:xfrm>
          <a:graphic>
            <a:graphicData uri="http://schemas.microsoft.com/office/drawing/2010/slicer">
              <sle:slicer xmlns:sle="http://schemas.microsoft.com/office/drawing/2010/slicer" name="Time range 2"/>
            </a:graphicData>
          </a:graphic>
        </xdr:graphicFrame>
      </mc:Choice>
      <mc:Fallback xmlns="">
        <xdr:sp macro="" textlink="">
          <xdr:nvSpPr>
            <xdr:cNvPr id="0" name=""/>
            <xdr:cNvSpPr>
              <a:spLocks noTextEdit="1"/>
            </xdr:cNvSpPr>
          </xdr:nvSpPr>
          <xdr:spPr>
            <a:xfrm>
              <a:off x="10142220" y="25755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5</xdr:row>
      <xdr:rowOff>0</xdr:rowOff>
    </xdr:from>
    <xdr:to>
      <xdr:col>9</xdr:col>
      <xdr:colOff>350520</xdr:colOff>
      <xdr:row>8</xdr:row>
      <xdr:rowOff>3810</xdr:rowOff>
    </xdr:to>
    <xdr:graphicFrame macro="">
      <xdr:nvGraphicFramePr>
        <xdr:cNvPr id="2" name="Chart 1">
          <a:extLst>
            <a:ext uri="{FF2B5EF4-FFF2-40B4-BE49-F238E27FC236}">
              <a16:creationId xmlns:a16="http://schemas.microsoft.com/office/drawing/2014/main" id="{DBD94361-1EC8-4488-86A5-6F0589451E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411480</xdr:colOff>
      <xdr:row>2</xdr:row>
      <xdr:rowOff>76200</xdr:rowOff>
    </xdr:from>
    <xdr:to>
      <xdr:col>4</xdr:col>
      <xdr:colOff>140970</xdr:colOff>
      <xdr:row>38</xdr:row>
      <xdr:rowOff>15240</xdr:rowOff>
    </xdr:to>
    <xdr:grpSp>
      <xdr:nvGrpSpPr>
        <xdr:cNvPr id="5" name="Group 4">
          <a:extLst>
            <a:ext uri="{FF2B5EF4-FFF2-40B4-BE49-F238E27FC236}">
              <a16:creationId xmlns:a16="http://schemas.microsoft.com/office/drawing/2014/main" id="{FD8E6F6A-6BE0-4687-9F45-F40DD1C945BE}"/>
            </a:ext>
          </a:extLst>
        </xdr:cNvPr>
        <xdr:cNvGrpSpPr/>
      </xdr:nvGrpSpPr>
      <xdr:grpSpPr>
        <a:xfrm>
          <a:off x="411480" y="448733"/>
          <a:ext cx="2167890" cy="6644640"/>
          <a:chOff x="1485900" y="428625"/>
          <a:chExt cx="1847850" cy="6048375"/>
        </a:xfrm>
        <a:effectLst>
          <a:glow rad="228600">
            <a:schemeClr val="accent2">
              <a:satMod val="175000"/>
              <a:alpha val="40000"/>
            </a:schemeClr>
          </a:glow>
          <a:outerShdw blurRad="50800" dist="38100" dir="10800000" algn="r" rotWithShape="0">
            <a:prstClr val="black">
              <a:alpha val="40000"/>
            </a:prstClr>
          </a:outerShdw>
        </a:effectLst>
      </xdr:grpSpPr>
      <xdr:sp macro="" textlink="">
        <xdr:nvSpPr>
          <xdr:cNvPr id="6" name="Rectangle: Rounded Corners 5">
            <a:extLst>
              <a:ext uri="{FF2B5EF4-FFF2-40B4-BE49-F238E27FC236}">
                <a16:creationId xmlns:a16="http://schemas.microsoft.com/office/drawing/2014/main" id="{0F18D716-ADBC-BE8A-861F-0BD5AA47AC2E}"/>
              </a:ext>
            </a:extLst>
          </xdr:cNvPr>
          <xdr:cNvSpPr/>
        </xdr:nvSpPr>
        <xdr:spPr>
          <a:xfrm>
            <a:off x="1485900" y="428625"/>
            <a:ext cx="1781175" cy="6048375"/>
          </a:xfrm>
          <a:prstGeom prst="roundRect">
            <a:avLst>
              <a:gd name="adj" fmla="val 13458"/>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 name="Rectangle: Rounded Corners 6">
            <a:extLst>
              <a:ext uri="{FF2B5EF4-FFF2-40B4-BE49-F238E27FC236}">
                <a16:creationId xmlns:a16="http://schemas.microsoft.com/office/drawing/2014/main" id="{B86E82C2-7C87-F83F-9E87-4DA6A5CBAA37}"/>
              </a:ext>
            </a:extLst>
          </xdr:cNvPr>
          <xdr:cNvSpPr/>
        </xdr:nvSpPr>
        <xdr:spPr>
          <a:xfrm>
            <a:off x="3095625" y="428625"/>
            <a:ext cx="238125" cy="6048375"/>
          </a:xfrm>
          <a:prstGeom prst="round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editAs="absolute">
    <xdr:from>
      <xdr:col>4</xdr:col>
      <xdr:colOff>175260</xdr:colOff>
      <xdr:row>2</xdr:row>
      <xdr:rowOff>45720</xdr:rowOff>
    </xdr:from>
    <xdr:to>
      <xdr:col>19</xdr:col>
      <xdr:colOff>480060</xdr:colOff>
      <xdr:row>4</xdr:row>
      <xdr:rowOff>121920</xdr:rowOff>
    </xdr:to>
    <xdr:sp macro="" textlink="">
      <xdr:nvSpPr>
        <xdr:cNvPr id="8" name="Rectangle 7">
          <a:extLst>
            <a:ext uri="{FF2B5EF4-FFF2-40B4-BE49-F238E27FC236}">
              <a16:creationId xmlns:a16="http://schemas.microsoft.com/office/drawing/2014/main" id="{FA8625F1-0836-41DE-A6DC-88EDA30C738C}"/>
            </a:ext>
          </a:extLst>
        </xdr:cNvPr>
        <xdr:cNvSpPr/>
      </xdr:nvSpPr>
      <xdr:spPr>
        <a:xfrm>
          <a:off x="2613660" y="411480"/>
          <a:ext cx="9448800" cy="441960"/>
        </a:xfrm>
        <a:prstGeom prst="rect">
          <a:avLst/>
        </a:prstGeom>
        <a:solidFill>
          <a:schemeClr val="bg1"/>
        </a:solidFill>
        <a:ln>
          <a:noFill/>
        </a:ln>
        <a:effectLst>
          <a:glow rad="228600">
            <a:schemeClr val="accent2">
              <a:satMod val="175000"/>
              <a:alpha val="40000"/>
            </a:schemeClr>
          </a:glow>
          <a:innerShdw blurRad="63500" dist="50800" dir="189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167640</xdr:colOff>
      <xdr:row>2</xdr:row>
      <xdr:rowOff>45720</xdr:rowOff>
    </xdr:from>
    <xdr:to>
      <xdr:col>4</xdr:col>
      <xdr:colOff>291465</xdr:colOff>
      <xdr:row>4</xdr:row>
      <xdr:rowOff>121920</xdr:rowOff>
    </xdr:to>
    <xdr:sp macro="" textlink="">
      <xdr:nvSpPr>
        <xdr:cNvPr id="9" name="Rectangle 8">
          <a:extLst>
            <a:ext uri="{FF2B5EF4-FFF2-40B4-BE49-F238E27FC236}">
              <a16:creationId xmlns:a16="http://schemas.microsoft.com/office/drawing/2014/main" id="{557B2D26-BE34-4BEB-8DD6-A9955823E194}"/>
            </a:ext>
          </a:extLst>
        </xdr:cNvPr>
        <xdr:cNvSpPr/>
      </xdr:nvSpPr>
      <xdr:spPr>
        <a:xfrm>
          <a:off x="2606040" y="411480"/>
          <a:ext cx="123825" cy="441960"/>
        </a:xfrm>
        <a:prstGeom prst="rect">
          <a:avLst/>
        </a:prstGeom>
        <a:solidFill>
          <a:srgbClr val="00B0F0"/>
        </a:solidFill>
        <a:ln>
          <a:noFill/>
        </a:ln>
        <a:effectLst>
          <a:innerShdw blurRad="63500" dist="50800" dir="108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350520</xdr:colOff>
      <xdr:row>2</xdr:row>
      <xdr:rowOff>53340</xdr:rowOff>
    </xdr:from>
    <xdr:to>
      <xdr:col>19</xdr:col>
      <xdr:colOff>474345</xdr:colOff>
      <xdr:row>4</xdr:row>
      <xdr:rowOff>129540</xdr:rowOff>
    </xdr:to>
    <xdr:sp macro="" textlink="">
      <xdr:nvSpPr>
        <xdr:cNvPr id="10" name="Rectangle 9">
          <a:extLst>
            <a:ext uri="{FF2B5EF4-FFF2-40B4-BE49-F238E27FC236}">
              <a16:creationId xmlns:a16="http://schemas.microsoft.com/office/drawing/2014/main" id="{768821FF-27AC-4297-9156-56E922DBCB6D}"/>
            </a:ext>
          </a:extLst>
        </xdr:cNvPr>
        <xdr:cNvSpPr/>
      </xdr:nvSpPr>
      <xdr:spPr>
        <a:xfrm>
          <a:off x="11932920" y="419100"/>
          <a:ext cx="123825" cy="441960"/>
        </a:xfrm>
        <a:prstGeom prst="rect">
          <a:avLst/>
        </a:prstGeom>
        <a:solidFill>
          <a:srgbClr val="E01A8B"/>
        </a:solidFill>
        <a:ln>
          <a:noFill/>
        </a:ln>
        <a:effectLst>
          <a:innerShdw blurRad="63500" dist="50800" dir="162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129540</xdr:colOff>
      <xdr:row>2</xdr:row>
      <xdr:rowOff>114300</xdr:rowOff>
    </xdr:from>
    <xdr:to>
      <xdr:col>9</xdr:col>
      <xdr:colOff>502920</xdr:colOff>
      <xdr:row>4</xdr:row>
      <xdr:rowOff>121920</xdr:rowOff>
    </xdr:to>
    <xdr:pic>
      <xdr:nvPicPr>
        <xdr:cNvPr id="12" name="Graphic 11" descr="Internet outline">
          <a:extLst>
            <a:ext uri="{FF2B5EF4-FFF2-40B4-BE49-F238E27FC236}">
              <a16:creationId xmlns:a16="http://schemas.microsoft.com/office/drawing/2014/main" id="{53E5C1F5-10A0-63FB-AF94-5E109F3B78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615940" y="480060"/>
          <a:ext cx="373380" cy="373380"/>
        </a:xfrm>
        <a:prstGeom prst="rect">
          <a:avLst/>
        </a:prstGeom>
      </xdr:spPr>
    </xdr:pic>
    <xdr:clientData/>
  </xdr:twoCellAnchor>
  <xdr:twoCellAnchor editAs="oneCell">
    <xdr:from>
      <xdr:col>4</xdr:col>
      <xdr:colOff>411480</xdr:colOff>
      <xdr:row>2</xdr:row>
      <xdr:rowOff>91440</xdr:rowOff>
    </xdr:from>
    <xdr:to>
      <xdr:col>5</xdr:col>
      <xdr:colOff>226695</xdr:colOff>
      <xdr:row>4</xdr:row>
      <xdr:rowOff>120015</xdr:rowOff>
    </xdr:to>
    <xdr:pic>
      <xdr:nvPicPr>
        <xdr:cNvPr id="13" name="Graphic 12" descr="Shopping basket">
          <a:extLst>
            <a:ext uri="{FF2B5EF4-FFF2-40B4-BE49-F238E27FC236}">
              <a16:creationId xmlns:a16="http://schemas.microsoft.com/office/drawing/2014/main" id="{AEB6020A-357C-438F-8D93-6116BBD196C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849880" y="457200"/>
          <a:ext cx="424815" cy="394335"/>
        </a:xfrm>
        <a:prstGeom prst="rect">
          <a:avLst/>
        </a:prstGeom>
      </xdr:spPr>
    </xdr:pic>
    <xdr:clientData/>
  </xdr:twoCellAnchor>
  <xdr:twoCellAnchor editAs="absolute">
    <xdr:from>
      <xdr:col>4</xdr:col>
      <xdr:colOff>502920</xdr:colOff>
      <xdr:row>2</xdr:row>
      <xdr:rowOff>137160</xdr:rowOff>
    </xdr:from>
    <xdr:to>
      <xdr:col>9</xdr:col>
      <xdr:colOff>480060</xdr:colOff>
      <xdr:row>4</xdr:row>
      <xdr:rowOff>118110</xdr:rowOff>
    </xdr:to>
    <xdr:sp macro="" textlink="">
      <xdr:nvSpPr>
        <xdr:cNvPr id="14" name="TextBox 13">
          <a:extLst>
            <a:ext uri="{FF2B5EF4-FFF2-40B4-BE49-F238E27FC236}">
              <a16:creationId xmlns:a16="http://schemas.microsoft.com/office/drawing/2014/main" id="{6CA93C96-6434-46CE-B9F4-D19D1766020F}"/>
            </a:ext>
          </a:extLst>
        </xdr:cNvPr>
        <xdr:cNvSpPr txBox="1"/>
      </xdr:nvSpPr>
      <xdr:spPr>
        <a:xfrm>
          <a:off x="2941320" y="502920"/>
          <a:ext cx="3025140" cy="346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rgbClr val="FF6600"/>
              </a:solidFill>
              <a:latin typeface="Harlow Solid Italic" panose="04030604020F02020D02" pitchFamily="82" charset="0"/>
              <a:cs typeface="Arial" panose="020B0604020202020204" pitchFamily="34" charset="0"/>
            </a:rPr>
            <a:t>Online </a:t>
          </a:r>
          <a:r>
            <a:rPr lang="en-US" sz="2000" b="1">
              <a:solidFill>
                <a:srgbClr val="FF6600"/>
              </a:solidFill>
              <a:latin typeface="Harlow Solid Italic" panose="04030604020F02020D02" pitchFamily="82" charset="0"/>
              <a:cs typeface="Arial" panose="020B0604020202020204" pitchFamily="34" charset="0"/>
            </a:rPr>
            <a:t>Sales</a:t>
          </a:r>
          <a:r>
            <a:rPr lang="en-US" sz="1800" b="1">
              <a:solidFill>
                <a:srgbClr val="FF6600"/>
              </a:solidFill>
              <a:latin typeface="Harlow Solid Italic" panose="04030604020F02020D02" pitchFamily="82" charset="0"/>
              <a:cs typeface="Arial" panose="020B0604020202020204" pitchFamily="34" charset="0"/>
            </a:rPr>
            <a:t> Analysis</a:t>
          </a:r>
        </a:p>
      </xdr:txBody>
    </xdr:sp>
    <xdr:clientData/>
  </xdr:twoCellAnchor>
  <xdr:twoCellAnchor editAs="oneCell">
    <xdr:from>
      <xdr:col>2</xdr:col>
      <xdr:colOff>213360</xdr:colOff>
      <xdr:row>2</xdr:row>
      <xdr:rowOff>45721</xdr:rowOff>
    </xdr:from>
    <xdr:to>
      <xdr:col>2</xdr:col>
      <xdr:colOff>594360</xdr:colOff>
      <xdr:row>4</xdr:row>
      <xdr:rowOff>59967</xdr:rowOff>
    </xdr:to>
    <xdr:pic>
      <xdr:nvPicPr>
        <xdr:cNvPr id="15" name="Graphic 14" descr="Gauge with solid fill">
          <a:extLst>
            <a:ext uri="{FF2B5EF4-FFF2-40B4-BE49-F238E27FC236}">
              <a16:creationId xmlns:a16="http://schemas.microsoft.com/office/drawing/2014/main" id="{E065EB46-4CDC-41AE-AF48-164FB7D413D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432560" y="411481"/>
          <a:ext cx="381000" cy="380006"/>
        </a:xfrm>
        <a:prstGeom prst="rect">
          <a:avLst/>
        </a:prstGeom>
      </xdr:spPr>
    </xdr:pic>
    <xdr:clientData/>
  </xdr:twoCellAnchor>
  <xdr:twoCellAnchor editAs="absolute">
    <xdr:from>
      <xdr:col>1</xdr:col>
      <xdr:colOff>198120</xdr:colOff>
      <xdr:row>4</xdr:row>
      <xdr:rowOff>45720</xdr:rowOff>
    </xdr:from>
    <xdr:to>
      <xdr:col>3</xdr:col>
      <xdr:colOff>586740</xdr:colOff>
      <xdr:row>6</xdr:row>
      <xdr:rowOff>26670</xdr:rowOff>
    </xdr:to>
    <xdr:sp macro="" textlink="">
      <xdr:nvSpPr>
        <xdr:cNvPr id="17" name="TextBox 16">
          <a:extLst>
            <a:ext uri="{FF2B5EF4-FFF2-40B4-BE49-F238E27FC236}">
              <a16:creationId xmlns:a16="http://schemas.microsoft.com/office/drawing/2014/main" id="{A10BAA6A-C192-4C87-A808-8FE6BA6EA4A3}"/>
            </a:ext>
          </a:extLst>
        </xdr:cNvPr>
        <xdr:cNvSpPr txBox="1"/>
      </xdr:nvSpPr>
      <xdr:spPr>
        <a:xfrm>
          <a:off x="807720" y="777240"/>
          <a:ext cx="1607820" cy="34671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rgbClr val="FF6600"/>
              </a:solidFill>
              <a:latin typeface="Harlow Solid Italic" panose="04030604020F02020D02" pitchFamily="82" charset="0"/>
            </a:rPr>
            <a:t>Dashboard</a:t>
          </a:r>
        </a:p>
      </xdr:txBody>
    </xdr:sp>
    <xdr:clientData/>
  </xdr:twoCellAnchor>
  <xdr:twoCellAnchor editAs="absolute">
    <xdr:from>
      <xdr:col>0</xdr:col>
      <xdr:colOff>579120</xdr:colOff>
      <xdr:row>26</xdr:row>
      <xdr:rowOff>83820</xdr:rowOff>
    </xdr:from>
    <xdr:to>
      <xdr:col>3</xdr:col>
      <xdr:colOff>472440</xdr:colOff>
      <xdr:row>31</xdr:row>
      <xdr:rowOff>24765</xdr:rowOff>
    </xdr:to>
    <xdr:sp macro="" textlink="">
      <xdr:nvSpPr>
        <xdr:cNvPr id="18" name="Rectangle 17">
          <a:extLst>
            <a:ext uri="{FF2B5EF4-FFF2-40B4-BE49-F238E27FC236}">
              <a16:creationId xmlns:a16="http://schemas.microsoft.com/office/drawing/2014/main" id="{67A0C049-B5C0-4AE9-ACD1-89A66B26453B}"/>
            </a:ext>
          </a:extLst>
        </xdr:cNvPr>
        <xdr:cNvSpPr/>
      </xdr:nvSpPr>
      <xdr:spPr>
        <a:xfrm>
          <a:off x="579120" y="4838700"/>
          <a:ext cx="1722120" cy="855345"/>
        </a:xfrm>
        <a:prstGeom prst="rect">
          <a:avLst/>
        </a:prstGeom>
        <a:solidFill>
          <a:srgbClr val="FF9933"/>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106680</xdr:colOff>
      <xdr:row>29</xdr:row>
      <xdr:rowOff>53340</xdr:rowOff>
    </xdr:from>
    <xdr:to>
      <xdr:col>3</xdr:col>
      <xdr:colOff>449580</xdr:colOff>
      <xdr:row>31</xdr:row>
      <xdr:rowOff>15240</xdr:rowOff>
    </xdr:to>
    <xdr:pic>
      <xdr:nvPicPr>
        <xdr:cNvPr id="19" name="Graphic 18" descr="Monthly calendar">
          <a:extLst>
            <a:ext uri="{FF2B5EF4-FFF2-40B4-BE49-F238E27FC236}">
              <a16:creationId xmlns:a16="http://schemas.microsoft.com/office/drawing/2014/main" id="{06B91018-A26F-405F-B25C-AC0F876D85D2}"/>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35480" y="5356860"/>
          <a:ext cx="342900" cy="327660"/>
        </a:xfrm>
        <a:prstGeom prst="rect">
          <a:avLst/>
        </a:prstGeom>
      </xdr:spPr>
    </xdr:pic>
    <xdr:clientData/>
  </xdr:twoCellAnchor>
  <xdr:twoCellAnchor editAs="absolute">
    <xdr:from>
      <xdr:col>0</xdr:col>
      <xdr:colOff>579120</xdr:colOff>
      <xdr:row>31</xdr:row>
      <xdr:rowOff>0</xdr:rowOff>
    </xdr:from>
    <xdr:to>
      <xdr:col>4</xdr:col>
      <xdr:colOff>72390</xdr:colOff>
      <xdr:row>34</xdr:row>
      <xdr:rowOff>167640</xdr:rowOff>
    </xdr:to>
    <xdr:sp macro="" textlink="[1]Analysis!W31">
      <xdr:nvSpPr>
        <xdr:cNvPr id="20" name="TextBox 19">
          <a:extLst>
            <a:ext uri="{FF2B5EF4-FFF2-40B4-BE49-F238E27FC236}">
              <a16:creationId xmlns:a16="http://schemas.microsoft.com/office/drawing/2014/main" id="{30D72544-724E-4976-8BC2-C26F113284DE}"/>
            </a:ext>
          </a:extLst>
        </xdr:cNvPr>
        <xdr:cNvSpPr txBox="1"/>
      </xdr:nvSpPr>
      <xdr:spPr>
        <a:xfrm>
          <a:off x="579120" y="5669280"/>
          <a:ext cx="1931670" cy="716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1" u="none" strike="noStrike">
              <a:solidFill>
                <a:schemeClr val="accent2">
                  <a:lumMod val="50000"/>
                </a:schemeClr>
              </a:solidFill>
              <a:latin typeface="Aptos" panose="020B0004020202020204" pitchFamily="34" charset="0"/>
              <a:ea typeface="+mn-ea"/>
              <a:cs typeface="Calibri"/>
            </a:rPr>
            <a:t>Above helps you</a:t>
          </a:r>
          <a:r>
            <a:rPr lang="en-US" sz="1200" b="1" i="1" u="none" strike="noStrike" baseline="0">
              <a:solidFill>
                <a:schemeClr val="accent2">
                  <a:lumMod val="50000"/>
                </a:schemeClr>
              </a:solidFill>
              <a:latin typeface="Aptos" panose="020B0004020202020204" pitchFamily="34" charset="0"/>
              <a:ea typeface="+mn-ea"/>
              <a:cs typeface="Calibri"/>
            </a:rPr>
            <a:t> to understand the best selling time range.</a:t>
          </a:r>
          <a:endParaRPr lang="en-US" sz="1400" b="1" i="1">
            <a:solidFill>
              <a:schemeClr val="accent2">
                <a:lumMod val="50000"/>
              </a:schemeClr>
            </a:solidFill>
            <a:latin typeface="Aptos" panose="020B0004020202020204" pitchFamily="34" charset="0"/>
            <a:ea typeface="+mn-ea"/>
            <a:cs typeface="Arial" panose="020B0604020202020204" pitchFamily="34" charset="0"/>
          </a:endParaRPr>
        </a:p>
      </xdr:txBody>
    </xdr:sp>
    <xdr:clientData/>
  </xdr:twoCellAnchor>
  <xdr:twoCellAnchor editAs="absolute">
    <xdr:from>
      <xdr:col>4</xdr:col>
      <xdr:colOff>190500</xdr:colOff>
      <xdr:row>5</xdr:row>
      <xdr:rowOff>22860</xdr:rowOff>
    </xdr:from>
    <xdr:to>
      <xdr:col>13</xdr:col>
      <xdr:colOff>508635</xdr:colOff>
      <xdr:row>37</xdr:row>
      <xdr:rowOff>160020</xdr:rowOff>
    </xdr:to>
    <xdr:sp macro="" textlink="">
      <xdr:nvSpPr>
        <xdr:cNvPr id="21" name="Rectangle 20">
          <a:extLst>
            <a:ext uri="{FF2B5EF4-FFF2-40B4-BE49-F238E27FC236}">
              <a16:creationId xmlns:a16="http://schemas.microsoft.com/office/drawing/2014/main" id="{5BC0FA76-C763-4B15-9EBE-4CEE6EAA32D8}"/>
            </a:ext>
          </a:extLst>
        </xdr:cNvPr>
        <xdr:cNvSpPr/>
      </xdr:nvSpPr>
      <xdr:spPr>
        <a:xfrm>
          <a:off x="2628900" y="937260"/>
          <a:ext cx="5804535" cy="5989320"/>
        </a:xfrm>
        <a:prstGeom prst="rect">
          <a:avLst/>
        </a:prstGeom>
        <a:solidFill>
          <a:schemeClr val="bg1"/>
        </a:solidFill>
        <a:ln>
          <a:noFill/>
        </a:ln>
        <a:effectLst>
          <a:glow rad="228600">
            <a:schemeClr val="accent2">
              <a:satMod val="175000"/>
              <a:alpha val="40000"/>
            </a:schemeClr>
          </a:glow>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274318</xdr:colOff>
      <xdr:row>6</xdr:row>
      <xdr:rowOff>60960</xdr:rowOff>
    </xdr:from>
    <xdr:to>
      <xdr:col>13</xdr:col>
      <xdr:colOff>400050</xdr:colOff>
      <xdr:row>8</xdr:row>
      <xdr:rowOff>110491</xdr:rowOff>
    </xdr:to>
    <xdr:grpSp>
      <xdr:nvGrpSpPr>
        <xdr:cNvPr id="11" name="Group 10">
          <a:extLst>
            <a:ext uri="{FF2B5EF4-FFF2-40B4-BE49-F238E27FC236}">
              <a16:creationId xmlns:a16="http://schemas.microsoft.com/office/drawing/2014/main" id="{06F5186A-B2CB-5D5B-6659-01DA66311E23}"/>
            </a:ext>
          </a:extLst>
        </xdr:cNvPr>
        <xdr:cNvGrpSpPr/>
      </xdr:nvGrpSpPr>
      <xdr:grpSpPr>
        <a:xfrm>
          <a:off x="4541518" y="1178560"/>
          <a:ext cx="3783332" cy="422064"/>
          <a:chOff x="4754878" y="1173480"/>
          <a:chExt cx="3562352" cy="415291"/>
        </a:xfrm>
      </xdr:grpSpPr>
      <xdr:sp macro="" textlink="">
        <xdr:nvSpPr>
          <xdr:cNvPr id="22" name="Rectangle 21">
            <a:extLst>
              <a:ext uri="{FF2B5EF4-FFF2-40B4-BE49-F238E27FC236}">
                <a16:creationId xmlns:a16="http://schemas.microsoft.com/office/drawing/2014/main" id="{3F5B71CF-0DB0-4E72-9C8C-E00527040C8D}"/>
              </a:ext>
            </a:extLst>
          </xdr:cNvPr>
          <xdr:cNvSpPr/>
        </xdr:nvSpPr>
        <xdr:spPr>
          <a:xfrm>
            <a:off x="4754878" y="1173480"/>
            <a:ext cx="1858306" cy="415291"/>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8DB7B5AC-D45D-48A4-9325-D214A8924E79}"/>
              </a:ext>
            </a:extLst>
          </xdr:cNvPr>
          <xdr:cNvSpPr/>
        </xdr:nvSpPr>
        <xdr:spPr>
          <a:xfrm>
            <a:off x="6606010" y="1173480"/>
            <a:ext cx="1711220" cy="415291"/>
          </a:xfrm>
          <a:prstGeom prst="rect">
            <a:avLst/>
          </a:prstGeom>
          <a:solidFill>
            <a:schemeClr val="accent2">
              <a:lumMod val="7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11</xdr:col>
      <xdr:colOff>320040</xdr:colOff>
      <xdr:row>8</xdr:row>
      <xdr:rowOff>121920</xdr:rowOff>
    </xdr:from>
    <xdr:to>
      <xdr:col>12</xdr:col>
      <xdr:colOff>525781</xdr:colOff>
      <xdr:row>9</xdr:row>
      <xdr:rowOff>91440</xdr:rowOff>
    </xdr:to>
    <xdr:sp macro="" textlink="">
      <xdr:nvSpPr>
        <xdr:cNvPr id="24" name="Rectangle 23">
          <a:extLst>
            <a:ext uri="{FF2B5EF4-FFF2-40B4-BE49-F238E27FC236}">
              <a16:creationId xmlns:a16="http://schemas.microsoft.com/office/drawing/2014/main" id="{6D857F28-146E-412B-A126-C0F82EEED9D3}"/>
            </a:ext>
          </a:extLst>
        </xdr:cNvPr>
        <xdr:cNvSpPr/>
      </xdr:nvSpPr>
      <xdr:spPr>
        <a:xfrm>
          <a:off x="7025640" y="1584960"/>
          <a:ext cx="815341" cy="1524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rgbClr val="002060"/>
              </a:solidFill>
            </a:rPr>
            <a:t>Time</a:t>
          </a:r>
          <a:r>
            <a:rPr lang="en-US" sz="1000">
              <a:solidFill>
                <a:srgbClr val="002060"/>
              </a:solidFill>
            </a:rPr>
            <a:t> </a:t>
          </a:r>
          <a:r>
            <a:rPr lang="en-US" sz="1000" b="1">
              <a:solidFill>
                <a:srgbClr val="002060"/>
              </a:solidFill>
            </a:rPr>
            <a:t>range</a:t>
          </a:r>
        </a:p>
      </xdr:txBody>
    </xdr:sp>
    <xdr:clientData/>
  </xdr:twoCellAnchor>
  <xdr:twoCellAnchor editAs="oneCell">
    <xdr:from>
      <xdr:col>10</xdr:col>
      <xdr:colOff>434340</xdr:colOff>
      <xdr:row>6</xdr:row>
      <xdr:rowOff>91440</xdr:rowOff>
    </xdr:from>
    <xdr:to>
      <xdr:col>13</xdr:col>
      <xdr:colOff>396240</xdr:colOff>
      <xdr:row>8</xdr:row>
      <xdr:rowOff>106680</xdr:rowOff>
    </xdr:to>
    <mc:AlternateContent xmlns:mc="http://schemas.openxmlformats.org/markup-compatibility/2006" xmlns:a14="http://schemas.microsoft.com/office/drawing/2010/main">
      <mc:Choice Requires="a14">
        <xdr:graphicFrame macro="">
          <xdr:nvGraphicFramePr>
            <xdr:cNvPr id="25" name="Time range 1">
              <a:extLst>
                <a:ext uri="{FF2B5EF4-FFF2-40B4-BE49-F238E27FC236}">
                  <a16:creationId xmlns:a16="http://schemas.microsoft.com/office/drawing/2014/main" id="{1AA7AF7B-36F4-42D9-A0C2-ACEA1AFF7630}"/>
                </a:ext>
              </a:extLst>
            </xdr:cNvPr>
            <xdr:cNvGraphicFramePr/>
          </xdr:nvGraphicFramePr>
          <xdr:xfrm>
            <a:off x="0" y="0"/>
            <a:ext cx="0" cy="0"/>
          </xdr:xfrm>
          <a:graphic>
            <a:graphicData uri="http://schemas.microsoft.com/office/drawing/2010/slicer">
              <sle:slicer xmlns:sle="http://schemas.microsoft.com/office/drawing/2010/slicer" name="Time range 1"/>
            </a:graphicData>
          </a:graphic>
        </xdr:graphicFrame>
      </mc:Choice>
      <mc:Fallback xmlns="">
        <xdr:sp macro="" textlink="">
          <xdr:nvSpPr>
            <xdr:cNvPr id="0" name=""/>
            <xdr:cNvSpPr>
              <a:spLocks noTextEdit="1"/>
            </xdr:cNvSpPr>
          </xdr:nvSpPr>
          <xdr:spPr>
            <a:xfrm>
              <a:off x="6530340" y="1188720"/>
              <a:ext cx="1790700" cy="381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7</xdr:col>
      <xdr:colOff>182880</xdr:colOff>
      <xdr:row>6</xdr:row>
      <xdr:rowOff>91440</xdr:rowOff>
    </xdr:from>
    <xdr:to>
      <xdr:col>10</xdr:col>
      <xdr:colOff>518160</xdr:colOff>
      <xdr:row>8</xdr:row>
      <xdr:rowOff>72390</xdr:rowOff>
    </xdr:to>
    <xdr:sp macro="" textlink="'time range '!$B$5">
      <xdr:nvSpPr>
        <xdr:cNvPr id="26" name="TextBox 25">
          <a:extLst>
            <a:ext uri="{FF2B5EF4-FFF2-40B4-BE49-F238E27FC236}">
              <a16:creationId xmlns:a16="http://schemas.microsoft.com/office/drawing/2014/main" id="{7C3E3816-7E78-4F31-ADE5-6F1683419048}"/>
            </a:ext>
          </a:extLst>
        </xdr:cNvPr>
        <xdr:cNvSpPr txBox="1"/>
      </xdr:nvSpPr>
      <xdr:spPr>
        <a:xfrm>
          <a:off x="4450080" y="1188720"/>
          <a:ext cx="2164080" cy="346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0920DD-701A-46F3-A86D-402992987E76}" type="TxLink">
            <a:rPr lang="en-US" sz="1300" b="1" i="0" u="none" strike="noStrike">
              <a:solidFill>
                <a:srgbClr val="C00000"/>
              </a:solidFill>
              <a:latin typeface="Aptos" panose="020B0004020202020204" pitchFamily="34" charset="0"/>
              <a:ea typeface="Calibri"/>
              <a:cs typeface="Calibri"/>
            </a:rPr>
            <a:pPr algn="ctr"/>
            <a:t>Sales for all time Ranges</a:t>
          </a:fld>
          <a:endParaRPr lang="en-US" sz="1300" b="1">
            <a:solidFill>
              <a:srgbClr val="C00000"/>
            </a:solidFill>
            <a:latin typeface="Aptos" panose="020B0004020202020204" pitchFamily="34" charset="0"/>
            <a:cs typeface="Arial" panose="020B0604020202020204" pitchFamily="34" charset="0"/>
          </a:endParaRPr>
        </a:p>
      </xdr:txBody>
    </xdr:sp>
    <xdr:clientData/>
  </xdr:twoCellAnchor>
  <xdr:twoCellAnchor editAs="oneCell">
    <xdr:from>
      <xdr:col>1</xdr:col>
      <xdr:colOff>236220</xdr:colOff>
      <xdr:row>7</xdr:row>
      <xdr:rowOff>38098</xdr:rowOff>
    </xdr:from>
    <xdr:to>
      <xdr:col>4</xdr:col>
      <xdr:colOff>75780</xdr:colOff>
      <xdr:row>25</xdr:row>
      <xdr:rowOff>94258</xdr:rowOff>
    </xdr:to>
    <mc:AlternateContent xmlns:mc="http://schemas.openxmlformats.org/markup-compatibility/2006" xmlns:a14="http://schemas.microsoft.com/office/drawing/2010/main">
      <mc:Choice Requires="a14">
        <xdr:graphicFrame macro="">
          <xdr:nvGraphicFramePr>
            <xdr:cNvPr id="27" name="Weekdays 1">
              <a:extLst>
                <a:ext uri="{FF2B5EF4-FFF2-40B4-BE49-F238E27FC236}">
                  <a16:creationId xmlns:a16="http://schemas.microsoft.com/office/drawing/2014/main" id="{5F3F3C04-823B-4E58-BD41-63C19EDA6482}"/>
                </a:ext>
              </a:extLst>
            </xdr:cNvPr>
            <xdr:cNvGraphicFramePr/>
          </xdr:nvGraphicFramePr>
          <xdr:xfrm>
            <a:off x="0" y="0"/>
            <a:ext cx="0" cy="0"/>
          </xdr:xfrm>
          <a:graphic>
            <a:graphicData uri="http://schemas.microsoft.com/office/drawing/2010/slicer">
              <sle:slicer xmlns:sle="http://schemas.microsoft.com/office/drawing/2010/slicer" name="Weekdays 1"/>
            </a:graphicData>
          </a:graphic>
        </xdr:graphicFrame>
      </mc:Choice>
      <mc:Fallback xmlns="">
        <xdr:sp macro="" textlink="">
          <xdr:nvSpPr>
            <xdr:cNvPr id="0" name=""/>
            <xdr:cNvSpPr>
              <a:spLocks noTextEdit="1"/>
            </xdr:cNvSpPr>
          </xdr:nvSpPr>
          <xdr:spPr>
            <a:xfrm>
              <a:off x="678180" y="1318258"/>
              <a:ext cx="1836000" cy="3348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571500</xdr:colOff>
      <xdr:row>14</xdr:row>
      <xdr:rowOff>0</xdr:rowOff>
    </xdr:from>
    <xdr:to>
      <xdr:col>12</xdr:col>
      <xdr:colOff>330383</xdr:colOff>
      <xdr:row>21</xdr:row>
      <xdr:rowOff>54553</xdr:rowOff>
    </xdr:to>
    <xdr:sp macro="" textlink="">
      <xdr:nvSpPr>
        <xdr:cNvPr id="30" name="Rectangle 29">
          <a:extLst>
            <a:ext uri="{FF2B5EF4-FFF2-40B4-BE49-F238E27FC236}">
              <a16:creationId xmlns:a16="http://schemas.microsoft.com/office/drawing/2014/main" id="{0FF829C6-0169-4323-B24B-4F333D383879}"/>
            </a:ext>
          </a:extLst>
        </xdr:cNvPr>
        <xdr:cNvSpPr/>
      </xdr:nvSpPr>
      <xdr:spPr>
        <a:xfrm>
          <a:off x="6667500" y="2560320"/>
          <a:ext cx="978083" cy="1334713"/>
        </a:xfrm>
        <a:prstGeom prst="rect">
          <a:avLst/>
        </a:prstGeom>
        <a:solidFill>
          <a:srgbClr val="0033A0"/>
        </a:solidFill>
        <a:ln>
          <a:noFill/>
        </a:ln>
        <a:effectLst>
          <a:outerShdw blurRad="50800" dist="38100" algn="l" rotWithShape="0">
            <a:prstClr val="black">
              <a:alpha val="1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464820</xdr:colOff>
      <xdr:row>14</xdr:row>
      <xdr:rowOff>7620</xdr:rowOff>
    </xdr:from>
    <xdr:to>
      <xdr:col>7</xdr:col>
      <xdr:colOff>223703</xdr:colOff>
      <xdr:row>21</xdr:row>
      <xdr:rowOff>62173</xdr:rowOff>
    </xdr:to>
    <xdr:sp macro="" textlink="">
      <xdr:nvSpPr>
        <xdr:cNvPr id="28" name="Rectangle 27">
          <a:extLst>
            <a:ext uri="{FF2B5EF4-FFF2-40B4-BE49-F238E27FC236}">
              <a16:creationId xmlns:a16="http://schemas.microsoft.com/office/drawing/2014/main" id="{91025B56-C069-480C-BF4A-5E5A44AFF713}"/>
            </a:ext>
          </a:extLst>
        </xdr:cNvPr>
        <xdr:cNvSpPr/>
      </xdr:nvSpPr>
      <xdr:spPr>
        <a:xfrm>
          <a:off x="3512820" y="2567940"/>
          <a:ext cx="978083" cy="1334713"/>
        </a:xfrm>
        <a:prstGeom prst="rect">
          <a:avLst/>
        </a:prstGeom>
        <a:solidFill>
          <a:srgbClr val="00A3E0"/>
        </a:solidFill>
        <a:ln>
          <a:noFill/>
        </a:ln>
        <a:effectLst>
          <a:outerShdw blurRad="50800" dist="38100" dir="10800000" algn="r" rotWithShape="0">
            <a:prstClr val="black">
              <a:alpha val="1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6</xdr:col>
      <xdr:colOff>297180</xdr:colOff>
      <xdr:row>10</xdr:row>
      <xdr:rowOff>129541</xdr:rowOff>
    </xdr:from>
    <xdr:to>
      <xdr:col>11</xdr:col>
      <xdr:colOff>297180</xdr:colOff>
      <xdr:row>12</xdr:row>
      <xdr:rowOff>167640</xdr:rowOff>
    </xdr:to>
    <mc:AlternateContent xmlns:mc="http://schemas.openxmlformats.org/markup-compatibility/2006" xmlns:a14="http://schemas.microsoft.com/office/drawing/2010/main">
      <mc:Choice Requires="a14">
        <xdr:graphicFrame macro="">
          <xdr:nvGraphicFramePr>
            <xdr:cNvPr id="31" name="Payment_Type 1">
              <a:extLst>
                <a:ext uri="{FF2B5EF4-FFF2-40B4-BE49-F238E27FC236}">
                  <a16:creationId xmlns:a16="http://schemas.microsoft.com/office/drawing/2014/main" id="{8FA6CF18-BB4B-4980-8717-661523D1D99D}"/>
                </a:ext>
              </a:extLst>
            </xdr:cNvPr>
            <xdr:cNvGraphicFramePr/>
          </xdr:nvGraphicFramePr>
          <xdr:xfrm>
            <a:off x="0" y="0"/>
            <a:ext cx="0" cy="0"/>
          </xdr:xfrm>
          <a:graphic>
            <a:graphicData uri="http://schemas.microsoft.com/office/drawing/2010/slicer">
              <sle:slicer xmlns:sle="http://schemas.microsoft.com/office/drawing/2010/slicer" name="Payment_Type 1"/>
            </a:graphicData>
          </a:graphic>
        </xdr:graphicFrame>
      </mc:Choice>
      <mc:Fallback xmlns="">
        <xdr:sp macro="" textlink="">
          <xdr:nvSpPr>
            <xdr:cNvPr id="0" name=""/>
            <xdr:cNvSpPr>
              <a:spLocks noTextEdit="1"/>
            </xdr:cNvSpPr>
          </xdr:nvSpPr>
          <xdr:spPr>
            <a:xfrm>
              <a:off x="3954780" y="1958341"/>
              <a:ext cx="3048000" cy="4038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228600</xdr:colOff>
      <xdr:row>12</xdr:row>
      <xdr:rowOff>167640</xdr:rowOff>
    </xdr:from>
    <xdr:to>
      <xdr:col>11</xdr:col>
      <xdr:colOff>266700</xdr:colOff>
      <xdr:row>22</xdr:row>
      <xdr:rowOff>60960</xdr:rowOff>
    </xdr:to>
    <xdr:sp macro="" textlink="">
      <xdr:nvSpPr>
        <xdr:cNvPr id="29" name="Rectangle 28">
          <a:extLst>
            <a:ext uri="{FF2B5EF4-FFF2-40B4-BE49-F238E27FC236}">
              <a16:creationId xmlns:a16="http://schemas.microsoft.com/office/drawing/2014/main" id="{65AE2A40-EF46-4A42-AC7C-296253BF72F6}"/>
            </a:ext>
          </a:extLst>
        </xdr:cNvPr>
        <xdr:cNvSpPr/>
      </xdr:nvSpPr>
      <xdr:spPr>
        <a:xfrm>
          <a:off x="3886200" y="2362200"/>
          <a:ext cx="3086100" cy="1722120"/>
        </a:xfrm>
        <a:prstGeom prst="rect">
          <a:avLst/>
        </a:prstGeom>
        <a:solidFill>
          <a:schemeClr val="tx1">
            <a:lumMod val="85000"/>
            <a:lumOff val="15000"/>
          </a:schemeClr>
        </a:solidFill>
        <a:ln>
          <a:noFill/>
        </a:ln>
        <a:effectLst>
          <a:outerShdw blurRad="50800" dist="38100" dir="5400000" sx="102000" sy="102000" algn="t"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lumMod val="50000"/>
              </a:schemeClr>
            </a:solidFill>
          </a:endParaRPr>
        </a:p>
      </xdr:txBody>
    </xdr:sp>
    <xdr:clientData/>
  </xdr:twoCellAnchor>
  <xdr:twoCellAnchor>
    <xdr:from>
      <xdr:col>10</xdr:col>
      <xdr:colOff>15240</xdr:colOff>
      <xdr:row>19</xdr:row>
      <xdr:rowOff>99060</xdr:rowOff>
    </xdr:from>
    <xdr:to>
      <xdr:col>11</xdr:col>
      <xdr:colOff>53340</xdr:colOff>
      <xdr:row>21</xdr:row>
      <xdr:rowOff>144780</xdr:rowOff>
    </xdr:to>
    <xdr:grpSp>
      <xdr:nvGrpSpPr>
        <xdr:cNvPr id="36" name="Group 35">
          <a:extLst>
            <a:ext uri="{FF2B5EF4-FFF2-40B4-BE49-F238E27FC236}">
              <a16:creationId xmlns:a16="http://schemas.microsoft.com/office/drawing/2014/main" id="{A4583D79-5F2A-16F6-1C48-EA1CD31A560E}"/>
            </a:ext>
          </a:extLst>
        </xdr:cNvPr>
        <xdr:cNvGrpSpPr/>
      </xdr:nvGrpSpPr>
      <xdr:grpSpPr>
        <a:xfrm>
          <a:off x="6111240" y="3638127"/>
          <a:ext cx="647700" cy="418253"/>
          <a:chOff x="6111240" y="3703320"/>
          <a:chExt cx="647700" cy="411480"/>
        </a:xfrm>
      </xdr:grpSpPr>
      <xdr:sp macro="" textlink="">
        <xdr:nvSpPr>
          <xdr:cNvPr id="35" name="Oval 34">
            <a:extLst>
              <a:ext uri="{FF2B5EF4-FFF2-40B4-BE49-F238E27FC236}">
                <a16:creationId xmlns:a16="http://schemas.microsoft.com/office/drawing/2014/main" id="{D4A9C506-078F-458A-813C-A1ED7B9E18D2}"/>
              </a:ext>
            </a:extLst>
          </xdr:cNvPr>
          <xdr:cNvSpPr/>
        </xdr:nvSpPr>
        <xdr:spPr>
          <a:xfrm>
            <a:off x="6324600" y="3703320"/>
            <a:ext cx="434340" cy="403860"/>
          </a:xfrm>
          <a:prstGeom prst="ellipse">
            <a:avLst/>
          </a:prstGeom>
          <a:solidFill>
            <a:schemeClr val="accent2">
              <a:alpha val="9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4" name="Oval 33">
            <a:extLst>
              <a:ext uri="{FF2B5EF4-FFF2-40B4-BE49-F238E27FC236}">
                <a16:creationId xmlns:a16="http://schemas.microsoft.com/office/drawing/2014/main" id="{A6437627-7A31-9069-A8AE-6DD3B8AB1ED9}"/>
              </a:ext>
            </a:extLst>
          </xdr:cNvPr>
          <xdr:cNvSpPr/>
        </xdr:nvSpPr>
        <xdr:spPr>
          <a:xfrm>
            <a:off x="6111240" y="3703320"/>
            <a:ext cx="426720" cy="411480"/>
          </a:xfrm>
          <a:prstGeom prst="ellipse">
            <a:avLst/>
          </a:prstGeom>
          <a:solidFill>
            <a:srgbClr val="FF0000">
              <a:alpha val="7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9</xdr:col>
      <xdr:colOff>15240</xdr:colOff>
      <xdr:row>13</xdr:row>
      <xdr:rowOff>0</xdr:rowOff>
    </xdr:from>
    <xdr:to>
      <xdr:col>11</xdr:col>
      <xdr:colOff>356235</xdr:colOff>
      <xdr:row>14</xdr:row>
      <xdr:rowOff>68580</xdr:rowOff>
    </xdr:to>
    <xdr:sp macro="" textlink="">
      <xdr:nvSpPr>
        <xdr:cNvPr id="38" name="TextBox 37">
          <a:extLst>
            <a:ext uri="{FF2B5EF4-FFF2-40B4-BE49-F238E27FC236}">
              <a16:creationId xmlns:a16="http://schemas.microsoft.com/office/drawing/2014/main" id="{56C70018-DC6E-43E3-9F40-9408716D829A}"/>
            </a:ext>
          </a:extLst>
        </xdr:cNvPr>
        <xdr:cNvSpPr txBox="1"/>
      </xdr:nvSpPr>
      <xdr:spPr>
        <a:xfrm>
          <a:off x="5501640" y="2377440"/>
          <a:ext cx="1560195"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lumMod val="95000"/>
                </a:schemeClr>
              </a:solidFill>
            </a:rPr>
            <a:t>*************0096</a:t>
          </a:r>
        </a:p>
      </xdr:txBody>
    </xdr:sp>
    <xdr:clientData/>
  </xdr:twoCellAnchor>
  <xdr:twoCellAnchor editAs="oneCell">
    <xdr:from>
      <xdr:col>10</xdr:col>
      <xdr:colOff>553896</xdr:colOff>
      <xdr:row>14</xdr:row>
      <xdr:rowOff>56276</xdr:rowOff>
    </xdr:from>
    <xdr:to>
      <xdr:col>11</xdr:col>
      <xdr:colOff>300076</xdr:colOff>
      <xdr:row>16</xdr:row>
      <xdr:rowOff>46296</xdr:rowOff>
    </xdr:to>
    <xdr:pic>
      <xdr:nvPicPr>
        <xdr:cNvPr id="40" name="Graphic 39" descr="Wi-Fi outline">
          <a:extLst>
            <a:ext uri="{FF2B5EF4-FFF2-40B4-BE49-F238E27FC236}">
              <a16:creationId xmlns:a16="http://schemas.microsoft.com/office/drawing/2014/main" id="{C3800F1F-7A79-79EB-09C9-71345CB4904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rot="5231134">
          <a:off x="6649896" y="2616596"/>
          <a:ext cx="355780" cy="355780"/>
        </a:xfrm>
        <a:prstGeom prst="rect">
          <a:avLst/>
        </a:prstGeom>
      </xdr:spPr>
    </xdr:pic>
    <xdr:clientData/>
  </xdr:twoCellAnchor>
  <xdr:twoCellAnchor editAs="oneCell">
    <xdr:from>
      <xdr:col>6</xdr:col>
      <xdr:colOff>259080</xdr:colOff>
      <xdr:row>13</xdr:row>
      <xdr:rowOff>15240</xdr:rowOff>
    </xdr:from>
    <xdr:to>
      <xdr:col>7</xdr:col>
      <xdr:colOff>60960</xdr:colOff>
      <xdr:row>15</xdr:row>
      <xdr:rowOff>60960</xdr:rowOff>
    </xdr:to>
    <xdr:pic>
      <xdr:nvPicPr>
        <xdr:cNvPr id="42" name="Graphic 41" descr="Register with solid fill">
          <a:extLst>
            <a:ext uri="{FF2B5EF4-FFF2-40B4-BE49-F238E27FC236}">
              <a16:creationId xmlns:a16="http://schemas.microsoft.com/office/drawing/2014/main" id="{ACBCDEED-6064-AE5D-42EA-6411C7B4C6C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916680" y="2392680"/>
          <a:ext cx="411480" cy="411480"/>
        </a:xfrm>
        <a:prstGeom prst="rect">
          <a:avLst/>
        </a:prstGeom>
      </xdr:spPr>
    </xdr:pic>
    <xdr:clientData/>
  </xdr:twoCellAnchor>
  <xdr:twoCellAnchor editAs="absolute">
    <xdr:from>
      <xdr:col>6</xdr:col>
      <xdr:colOff>365760</xdr:colOff>
      <xdr:row>15</xdr:row>
      <xdr:rowOff>99060</xdr:rowOff>
    </xdr:from>
    <xdr:to>
      <xdr:col>8</xdr:col>
      <xdr:colOff>300990</xdr:colOff>
      <xdr:row>17</xdr:row>
      <xdr:rowOff>80010</xdr:rowOff>
    </xdr:to>
    <xdr:sp macro="" textlink="">
      <xdr:nvSpPr>
        <xdr:cNvPr id="44" name="TextBox 43">
          <a:extLst>
            <a:ext uri="{FF2B5EF4-FFF2-40B4-BE49-F238E27FC236}">
              <a16:creationId xmlns:a16="http://schemas.microsoft.com/office/drawing/2014/main" id="{1E46C88B-5880-4FE6-8F96-A0B04E1CDD8C}"/>
            </a:ext>
          </a:extLst>
        </xdr:cNvPr>
        <xdr:cNvSpPr txBox="1"/>
      </xdr:nvSpPr>
      <xdr:spPr>
        <a:xfrm>
          <a:off x="4023360" y="2842260"/>
          <a:ext cx="1154430" cy="346710"/>
        </a:xfrm>
        <a:prstGeom prst="rect">
          <a:avLst/>
        </a:prstGeom>
        <a:noFill/>
        <a:ln w="9525" cmpd="sng">
          <a:noFill/>
        </a:ln>
        <a:effectLst>
          <a:glow rad="139700">
            <a:schemeClr val="accent5">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i="0" cap="none" spc="50">
              <a:ln w="9525" cmpd="sng">
                <a:solidFill>
                  <a:schemeClr val="accent1"/>
                </a:solidFill>
                <a:prstDash val="solid"/>
              </a:ln>
              <a:solidFill>
                <a:srgbClr val="70AD47">
                  <a:tint val="1000"/>
                </a:srgbClr>
              </a:solidFill>
              <a:effectLst>
                <a:glow rad="38100">
                  <a:schemeClr val="accent1">
                    <a:alpha val="40000"/>
                  </a:schemeClr>
                </a:glow>
              </a:effectLst>
              <a:latin typeface="Arial" panose="020B0604020202020204" pitchFamily="34" charset="0"/>
              <a:cs typeface="Arial" panose="020B0604020202020204" pitchFamily="34" charset="0"/>
            </a:rPr>
            <a:t>Total</a:t>
          </a:r>
          <a:r>
            <a:rPr lang="en-US" sz="1000" b="1" i="0" cap="none" spc="50" baseline="0">
              <a:ln w="9525" cmpd="sng">
                <a:solidFill>
                  <a:schemeClr val="accent1"/>
                </a:solidFill>
                <a:prstDash val="solid"/>
              </a:ln>
              <a:solidFill>
                <a:srgbClr val="70AD47">
                  <a:tint val="1000"/>
                </a:srgbClr>
              </a:solidFill>
              <a:effectLst>
                <a:glow rad="38100">
                  <a:schemeClr val="accent1">
                    <a:alpha val="40000"/>
                  </a:schemeClr>
                </a:glow>
              </a:effectLst>
              <a:latin typeface="Arial" panose="020B0604020202020204" pitchFamily="34" charset="0"/>
              <a:cs typeface="Arial" panose="020B0604020202020204" pitchFamily="34" charset="0"/>
            </a:rPr>
            <a:t> Revenue</a:t>
          </a:r>
          <a:endParaRPr lang="en-US" sz="1000" b="1" i="0" cap="none" spc="50">
            <a:ln w="9525" cmpd="sng">
              <a:solidFill>
                <a:schemeClr val="accent1"/>
              </a:solidFill>
              <a:prstDash val="solid"/>
            </a:ln>
            <a:solidFill>
              <a:srgbClr val="70AD47">
                <a:tint val="1000"/>
              </a:srgbClr>
            </a:solidFill>
            <a:effectLst>
              <a:glow rad="38100">
                <a:schemeClr val="accent1">
                  <a:alpha val="40000"/>
                </a:schemeClr>
              </a:glow>
            </a:effectLst>
            <a:latin typeface="Arial" panose="020B0604020202020204" pitchFamily="34" charset="0"/>
            <a:cs typeface="Arial" panose="020B0604020202020204" pitchFamily="34" charset="0"/>
          </a:endParaRPr>
        </a:p>
      </xdr:txBody>
    </xdr:sp>
    <xdr:clientData/>
  </xdr:twoCellAnchor>
  <xdr:twoCellAnchor editAs="absolute">
    <xdr:from>
      <xdr:col>6</xdr:col>
      <xdr:colOff>381000</xdr:colOff>
      <xdr:row>16</xdr:row>
      <xdr:rowOff>144780</xdr:rowOff>
    </xdr:from>
    <xdr:to>
      <xdr:col>9</xdr:col>
      <xdr:colOff>15240</xdr:colOff>
      <xdr:row>18</xdr:row>
      <xdr:rowOff>125730</xdr:rowOff>
    </xdr:to>
    <xdr:sp macro="" textlink="'sales analysis'!G15">
      <xdr:nvSpPr>
        <xdr:cNvPr id="46" name="TextBox 45">
          <a:extLst>
            <a:ext uri="{FF2B5EF4-FFF2-40B4-BE49-F238E27FC236}">
              <a16:creationId xmlns:a16="http://schemas.microsoft.com/office/drawing/2014/main" id="{0A86B714-2BA7-4F9F-965B-D917481F8474}"/>
            </a:ext>
          </a:extLst>
        </xdr:cNvPr>
        <xdr:cNvSpPr txBox="1"/>
      </xdr:nvSpPr>
      <xdr:spPr>
        <a:xfrm>
          <a:off x="4038600" y="3070860"/>
          <a:ext cx="1463040" cy="346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E64F5EA-49BD-4144-BF72-D413D367A65F}" type="TxLink">
            <a:rPr lang="en-US" sz="1400" b="1" i="0" u="none" strike="noStrike">
              <a:solidFill>
                <a:schemeClr val="bg1"/>
              </a:solidFill>
              <a:latin typeface="Calibri"/>
              <a:ea typeface="Calibri"/>
              <a:cs typeface="Calibri"/>
            </a:rPr>
            <a:pPr algn="l"/>
            <a:t>₹ 26,59,000</a:t>
          </a:fld>
          <a:endParaRPr lang="en-US" sz="1050" b="1" i="0">
            <a:solidFill>
              <a:schemeClr val="bg1"/>
            </a:solidFill>
            <a:latin typeface="Arial" panose="020B0604020202020204" pitchFamily="34" charset="0"/>
            <a:cs typeface="Arial" panose="020B0604020202020204" pitchFamily="34" charset="0"/>
          </a:endParaRPr>
        </a:p>
      </xdr:txBody>
    </xdr:sp>
    <xdr:clientData/>
  </xdr:twoCellAnchor>
  <xdr:twoCellAnchor editAs="absolute">
    <xdr:from>
      <xdr:col>6</xdr:col>
      <xdr:colOff>281940</xdr:colOff>
      <xdr:row>18</xdr:row>
      <xdr:rowOff>137160</xdr:rowOff>
    </xdr:from>
    <xdr:to>
      <xdr:col>8</xdr:col>
      <xdr:colOff>121920</xdr:colOff>
      <xdr:row>20</xdr:row>
      <xdr:rowOff>118110</xdr:rowOff>
    </xdr:to>
    <xdr:sp macro="" textlink="">
      <xdr:nvSpPr>
        <xdr:cNvPr id="48" name="TextBox 47">
          <a:extLst>
            <a:ext uri="{FF2B5EF4-FFF2-40B4-BE49-F238E27FC236}">
              <a16:creationId xmlns:a16="http://schemas.microsoft.com/office/drawing/2014/main" id="{EFFD2A57-BA77-41FB-92AF-3D3220F9B8FB}"/>
            </a:ext>
          </a:extLst>
        </xdr:cNvPr>
        <xdr:cNvSpPr txBox="1"/>
      </xdr:nvSpPr>
      <xdr:spPr>
        <a:xfrm>
          <a:off x="3939540" y="3429000"/>
          <a:ext cx="1059180" cy="346710"/>
        </a:xfrm>
        <a:prstGeom prst="rect">
          <a:avLst/>
        </a:prstGeom>
        <a:noFill/>
        <a:ln>
          <a:noFill/>
        </a:ln>
      </xdr:spPr>
      <xdr:style>
        <a:lnRef idx="0">
          <a:scrgbClr r="0" g="0" b="0"/>
        </a:lnRef>
        <a:fillRef idx="0">
          <a:scrgbClr r="0" g="0" b="0"/>
        </a:fillRef>
        <a:effectRef idx="0">
          <a:scrgbClr r="0" g="0" b="0"/>
        </a:effectRef>
        <a:fontRef idx="minor">
          <a:schemeClr val="accent2"/>
        </a:fontRef>
      </xdr:style>
      <xdr:txBody>
        <a:bodyPr vertOverflow="clip" horzOverflow="clip" wrap="square" rtlCol="0" anchor="ctr"/>
        <a:lstStyle/>
        <a:p>
          <a:pPr algn="l"/>
          <a:r>
            <a:rPr lang="en-US" sz="1050" b="1" i="0" cap="none" spc="0" baseline="0">
              <a:ln w="6600">
                <a:solidFill>
                  <a:schemeClr val="accent2"/>
                </a:solidFill>
                <a:prstDash val="solid"/>
              </a:ln>
              <a:solidFill>
                <a:srgbClr val="FFFFFF"/>
              </a:solidFill>
              <a:effectLst>
                <a:outerShdw dist="38100" dir="2700000" algn="tl" rotWithShape="0">
                  <a:schemeClr val="accent2"/>
                </a:outerShdw>
              </a:effectLst>
              <a:latin typeface="Arial" panose="020B0604020202020204" pitchFamily="34" charset="0"/>
              <a:ea typeface="+mn-ea"/>
              <a:cs typeface="Arial" panose="020B0604020202020204" pitchFamily="34" charset="0"/>
            </a:rPr>
            <a:t>Average</a:t>
          </a:r>
          <a:r>
            <a:rPr lang="en-US" sz="1000" b="1" i="0" cap="none" spc="0">
              <a:ln w="6600">
                <a:solidFill>
                  <a:schemeClr val="accent2"/>
                </a:solidFill>
                <a:prstDash val="solid"/>
              </a:ln>
              <a:solidFill>
                <a:srgbClr val="FFFFFF"/>
              </a:solidFill>
              <a:effectLst>
                <a:outerShdw dist="38100" dir="2700000" algn="tl" rotWithShape="0">
                  <a:schemeClr val="accent2"/>
                </a:outerShdw>
              </a:effectLst>
              <a:latin typeface="Arial" panose="020B0604020202020204" pitchFamily="34" charset="0"/>
              <a:cs typeface="Arial" panose="020B0604020202020204" pitchFamily="34" charset="0"/>
            </a:rPr>
            <a:t> </a:t>
          </a:r>
          <a:r>
            <a:rPr lang="en-US" sz="1050" b="1" i="0" cap="none" spc="0" baseline="0">
              <a:ln w="6600">
                <a:solidFill>
                  <a:schemeClr val="accent2"/>
                </a:solidFill>
                <a:prstDash val="solid"/>
              </a:ln>
              <a:solidFill>
                <a:srgbClr val="FFFFFF"/>
              </a:solidFill>
              <a:effectLst>
                <a:outerShdw dist="38100" dir="2700000" algn="tl" rotWithShape="0">
                  <a:schemeClr val="accent2"/>
                </a:outerShdw>
              </a:effectLst>
              <a:latin typeface="Arial" panose="020B0604020202020204" pitchFamily="34" charset="0"/>
              <a:ea typeface="+mn-ea"/>
              <a:cs typeface="Arial" panose="020B0604020202020204" pitchFamily="34" charset="0"/>
            </a:rPr>
            <a:t>Rev</a:t>
          </a:r>
        </a:p>
      </xdr:txBody>
    </xdr:sp>
    <xdr:clientData/>
  </xdr:twoCellAnchor>
  <xdr:twoCellAnchor editAs="absolute">
    <xdr:from>
      <xdr:col>8</xdr:col>
      <xdr:colOff>38100</xdr:colOff>
      <xdr:row>18</xdr:row>
      <xdr:rowOff>144780</xdr:rowOff>
    </xdr:from>
    <xdr:to>
      <xdr:col>9</xdr:col>
      <xdr:colOff>556260</xdr:colOff>
      <xdr:row>20</xdr:row>
      <xdr:rowOff>125730</xdr:rowOff>
    </xdr:to>
    <xdr:sp macro="" textlink="">
      <xdr:nvSpPr>
        <xdr:cNvPr id="50" name="TextBox 49">
          <a:extLst>
            <a:ext uri="{FF2B5EF4-FFF2-40B4-BE49-F238E27FC236}">
              <a16:creationId xmlns:a16="http://schemas.microsoft.com/office/drawing/2014/main" id="{BFFB9368-A76F-4846-9D82-2C5F8609CAB5}"/>
            </a:ext>
          </a:extLst>
        </xdr:cNvPr>
        <xdr:cNvSpPr txBox="1"/>
      </xdr:nvSpPr>
      <xdr:spPr>
        <a:xfrm>
          <a:off x="4914900" y="3436620"/>
          <a:ext cx="1127760" cy="346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1" i="0" cap="none" spc="0" baseline="0">
              <a:ln w="6600">
                <a:solidFill>
                  <a:schemeClr val="accent2"/>
                </a:solidFill>
                <a:prstDash val="solid"/>
              </a:ln>
              <a:solidFill>
                <a:srgbClr val="FFC000"/>
              </a:solidFill>
              <a:effectLst>
                <a:outerShdw dist="38100" dir="2700000" algn="tl" rotWithShape="0">
                  <a:schemeClr val="accent2"/>
                </a:outerShdw>
              </a:effectLst>
              <a:latin typeface="Arial" panose="020B0604020202020204" pitchFamily="34" charset="0"/>
              <a:ea typeface="+mn-ea"/>
              <a:cs typeface="Arial" panose="020B0604020202020204" pitchFamily="34" charset="0"/>
            </a:rPr>
            <a:t>Transaction</a:t>
          </a:r>
          <a:endParaRPr lang="en-US" sz="1100" b="1" i="0" cap="none" spc="50" baseline="0">
            <a:ln w="9525" cmpd="sng">
              <a:solidFill>
                <a:schemeClr val="accent1"/>
              </a:solidFill>
              <a:prstDash val="solid"/>
            </a:ln>
            <a:solidFill>
              <a:srgbClr val="FFC000"/>
            </a:solidFill>
            <a:effectLst>
              <a:glow rad="38100">
                <a:schemeClr val="accent1">
                  <a:alpha val="40000"/>
                </a:schemeClr>
              </a:glow>
            </a:effectLst>
            <a:latin typeface="Arial" panose="020B0604020202020204" pitchFamily="34" charset="0"/>
            <a:ea typeface="+mn-ea"/>
            <a:cs typeface="Arial" panose="020B0604020202020204" pitchFamily="34" charset="0"/>
          </a:endParaRPr>
        </a:p>
      </xdr:txBody>
    </xdr:sp>
    <xdr:clientData/>
  </xdr:twoCellAnchor>
  <xdr:twoCellAnchor editAs="absolute">
    <xdr:from>
      <xdr:col>6</xdr:col>
      <xdr:colOff>281940</xdr:colOff>
      <xdr:row>20</xdr:row>
      <xdr:rowOff>7620</xdr:rowOff>
    </xdr:from>
    <xdr:to>
      <xdr:col>8</xdr:col>
      <xdr:colOff>0</xdr:colOff>
      <xdr:row>21</xdr:row>
      <xdr:rowOff>171450</xdr:rowOff>
    </xdr:to>
    <xdr:sp macro="" textlink="'sales analysis'!H15">
      <xdr:nvSpPr>
        <xdr:cNvPr id="51" name="TextBox 50">
          <a:extLst>
            <a:ext uri="{FF2B5EF4-FFF2-40B4-BE49-F238E27FC236}">
              <a16:creationId xmlns:a16="http://schemas.microsoft.com/office/drawing/2014/main" id="{84717EE8-22AC-4BF4-B3B8-054F1C819900}"/>
            </a:ext>
          </a:extLst>
        </xdr:cNvPr>
        <xdr:cNvSpPr txBox="1"/>
      </xdr:nvSpPr>
      <xdr:spPr>
        <a:xfrm>
          <a:off x="3939540" y="3665220"/>
          <a:ext cx="937260" cy="346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AA4B1DE-190B-445F-AE79-3F5B78DD237E}" type="TxLink">
            <a:rPr lang="en-US" sz="1400" b="1" i="0" u="none" strike="noStrike">
              <a:solidFill>
                <a:schemeClr val="bg1"/>
              </a:solidFill>
              <a:latin typeface="Calibri"/>
              <a:ea typeface="Calibri"/>
              <a:cs typeface="Calibri"/>
            </a:rPr>
            <a:pPr algn="l"/>
            <a:t>₹ 18,088</a:t>
          </a:fld>
          <a:endParaRPr lang="en-US" sz="1200" b="1" i="0">
            <a:solidFill>
              <a:schemeClr val="bg1"/>
            </a:solidFill>
            <a:latin typeface="Arial" panose="020B0604020202020204" pitchFamily="34" charset="0"/>
            <a:cs typeface="Arial" panose="020B0604020202020204" pitchFamily="34" charset="0"/>
          </a:endParaRPr>
        </a:p>
      </xdr:txBody>
    </xdr:sp>
    <xdr:clientData/>
  </xdr:twoCellAnchor>
  <xdr:twoCellAnchor editAs="absolute">
    <xdr:from>
      <xdr:col>8</xdr:col>
      <xdr:colOff>281940</xdr:colOff>
      <xdr:row>20</xdr:row>
      <xdr:rowOff>0</xdr:rowOff>
    </xdr:from>
    <xdr:to>
      <xdr:col>9</xdr:col>
      <xdr:colOff>373380</xdr:colOff>
      <xdr:row>21</xdr:row>
      <xdr:rowOff>163830</xdr:rowOff>
    </xdr:to>
    <xdr:sp macro="" textlink="'sales analysis'!F15">
      <xdr:nvSpPr>
        <xdr:cNvPr id="52" name="TextBox 51">
          <a:extLst>
            <a:ext uri="{FF2B5EF4-FFF2-40B4-BE49-F238E27FC236}">
              <a16:creationId xmlns:a16="http://schemas.microsoft.com/office/drawing/2014/main" id="{CDCC5726-29D7-471F-BD30-08A2464A690C}"/>
            </a:ext>
          </a:extLst>
        </xdr:cNvPr>
        <xdr:cNvSpPr txBox="1"/>
      </xdr:nvSpPr>
      <xdr:spPr>
        <a:xfrm>
          <a:off x="5158740" y="3657600"/>
          <a:ext cx="701040" cy="346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1E60E41-30E1-44C4-AA12-FCAC964D0B01}" type="TxLink">
            <a:rPr lang="en-US" sz="1400" b="1" i="0" u="none" strike="noStrike">
              <a:solidFill>
                <a:schemeClr val="bg1"/>
              </a:solidFill>
              <a:latin typeface="Calibri"/>
              <a:ea typeface="Calibri"/>
              <a:cs typeface="Calibri"/>
            </a:rPr>
            <a:pPr algn="l"/>
            <a:t>147</a:t>
          </a:fld>
          <a:endParaRPr lang="en-US" sz="1200" b="1" i="0">
            <a:solidFill>
              <a:schemeClr val="bg1"/>
            </a:solidFill>
            <a:latin typeface="Arial" panose="020B0604020202020204" pitchFamily="34" charset="0"/>
            <a:cs typeface="Arial" panose="020B0604020202020204" pitchFamily="34" charset="0"/>
          </a:endParaRPr>
        </a:p>
      </xdr:txBody>
    </xdr:sp>
    <xdr:clientData/>
  </xdr:twoCellAnchor>
  <xdr:twoCellAnchor editAs="absolute">
    <xdr:from>
      <xdr:col>5</xdr:col>
      <xdr:colOff>236220</xdr:colOff>
      <xdr:row>24</xdr:row>
      <xdr:rowOff>30480</xdr:rowOff>
    </xdr:from>
    <xdr:to>
      <xdr:col>12</xdr:col>
      <xdr:colOff>373380</xdr:colOff>
      <xdr:row>24</xdr:row>
      <xdr:rowOff>114300</xdr:rowOff>
    </xdr:to>
    <xdr:sp macro="" textlink="">
      <xdr:nvSpPr>
        <xdr:cNvPr id="53" name="Rectangle 52">
          <a:extLst>
            <a:ext uri="{FF2B5EF4-FFF2-40B4-BE49-F238E27FC236}">
              <a16:creationId xmlns:a16="http://schemas.microsoft.com/office/drawing/2014/main" id="{D45C1534-A008-4EF6-B489-9C01FE52594C}"/>
            </a:ext>
          </a:extLst>
        </xdr:cNvPr>
        <xdr:cNvSpPr/>
      </xdr:nvSpPr>
      <xdr:spPr>
        <a:xfrm flipV="1">
          <a:off x="3284220" y="4419600"/>
          <a:ext cx="4404360" cy="8382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85000"/>
              </a:schemeClr>
            </a:solidFill>
          </a:endParaRPr>
        </a:p>
      </xdr:txBody>
    </xdr:sp>
    <xdr:clientData/>
  </xdr:twoCellAnchor>
  <xdr:twoCellAnchor>
    <xdr:from>
      <xdr:col>5</xdr:col>
      <xdr:colOff>99060</xdr:colOff>
      <xdr:row>23</xdr:row>
      <xdr:rowOff>22860</xdr:rowOff>
    </xdr:from>
    <xdr:to>
      <xdr:col>12</xdr:col>
      <xdr:colOff>335280</xdr:colOff>
      <xdr:row>25</xdr:row>
      <xdr:rowOff>106680</xdr:rowOff>
    </xdr:to>
    <xdr:graphicFrame macro="">
      <xdr:nvGraphicFramePr>
        <xdr:cNvPr id="54" name="Chart 53">
          <a:extLst>
            <a:ext uri="{FF2B5EF4-FFF2-40B4-BE49-F238E27FC236}">
              <a16:creationId xmlns:a16="http://schemas.microsoft.com/office/drawing/2014/main" id="{F6995583-00BB-47C7-A38C-D93AC45B7B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18</xdr:col>
      <xdr:colOff>449580</xdr:colOff>
      <xdr:row>2</xdr:row>
      <xdr:rowOff>38100</xdr:rowOff>
    </xdr:from>
    <xdr:to>
      <xdr:col>19</xdr:col>
      <xdr:colOff>297180</xdr:colOff>
      <xdr:row>4</xdr:row>
      <xdr:rowOff>129540</xdr:rowOff>
    </xdr:to>
    <xdr:pic macro="[0]!AllFiltersremove">
      <xdr:nvPicPr>
        <xdr:cNvPr id="56" name="Graphic 55" descr="Back with solid fill">
          <a:extLst>
            <a:ext uri="{FF2B5EF4-FFF2-40B4-BE49-F238E27FC236}">
              <a16:creationId xmlns:a16="http://schemas.microsoft.com/office/drawing/2014/main" id="{0E867DA2-AD0B-DB12-7180-4F9998C63A2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422380" y="403860"/>
          <a:ext cx="457200" cy="457200"/>
        </a:xfrm>
        <a:prstGeom prst="rect">
          <a:avLst/>
        </a:prstGeom>
      </xdr:spPr>
    </xdr:pic>
    <xdr:clientData/>
  </xdr:twoCellAnchor>
  <xdr:twoCellAnchor editAs="absolute">
    <xdr:from>
      <xdr:col>5</xdr:col>
      <xdr:colOff>167640</xdr:colOff>
      <xdr:row>22</xdr:row>
      <xdr:rowOff>60960</xdr:rowOff>
    </xdr:from>
    <xdr:to>
      <xdr:col>7</xdr:col>
      <xdr:colOff>579120</xdr:colOff>
      <xdr:row>24</xdr:row>
      <xdr:rowOff>41910</xdr:rowOff>
    </xdr:to>
    <xdr:sp macro="" textlink="'sales analysis'!E25">
      <xdr:nvSpPr>
        <xdr:cNvPr id="2" name="TextBox 1">
          <a:extLst>
            <a:ext uri="{FF2B5EF4-FFF2-40B4-BE49-F238E27FC236}">
              <a16:creationId xmlns:a16="http://schemas.microsoft.com/office/drawing/2014/main" id="{2E0426A7-88B2-4C82-9B8E-30FC825E4B3F}"/>
            </a:ext>
          </a:extLst>
        </xdr:cNvPr>
        <xdr:cNvSpPr txBox="1"/>
      </xdr:nvSpPr>
      <xdr:spPr>
        <a:xfrm>
          <a:off x="3215640" y="4084320"/>
          <a:ext cx="1630680" cy="346710"/>
        </a:xfrm>
        <a:prstGeom prst="rect">
          <a:avLst/>
        </a:prstGeom>
        <a:noFill/>
        <a:ln w="9525" cmpd="sng">
          <a:noFill/>
        </a:ln>
        <a:effectLst>
          <a:glow rad="139700">
            <a:schemeClr val="accent5">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2CDA2D0-5E34-4DBA-B83E-8B3C595699B3}" type="TxLink">
            <a:rPr lang="en-US" sz="1400" b="1" i="0" u="none" strike="noStrike" cap="none" spc="0">
              <a:ln w="0"/>
              <a:solidFill>
                <a:schemeClr val="accent1">
                  <a:lumMod val="50000"/>
                </a:schemeClr>
              </a:solidFill>
              <a:effectLst>
                <a:outerShdw blurRad="38100" dist="19050" dir="2700000" algn="tl" rotWithShape="0">
                  <a:schemeClr val="dk1">
                    <a:alpha val="40000"/>
                  </a:schemeClr>
                </a:outerShdw>
              </a:effectLst>
              <a:latin typeface="Abadi" panose="020F0502020204030204" pitchFamily="34" charset="0"/>
              <a:ea typeface="Calibri"/>
              <a:cs typeface="Aharoni" panose="02010803020104030203" pitchFamily="2" charset="-79"/>
            </a:rPr>
            <a:pPr algn="l"/>
            <a:t>American express </a:t>
          </a:fld>
          <a:endParaRPr lang="en-US" sz="1100" b="1" i="0" cap="none" spc="0">
            <a:ln w="0"/>
            <a:solidFill>
              <a:schemeClr val="accent1">
                <a:lumMod val="50000"/>
              </a:schemeClr>
            </a:solidFill>
            <a:effectLst>
              <a:outerShdw blurRad="38100" dist="19050" dir="2700000" algn="tl" rotWithShape="0">
                <a:schemeClr val="dk1">
                  <a:alpha val="40000"/>
                </a:schemeClr>
              </a:outerShdw>
            </a:effectLst>
            <a:latin typeface="Abadi" panose="020F0502020204030204" pitchFamily="34" charset="0"/>
            <a:cs typeface="Aharoni" panose="02010803020104030203" pitchFamily="2" charset="-79"/>
          </a:endParaRPr>
        </a:p>
      </xdr:txBody>
    </xdr:sp>
    <xdr:clientData/>
  </xdr:twoCellAnchor>
  <xdr:twoCellAnchor editAs="absolute">
    <xdr:from>
      <xdr:col>10</xdr:col>
      <xdr:colOff>358140</xdr:colOff>
      <xdr:row>22</xdr:row>
      <xdr:rowOff>68580</xdr:rowOff>
    </xdr:from>
    <xdr:to>
      <xdr:col>12</xdr:col>
      <xdr:colOff>468630</xdr:colOff>
      <xdr:row>24</xdr:row>
      <xdr:rowOff>49530</xdr:rowOff>
    </xdr:to>
    <xdr:sp macro="" textlink="'sales analysis'!B23">
      <xdr:nvSpPr>
        <xdr:cNvPr id="3" name="TextBox 2">
          <a:extLst>
            <a:ext uri="{FF2B5EF4-FFF2-40B4-BE49-F238E27FC236}">
              <a16:creationId xmlns:a16="http://schemas.microsoft.com/office/drawing/2014/main" id="{6E720997-1A72-4554-9380-11174FB7277C}"/>
            </a:ext>
          </a:extLst>
        </xdr:cNvPr>
        <xdr:cNvSpPr txBox="1"/>
      </xdr:nvSpPr>
      <xdr:spPr>
        <a:xfrm>
          <a:off x="6454140" y="4091940"/>
          <a:ext cx="1329690" cy="346710"/>
        </a:xfrm>
        <a:prstGeom prst="rect">
          <a:avLst/>
        </a:prstGeom>
        <a:noFill/>
        <a:ln w="9525" cmpd="sng">
          <a:noFill/>
        </a:ln>
        <a:effectLst>
          <a:glow rad="139700">
            <a:schemeClr val="accent5">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0087C25-4399-42E8-AFF0-5FFAF679B5BB}" type="TxLink">
            <a:rPr lang="en-US" sz="1200" b="0" i="0" u="none" strike="noStrike" cap="none" spc="50">
              <a:ln w="9525" cmpd="sng">
                <a:solidFill>
                  <a:schemeClr val="accent1"/>
                </a:solidFill>
                <a:prstDash val="solid"/>
              </a:ln>
              <a:solidFill>
                <a:srgbClr val="000000"/>
              </a:solidFill>
              <a:effectLst>
                <a:glow rad="38100">
                  <a:schemeClr val="accent1">
                    <a:alpha val="40000"/>
                  </a:schemeClr>
                </a:glow>
              </a:effectLst>
              <a:latin typeface="Calibri"/>
              <a:ea typeface="Calibri"/>
              <a:cs typeface="Calibri"/>
            </a:rPr>
            <a:pPr algn="l"/>
            <a:t>13.5% of  100% </a:t>
          </a:fld>
          <a:endParaRPr lang="en-US" sz="1050" b="1" i="0" cap="none" spc="50">
            <a:ln w="9525" cmpd="sng">
              <a:solidFill>
                <a:schemeClr val="accent1"/>
              </a:solidFill>
              <a:prstDash val="solid"/>
            </a:ln>
            <a:solidFill>
              <a:srgbClr val="70AD47">
                <a:tint val="1000"/>
              </a:srgbClr>
            </a:solidFill>
            <a:effectLst>
              <a:glow rad="38100">
                <a:schemeClr val="accent1">
                  <a:alpha val="40000"/>
                </a:schemeClr>
              </a:glow>
            </a:effectLst>
            <a:latin typeface="Arial" panose="020B0604020202020204" pitchFamily="34" charset="0"/>
            <a:cs typeface="Arial" panose="020B0604020202020204" pitchFamily="34" charset="0"/>
          </a:endParaRPr>
        </a:p>
      </xdr:txBody>
    </xdr:sp>
    <xdr:clientData/>
  </xdr:twoCellAnchor>
  <xdr:twoCellAnchor editAs="absolute">
    <xdr:from>
      <xdr:col>11</xdr:col>
      <xdr:colOff>459107</xdr:colOff>
      <xdr:row>13</xdr:row>
      <xdr:rowOff>83819</xdr:rowOff>
    </xdr:from>
    <xdr:to>
      <xdr:col>12</xdr:col>
      <xdr:colOff>196217</xdr:colOff>
      <xdr:row>21</xdr:row>
      <xdr:rowOff>175259</xdr:rowOff>
    </xdr:to>
    <xdr:sp macro="" textlink="'sales analysis'!E25">
      <xdr:nvSpPr>
        <xdr:cNvPr id="16" name="TextBox 15">
          <a:extLst>
            <a:ext uri="{FF2B5EF4-FFF2-40B4-BE49-F238E27FC236}">
              <a16:creationId xmlns:a16="http://schemas.microsoft.com/office/drawing/2014/main" id="{BC2A4EAC-6580-4804-B69B-E57A9EA2C46B}"/>
            </a:ext>
          </a:extLst>
        </xdr:cNvPr>
        <xdr:cNvSpPr txBox="1"/>
      </xdr:nvSpPr>
      <xdr:spPr>
        <a:xfrm rot="16200000">
          <a:off x="6560822" y="3065144"/>
          <a:ext cx="1554480" cy="346710"/>
        </a:xfrm>
        <a:prstGeom prst="rect">
          <a:avLst/>
        </a:prstGeom>
        <a:noFill/>
        <a:ln w="9525" cmpd="sng">
          <a:noFill/>
        </a:ln>
        <a:effectLst>
          <a:glow rad="139700">
            <a:schemeClr val="accent5">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2CDA2D0-5E34-4DBA-B83E-8B3C595699B3}" type="TxLink">
            <a:rPr lang="en-US" sz="1100" b="1" i="0" u="none" strike="noStrike"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Calibri"/>
              <a:cs typeface="Arial" panose="020B0604020202020204" pitchFamily="34" charset="0"/>
            </a:rPr>
            <a:pPr algn="ctr"/>
            <a:t>American express </a:t>
          </a:fld>
          <a:endParaRPr lang="en-US" sz="1000" b="1" i="0"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endParaRPr>
        </a:p>
      </xdr:txBody>
    </xdr:sp>
    <xdr:clientData/>
  </xdr:twoCellAnchor>
  <xdr:twoCellAnchor editAs="absolute">
    <xdr:from>
      <xdr:col>5</xdr:col>
      <xdr:colOff>350520</xdr:colOff>
      <xdr:row>16</xdr:row>
      <xdr:rowOff>106680</xdr:rowOff>
    </xdr:from>
    <xdr:to>
      <xdr:col>6</xdr:col>
      <xdr:colOff>33561</xdr:colOff>
      <xdr:row>18</xdr:row>
      <xdr:rowOff>32816</xdr:rowOff>
    </xdr:to>
    <xdr:grpSp>
      <xdr:nvGrpSpPr>
        <xdr:cNvPr id="23" name="Group 22">
          <a:extLst>
            <a:ext uri="{FF2B5EF4-FFF2-40B4-BE49-F238E27FC236}">
              <a16:creationId xmlns:a16="http://schemas.microsoft.com/office/drawing/2014/main" id="{7610DF5F-41BD-40A9-8027-171317EE94D6}"/>
            </a:ext>
          </a:extLst>
        </xdr:cNvPr>
        <xdr:cNvGrpSpPr/>
      </xdr:nvGrpSpPr>
      <xdr:grpSpPr>
        <a:xfrm rot="60000">
          <a:off x="3398520" y="3086947"/>
          <a:ext cx="292641" cy="298669"/>
          <a:chOff x="5885494" y="4480725"/>
          <a:chExt cx="664940" cy="717951"/>
        </a:xfrm>
      </xdr:grpSpPr>
      <xdr:sp macro="" textlink="">
        <xdr:nvSpPr>
          <xdr:cNvPr id="32" name="Rectangle 31">
            <a:extLst>
              <a:ext uri="{FF2B5EF4-FFF2-40B4-BE49-F238E27FC236}">
                <a16:creationId xmlns:a16="http://schemas.microsoft.com/office/drawing/2014/main" id="{9B4C08A9-005D-6FAA-9D5A-2FC5543BD5A4}"/>
              </a:ext>
            </a:extLst>
          </xdr:cNvPr>
          <xdr:cNvSpPr/>
        </xdr:nvSpPr>
        <xdr:spPr>
          <a:xfrm rot="2760000">
            <a:off x="5858988" y="4507231"/>
            <a:ext cx="717951" cy="664940"/>
          </a:xfrm>
          <a:prstGeom prst="rect">
            <a:avLst/>
          </a:prstGeom>
          <a:noFill/>
          <a:ln w="254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3" name="Group 32">
            <a:extLst>
              <a:ext uri="{FF2B5EF4-FFF2-40B4-BE49-F238E27FC236}">
                <a16:creationId xmlns:a16="http://schemas.microsoft.com/office/drawing/2014/main" id="{D6CB9DFD-8C95-2C02-F1F8-A453AFE4CD03}"/>
              </a:ext>
            </a:extLst>
          </xdr:cNvPr>
          <xdr:cNvGrpSpPr/>
        </xdr:nvGrpSpPr>
        <xdr:grpSpPr>
          <a:xfrm>
            <a:off x="5965064" y="4566640"/>
            <a:ext cx="505798" cy="546122"/>
            <a:chOff x="5965064" y="4587626"/>
            <a:chExt cx="505798" cy="546122"/>
          </a:xfrm>
        </xdr:grpSpPr>
        <xdr:sp macro="" textlink="">
          <xdr:nvSpPr>
            <xdr:cNvPr id="37" name="Rectangle 36">
              <a:extLst>
                <a:ext uri="{FF2B5EF4-FFF2-40B4-BE49-F238E27FC236}">
                  <a16:creationId xmlns:a16="http://schemas.microsoft.com/office/drawing/2014/main" id="{A5008078-CC91-BBE3-B0B3-9DC42C4C30CD}"/>
                </a:ext>
              </a:extLst>
            </xdr:cNvPr>
            <xdr:cNvSpPr/>
          </xdr:nvSpPr>
          <xdr:spPr>
            <a:xfrm rot="2760000">
              <a:off x="5944902" y="4607788"/>
              <a:ext cx="546122" cy="505798"/>
            </a:xfrm>
            <a:prstGeom prst="rect">
              <a:avLst/>
            </a:prstGeom>
            <a:noFill/>
            <a:ln w="254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Rectangle 38">
              <a:extLst>
                <a:ext uri="{FF2B5EF4-FFF2-40B4-BE49-F238E27FC236}">
                  <a16:creationId xmlns:a16="http://schemas.microsoft.com/office/drawing/2014/main" id="{86467DA9-4CB2-68F3-82E4-B678F7B3013C}"/>
                </a:ext>
              </a:extLst>
            </xdr:cNvPr>
            <xdr:cNvSpPr/>
          </xdr:nvSpPr>
          <xdr:spPr>
            <a:xfrm rot="2760000">
              <a:off x="6021658" y="4678877"/>
              <a:ext cx="392610" cy="363621"/>
            </a:xfrm>
            <a:prstGeom prst="rect">
              <a:avLst/>
            </a:prstGeom>
            <a:noFill/>
            <a:ln w="254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13</xdr:col>
      <xdr:colOff>548640</xdr:colOff>
      <xdr:row>5</xdr:row>
      <xdr:rowOff>106680</xdr:rowOff>
    </xdr:from>
    <xdr:to>
      <xdr:col>19</xdr:col>
      <xdr:colOff>461010</xdr:colOff>
      <xdr:row>10</xdr:row>
      <xdr:rowOff>160020</xdr:rowOff>
    </xdr:to>
    <xdr:grpSp>
      <xdr:nvGrpSpPr>
        <xdr:cNvPr id="45" name="Group 44">
          <a:extLst>
            <a:ext uri="{FF2B5EF4-FFF2-40B4-BE49-F238E27FC236}">
              <a16:creationId xmlns:a16="http://schemas.microsoft.com/office/drawing/2014/main" id="{7DE13262-C664-FFA8-5FCF-CC461CC44E63}"/>
            </a:ext>
          </a:extLst>
        </xdr:cNvPr>
        <xdr:cNvGrpSpPr/>
      </xdr:nvGrpSpPr>
      <xdr:grpSpPr>
        <a:xfrm>
          <a:off x="8473440" y="1038013"/>
          <a:ext cx="3569970" cy="984674"/>
          <a:chOff x="8549640" y="1013460"/>
          <a:chExt cx="3569970" cy="862965"/>
        </a:xfrm>
      </xdr:grpSpPr>
      <xdr:sp macro="" textlink="">
        <xdr:nvSpPr>
          <xdr:cNvPr id="41" name="Rectangle 40">
            <a:extLst>
              <a:ext uri="{FF2B5EF4-FFF2-40B4-BE49-F238E27FC236}">
                <a16:creationId xmlns:a16="http://schemas.microsoft.com/office/drawing/2014/main" id="{8C7390A8-1161-4572-B00E-1BC24CFE03BB}"/>
              </a:ext>
            </a:extLst>
          </xdr:cNvPr>
          <xdr:cNvSpPr/>
        </xdr:nvSpPr>
        <xdr:spPr>
          <a:xfrm>
            <a:off x="8549640" y="1021080"/>
            <a:ext cx="1779270" cy="855345"/>
          </a:xfrm>
          <a:prstGeom prst="rect">
            <a:avLst/>
          </a:prstGeom>
          <a:solidFill>
            <a:srgbClr val="FFCC66"/>
          </a:solidFill>
          <a:ln>
            <a:noFill/>
          </a:ln>
          <a:effectLst>
            <a:glow rad="228600">
              <a:schemeClr val="accent4">
                <a:satMod val="175000"/>
                <a:alpha val="40000"/>
              </a:schemeClr>
            </a:glow>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Rectangle 42">
            <a:extLst>
              <a:ext uri="{FF2B5EF4-FFF2-40B4-BE49-F238E27FC236}">
                <a16:creationId xmlns:a16="http://schemas.microsoft.com/office/drawing/2014/main" id="{2205AD67-FA27-4644-8362-E277AB66CE8F}"/>
              </a:ext>
            </a:extLst>
          </xdr:cNvPr>
          <xdr:cNvSpPr/>
        </xdr:nvSpPr>
        <xdr:spPr>
          <a:xfrm>
            <a:off x="10340340" y="1013460"/>
            <a:ext cx="1779270" cy="855345"/>
          </a:xfrm>
          <a:prstGeom prst="rect">
            <a:avLst/>
          </a:prstGeom>
          <a:solidFill>
            <a:schemeClr val="accent4"/>
          </a:solidFill>
          <a:ln>
            <a:noFill/>
          </a:ln>
          <a:effectLst>
            <a:glow rad="228600">
              <a:schemeClr val="accent4">
                <a:satMod val="175000"/>
                <a:alpha val="40000"/>
              </a:schemeClr>
            </a:glow>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17</xdr:col>
      <xdr:colOff>0</xdr:colOff>
      <xdr:row>5</xdr:row>
      <xdr:rowOff>137160</xdr:rowOff>
    </xdr:from>
    <xdr:to>
      <xdr:col>18</xdr:col>
      <xdr:colOff>205741</xdr:colOff>
      <xdr:row>6</xdr:row>
      <xdr:rowOff>106680</xdr:rowOff>
    </xdr:to>
    <xdr:sp macro="" textlink="">
      <xdr:nvSpPr>
        <xdr:cNvPr id="47" name="Rectangle 46">
          <a:extLst>
            <a:ext uri="{FF2B5EF4-FFF2-40B4-BE49-F238E27FC236}">
              <a16:creationId xmlns:a16="http://schemas.microsoft.com/office/drawing/2014/main" id="{D93D42FC-6840-42D9-880B-FA558FDF5785}"/>
            </a:ext>
          </a:extLst>
        </xdr:cNvPr>
        <xdr:cNvSpPr/>
      </xdr:nvSpPr>
      <xdr:spPr>
        <a:xfrm>
          <a:off x="10363200" y="1051560"/>
          <a:ext cx="815341" cy="1524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rgbClr val="002060"/>
              </a:solidFill>
            </a:rPr>
            <a:t>Time</a:t>
          </a:r>
          <a:r>
            <a:rPr lang="en-US" sz="1000">
              <a:solidFill>
                <a:srgbClr val="002060"/>
              </a:solidFill>
            </a:rPr>
            <a:t> </a:t>
          </a:r>
          <a:r>
            <a:rPr lang="en-US" sz="1000" b="1">
              <a:solidFill>
                <a:srgbClr val="002060"/>
              </a:solidFill>
            </a:rPr>
            <a:t>range</a:t>
          </a:r>
        </a:p>
      </xdr:txBody>
    </xdr:sp>
    <xdr:clientData/>
  </xdr:twoCellAnchor>
  <xdr:twoCellAnchor editAs="absolute">
    <xdr:from>
      <xdr:col>14</xdr:col>
      <xdr:colOff>38100</xdr:colOff>
      <xdr:row>5</xdr:row>
      <xdr:rowOff>137160</xdr:rowOff>
    </xdr:from>
    <xdr:to>
      <xdr:col>15</xdr:col>
      <xdr:colOff>243841</xdr:colOff>
      <xdr:row>6</xdr:row>
      <xdr:rowOff>106680</xdr:rowOff>
    </xdr:to>
    <xdr:sp macro="" textlink="">
      <xdr:nvSpPr>
        <xdr:cNvPr id="49" name="Rectangle 48">
          <a:extLst>
            <a:ext uri="{FF2B5EF4-FFF2-40B4-BE49-F238E27FC236}">
              <a16:creationId xmlns:a16="http://schemas.microsoft.com/office/drawing/2014/main" id="{EC23EEC7-3E7B-4E29-8190-E2C289D41220}"/>
            </a:ext>
          </a:extLst>
        </xdr:cNvPr>
        <xdr:cNvSpPr/>
      </xdr:nvSpPr>
      <xdr:spPr>
        <a:xfrm>
          <a:off x="8572500" y="1051560"/>
          <a:ext cx="815341" cy="1524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rgbClr val="002060"/>
              </a:solidFill>
            </a:rPr>
            <a:t>Time</a:t>
          </a:r>
          <a:r>
            <a:rPr lang="en-US" sz="1000">
              <a:solidFill>
                <a:srgbClr val="002060"/>
              </a:solidFill>
            </a:rPr>
            <a:t> </a:t>
          </a:r>
          <a:r>
            <a:rPr lang="en-US" sz="1000" b="1">
              <a:solidFill>
                <a:srgbClr val="002060"/>
              </a:solidFill>
            </a:rPr>
            <a:t>range</a:t>
          </a:r>
        </a:p>
      </xdr:txBody>
    </xdr:sp>
    <xdr:clientData/>
  </xdr:twoCellAnchor>
  <xdr:twoCellAnchor editAs="absolute">
    <xdr:from>
      <xdr:col>14</xdr:col>
      <xdr:colOff>137160</xdr:colOff>
      <xdr:row>7</xdr:row>
      <xdr:rowOff>167640</xdr:rowOff>
    </xdr:from>
    <xdr:to>
      <xdr:col>16</xdr:col>
      <xdr:colOff>320040</xdr:colOff>
      <xdr:row>8</xdr:row>
      <xdr:rowOff>127635</xdr:rowOff>
    </xdr:to>
    <xdr:sp macro="" textlink="">
      <xdr:nvSpPr>
        <xdr:cNvPr id="55" name="Rectangle: Rounded Corners 54">
          <a:extLst>
            <a:ext uri="{FF2B5EF4-FFF2-40B4-BE49-F238E27FC236}">
              <a16:creationId xmlns:a16="http://schemas.microsoft.com/office/drawing/2014/main" id="{02597170-E25E-47E9-96EF-D0422A9F09A9}"/>
            </a:ext>
          </a:extLst>
        </xdr:cNvPr>
        <xdr:cNvSpPr/>
      </xdr:nvSpPr>
      <xdr:spPr>
        <a:xfrm>
          <a:off x="8671560" y="1447800"/>
          <a:ext cx="1402080" cy="14287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152400</xdr:colOff>
      <xdr:row>7</xdr:row>
      <xdr:rowOff>167640</xdr:rowOff>
    </xdr:from>
    <xdr:to>
      <xdr:col>19</xdr:col>
      <xdr:colOff>335280</xdr:colOff>
      <xdr:row>8</xdr:row>
      <xdr:rowOff>127635</xdr:rowOff>
    </xdr:to>
    <xdr:sp macro="" textlink="">
      <xdr:nvSpPr>
        <xdr:cNvPr id="57" name="Rectangle: Rounded Corners 56">
          <a:extLst>
            <a:ext uri="{FF2B5EF4-FFF2-40B4-BE49-F238E27FC236}">
              <a16:creationId xmlns:a16="http://schemas.microsoft.com/office/drawing/2014/main" id="{9D93841A-975E-4C38-9BA2-534943EA55C5}"/>
            </a:ext>
          </a:extLst>
        </xdr:cNvPr>
        <xdr:cNvSpPr/>
      </xdr:nvSpPr>
      <xdr:spPr>
        <a:xfrm>
          <a:off x="10515600" y="1447800"/>
          <a:ext cx="1402080" cy="14287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0</xdr:colOff>
      <xdr:row>6</xdr:row>
      <xdr:rowOff>60960</xdr:rowOff>
    </xdr:from>
    <xdr:to>
      <xdr:col>16</xdr:col>
      <xdr:colOff>419100</xdr:colOff>
      <xdr:row>10</xdr:row>
      <xdr:rowOff>53340</xdr:rowOff>
    </xdr:to>
    <xdr:graphicFrame macro="">
      <xdr:nvGraphicFramePr>
        <xdr:cNvPr id="62" name="Chart 61">
          <a:extLst>
            <a:ext uri="{FF2B5EF4-FFF2-40B4-BE49-F238E27FC236}">
              <a16:creationId xmlns:a16="http://schemas.microsoft.com/office/drawing/2014/main" id="{BD883279-10E9-4F4C-8386-79B5503752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xdr:col>
      <xdr:colOff>586740</xdr:colOff>
      <xdr:row>5</xdr:row>
      <xdr:rowOff>106680</xdr:rowOff>
    </xdr:from>
    <xdr:to>
      <xdr:col>19</xdr:col>
      <xdr:colOff>396240</xdr:colOff>
      <xdr:row>9</xdr:row>
      <xdr:rowOff>99060</xdr:rowOff>
    </xdr:to>
    <xdr:graphicFrame macro="">
      <xdr:nvGraphicFramePr>
        <xdr:cNvPr id="63" name="Chart 62">
          <a:extLst>
            <a:ext uri="{FF2B5EF4-FFF2-40B4-BE49-F238E27FC236}">
              <a16:creationId xmlns:a16="http://schemas.microsoft.com/office/drawing/2014/main" id="{81C687C4-D2E0-4255-836D-9CD1A228EA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14</xdr:col>
      <xdr:colOff>7620</xdr:colOff>
      <xdr:row>6</xdr:row>
      <xdr:rowOff>76200</xdr:rowOff>
    </xdr:from>
    <xdr:to>
      <xdr:col>14</xdr:col>
      <xdr:colOff>586740</xdr:colOff>
      <xdr:row>8</xdr:row>
      <xdr:rowOff>57150</xdr:rowOff>
    </xdr:to>
    <xdr:sp macro="" textlink="'am pm'!$A$10">
      <xdr:nvSpPr>
        <xdr:cNvPr id="64" name="TextBox 63">
          <a:extLst>
            <a:ext uri="{FF2B5EF4-FFF2-40B4-BE49-F238E27FC236}">
              <a16:creationId xmlns:a16="http://schemas.microsoft.com/office/drawing/2014/main" id="{5E81C5AA-DEAF-4D25-927D-DF7B54A9A909}"/>
            </a:ext>
          </a:extLst>
        </xdr:cNvPr>
        <xdr:cNvSpPr txBox="1"/>
      </xdr:nvSpPr>
      <xdr:spPr>
        <a:xfrm>
          <a:off x="8542020" y="1173480"/>
          <a:ext cx="579120" cy="346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F016594-7D00-45C9-8BC1-A35C0C6F587A}" type="TxLink">
            <a:rPr lang="en-US" sz="1400" b="1" i="0" u="none" strike="noStrike">
              <a:solidFill>
                <a:srgbClr val="FF0000"/>
              </a:solidFill>
              <a:latin typeface="Aharoni" panose="02010803020104030203" pitchFamily="2" charset="-79"/>
              <a:ea typeface="Calibri"/>
              <a:cs typeface="Aharoni" panose="02010803020104030203" pitchFamily="2" charset="-79"/>
            </a:rPr>
            <a:pPr algn="ctr"/>
            <a:t>AM</a:t>
          </a:fld>
          <a:endParaRPr lang="en-US" sz="1600" b="1">
            <a:solidFill>
              <a:srgbClr val="FF0000"/>
            </a:solidFill>
            <a:latin typeface="Aharoni" panose="02010803020104030203" pitchFamily="2" charset="-79"/>
            <a:cs typeface="Aharoni" panose="02010803020104030203" pitchFamily="2" charset="-79"/>
          </a:endParaRPr>
        </a:p>
      </xdr:txBody>
    </xdr:sp>
    <xdr:clientData/>
  </xdr:twoCellAnchor>
  <xdr:twoCellAnchor editAs="absolute">
    <xdr:from>
      <xdr:col>16</xdr:col>
      <xdr:colOff>518160</xdr:colOff>
      <xdr:row>6</xdr:row>
      <xdr:rowOff>83820</xdr:rowOff>
    </xdr:from>
    <xdr:to>
      <xdr:col>17</xdr:col>
      <xdr:colOff>487680</xdr:colOff>
      <xdr:row>8</xdr:row>
      <xdr:rowOff>64770</xdr:rowOff>
    </xdr:to>
    <xdr:sp macro="" textlink="'am pm'!$A$11">
      <xdr:nvSpPr>
        <xdr:cNvPr id="65" name="TextBox 64">
          <a:extLst>
            <a:ext uri="{FF2B5EF4-FFF2-40B4-BE49-F238E27FC236}">
              <a16:creationId xmlns:a16="http://schemas.microsoft.com/office/drawing/2014/main" id="{16710576-FB8F-4C25-8BE8-1986C5F1FFD8}"/>
            </a:ext>
          </a:extLst>
        </xdr:cNvPr>
        <xdr:cNvSpPr txBox="1"/>
      </xdr:nvSpPr>
      <xdr:spPr>
        <a:xfrm>
          <a:off x="10271760" y="1181100"/>
          <a:ext cx="579120" cy="346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5EC897E-BB48-4F44-AF76-C5EB30C70D75}" type="TxLink">
            <a:rPr lang="en-US" sz="1400" b="1" i="0" u="none" strike="noStrike">
              <a:solidFill>
                <a:srgbClr val="FF0000"/>
              </a:solidFill>
              <a:latin typeface="Aharoni" panose="02010803020104030203" pitchFamily="2" charset="-79"/>
              <a:ea typeface="Calibri"/>
              <a:cs typeface="Aharoni" panose="02010803020104030203" pitchFamily="2" charset="-79"/>
            </a:rPr>
            <a:pPr algn="ctr"/>
            <a:t>PM</a:t>
          </a:fld>
          <a:endParaRPr lang="en-US" sz="2000" b="1">
            <a:solidFill>
              <a:srgbClr val="FF0000"/>
            </a:solidFill>
            <a:latin typeface="Aharoni" panose="02010803020104030203" pitchFamily="2" charset="-79"/>
            <a:cs typeface="Aharoni" panose="02010803020104030203" pitchFamily="2" charset="-79"/>
          </a:endParaRPr>
        </a:p>
      </xdr:txBody>
    </xdr:sp>
    <xdr:clientData/>
  </xdr:twoCellAnchor>
  <xdr:twoCellAnchor editAs="absolute">
    <xdr:from>
      <xdr:col>14</xdr:col>
      <xdr:colOff>464820</xdr:colOff>
      <xdr:row>6</xdr:row>
      <xdr:rowOff>60960</xdr:rowOff>
    </xdr:from>
    <xdr:to>
      <xdr:col>15</xdr:col>
      <xdr:colOff>556260</xdr:colOff>
      <xdr:row>8</xdr:row>
      <xdr:rowOff>41910</xdr:rowOff>
    </xdr:to>
    <xdr:sp macro="" textlink="'am pm'!$B$10">
      <xdr:nvSpPr>
        <xdr:cNvPr id="66" name="TextBox 65">
          <a:extLst>
            <a:ext uri="{FF2B5EF4-FFF2-40B4-BE49-F238E27FC236}">
              <a16:creationId xmlns:a16="http://schemas.microsoft.com/office/drawing/2014/main" id="{4B7F89C9-DE31-43CD-9C6D-2A88D216CE55}"/>
            </a:ext>
          </a:extLst>
        </xdr:cNvPr>
        <xdr:cNvSpPr txBox="1"/>
      </xdr:nvSpPr>
      <xdr:spPr>
        <a:xfrm>
          <a:off x="8999220" y="1158240"/>
          <a:ext cx="701040" cy="346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A2536A2-41D0-47D9-8911-DD1EA7FFEF17}" type="TxLink">
            <a:rPr lang="en-US" sz="1400" b="1" i="0" u="none" strike="noStrike">
              <a:solidFill>
                <a:schemeClr val="tx2">
                  <a:lumMod val="50000"/>
                </a:schemeClr>
              </a:solidFill>
              <a:latin typeface="Calibri"/>
              <a:ea typeface="Calibri"/>
              <a:cs typeface="Calibri"/>
            </a:rPr>
            <a:pPr algn="ctr"/>
            <a:t>88.7%</a:t>
          </a:fld>
          <a:endParaRPr lang="en-US" sz="2000" b="1">
            <a:solidFill>
              <a:schemeClr val="tx2">
                <a:lumMod val="50000"/>
              </a:schemeClr>
            </a:solidFill>
            <a:latin typeface="Aharoni" panose="02010803020104030203" pitchFamily="2" charset="-79"/>
            <a:cs typeface="Aharoni" panose="02010803020104030203" pitchFamily="2" charset="-79"/>
          </a:endParaRPr>
        </a:p>
      </xdr:txBody>
    </xdr:sp>
    <xdr:clientData/>
  </xdr:twoCellAnchor>
  <xdr:twoCellAnchor editAs="absolute">
    <xdr:from>
      <xdr:col>17</xdr:col>
      <xdr:colOff>350520</xdr:colOff>
      <xdr:row>6</xdr:row>
      <xdr:rowOff>60960</xdr:rowOff>
    </xdr:from>
    <xdr:to>
      <xdr:col>18</xdr:col>
      <xdr:colOff>320040</xdr:colOff>
      <xdr:row>8</xdr:row>
      <xdr:rowOff>41910</xdr:rowOff>
    </xdr:to>
    <xdr:sp macro="" textlink="'am pm'!$B$11">
      <xdr:nvSpPr>
        <xdr:cNvPr id="67" name="TextBox 66">
          <a:extLst>
            <a:ext uri="{FF2B5EF4-FFF2-40B4-BE49-F238E27FC236}">
              <a16:creationId xmlns:a16="http://schemas.microsoft.com/office/drawing/2014/main" id="{585C5D32-9039-4878-BA7D-7625F79FAE54}"/>
            </a:ext>
          </a:extLst>
        </xdr:cNvPr>
        <xdr:cNvSpPr txBox="1"/>
      </xdr:nvSpPr>
      <xdr:spPr>
        <a:xfrm>
          <a:off x="10713720" y="1158240"/>
          <a:ext cx="579120" cy="346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3CCB6E3-5D99-4035-A6A5-5BFAE8EBF525}" type="TxLink">
            <a:rPr lang="en-US" sz="1400" b="1" i="0" u="none" strike="noStrike">
              <a:solidFill>
                <a:schemeClr val="tx2">
                  <a:lumMod val="50000"/>
                </a:schemeClr>
              </a:solidFill>
              <a:latin typeface="Calibri"/>
              <a:ea typeface="Calibri"/>
              <a:cs typeface="Calibri"/>
            </a:rPr>
            <a:pPr algn="ctr"/>
            <a:t>11.3%</a:t>
          </a:fld>
          <a:endParaRPr lang="en-US" sz="2000" b="1">
            <a:solidFill>
              <a:schemeClr val="tx2">
                <a:lumMod val="50000"/>
              </a:schemeClr>
            </a:solidFill>
            <a:latin typeface="Aharoni" panose="02010803020104030203" pitchFamily="2" charset="-79"/>
            <a:cs typeface="Aharoni" panose="02010803020104030203" pitchFamily="2" charset="-79"/>
          </a:endParaRPr>
        </a:p>
      </xdr:txBody>
    </xdr:sp>
    <xdr:clientData/>
  </xdr:twoCellAnchor>
  <xdr:twoCellAnchor editAs="absolute">
    <xdr:from>
      <xdr:col>13</xdr:col>
      <xdr:colOff>495300</xdr:colOff>
      <xdr:row>9</xdr:row>
      <xdr:rowOff>7620</xdr:rowOff>
    </xdr:from>
    <xdr:to>
      <xdr:col>15</xdr:col>
      <xdr:colOff>251460</xdr:colOff>
      <xdr:row>10</xdr:row>
      <xdr:rowOff>160020</xdr:rowOff>
    </xdr:to>
    <xdr:sp macro="" textlink="'am pm'!C10">
      <xdr:nvSpPr>
        <xdr:cNvPr id="69" name="TextBox 68">
          <a:extLst>
            <a:ext uri="{FF2B5EF4-FFF2-40B4-BE49-F238E27FC236}">
              <a16:creationId xmlns:a16="http://schemas.microsoft.com/office/drawing/2014/main" id="{86E12734-D66E-4802-ABE9-DC7A19F1A5FF}"/>
            </a:ext>
          </a:extLst>
        </xdr:cNvPr>
        <xdr:cNvSpPr txBox="1"/>
      </xdr:nvSpPr>
      <xdr:spPr>
        <a:xfrm>
          <a:off x="8420100" y="1653540"/>
          <a:ext cx="97536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6B679A4-100C-4821-BF9A-1AAE73325E67}" type="TxLink">
            <a:rPr lang="en-US" sz="1200" b="1" i="0" u="none" strike="noStrike">
              <a:solidFill>
                <a:srgbClr val="000000"/>
              </a:solidFill>
              <a:latin typeface="Calibri"/>
              <a:ea typeface="Calibri"/>
              <a:cs typeface="Calibri"/>
            </a:rPr>
            <a:pPr algn="ctr"/>
            <a:t>₹ 1,74,28,150</a:t>
          </a:fld>
          <a:endParaRPr lang="en-US" sz="2400" b="1">
            <a:solidFill>
              <a:schemeClr val="tx2">
                <a:lumMod val="50000"/>
              </a:schemeClr>
            </a:solidFill>
            <a:latin typeface="Aharoni" panose="02010803020104030203" pitchFamily="2" charset="-79"/>
            <a:cs typeface="Aharoni" panose="02010803020104030203" pitchFamily="2" charset="-79"/>
          </a:endParaRPr>
        </a:p>
      </xdr:txBody>
    </xdr:sp>
    <xdr:clientData/>
  </xdr:twoCellAnchor>
  <xdr:twoCellAnchor editAs="absolute">
    <xdr:from>
      <xdr:col>16</xdr:col>
      <xdr:colOff>487680</xdr:colOff>
      <xdr:row>8</xdr:row>
      <xdr:rowOff>144780</xdr:rowOff>
    </xdr:from>
    <xdr:to>
      <xdr:col>18</xdr:col>
      <xdr:colOff>205740</xdr:colOff>
      <xdr:row>11</xdr:row>
      <xdr:rowOff>0</xdr:rowOff>
    </xdr:to>
    <xdr:sp macro="" textlink="'am pm'!C11">
      <xdr:nvSpPr>
        <xdr:cNvPr id="70" name="TextBox 69">
          <a:extLst>
            <a:ext uri="{FF2B5EF4-FFF2-40B4-BE49-F238E27FC236}">
              <a16:creationId xmlns:a16="http://schemas.microsoft.com/office/drawing/2014/main" id="{FC058EDD-946F-42C7-9943-8CDAE38D145E}"/>
            </a:ext>
          </a:extLst>
        </xdr:cNvPr>
        <xdr:cNvSpPr txBox="1"/>
      </xdr:nvSpPr>
      <xdr:spPr>
        <a:xfrm>
          <a:off x="10241280" y="1607820"/>
          <a:ext cx="937260" cy="403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2CE3DE-3DFC-41DF-87CA-EA44492C5514}" type="TxLink">
            <a:rPr lang="en-US" sz="1200" b="1" i="0" u="none" strike="noStrike">
              <a:solidFill>
                <a:srgbClr val="000000"/>
              </a:solidFill>
              <a:latin typeface="Calibri"/>
              <a:ea typeface="Calibri"/>
              <a:cs typeface="Calibri"/>
            </a:rPr>
            <a:pPr algn="ctr"/>
            <a:t>₹ 22,09,350</a:t>
          </a:fld>
          <a:endParaRPr lang="en-US" sz="2400" b="1">
            <a:solidFill>
              <a:schemeClr val="tx2">
                <a:lumMod val="50000"/>
              </a:schemeClr>
            </a:solidFill>
            <a:latin typeface="Aharoni" panose="02010803020104030203" pitchFamily="2" charset="-79"/>
            <a:cs typeface="Aharoni" panose="02010803020104030203" pitchFamily="2" charset="-79"/>
          </a:endParaRPr>
        </a:p>
      </xdr:txBody>
    </xdr:sp>
    <xdr:clientData/>
  </xdr:twoCellAnchor>
  <xdr:twoCellAnchor editAs="absolute">
    <xdr:from>
      <xdr:col>15</xdr:col>
      <xdr:colOff>99060</xdr:colOff>
      <xdr:row>9</xdr:row>
      <xdr:rowOff>45720</xdr:rowOff>
    </xdr:from>
    <xdr:to>
      <xdr:col>16</xdr:col>
      <xdr:colOff>556260</xdr:colOff>
      <xdr:row>10</xdr:row>
      <xdr:rowOff>114300</xdr:rowOff>
    </xdr:to>
    <xdr:sp macro="" textlink="">
      <xdr:nvSpPr>
        <xdr:cNvPr id="72" name="Rectangle 71">
          <a:extLst>
            <a:ext uri="{FF2B5EF4-FFF2-40B4-BE49-F238E27FC236}">
              <a16:creationId xmlns:a16="http://schemas.microsoft.com/office/drawing/2014/main" id="{042E0F10-85E5-4321-B529-1E21D0518557}"/>
            </a:ext>
          </a:extLst>
        </xdr:cNvPr>
        <xdr:cNvSpPr/>
      </xdr:nvSpPr>
      <xdr:spPr>
        <a:xfrm>
          <a:off x="9243060" y="1691640"/>
          <a:ext cx="1066800" cy="2514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3366"/>
              </a:solidFill>
            </a:rPr>
            <a:t>Over</a:t>
          </a:r>
          <a:r>
            <a:rPr lang="en-US" sz="1100" b="1" baseline="0">
              <a:solidFill>
                <a:srgbClr val="003366"/>
              </a:solidFill>
            </a:rPr>
            <a:t> all Sales</a:t>
          </a:r>
          <a:endParaRPr lang="en-US" sz="1050" b="1">
            <a:solidFill>
              <a:srgbClr val="003366"/>
            </a:solidFill>
          </a:endParaRPr>
        </a:p>
      </xdr:txBody>
    </xdr:sp>
    <xdr:clientData/>
  </xdr:twoCellAnchor>
  <xdr:twoCellAnchor editAs="absolute">
    <xdr:from>
      <xdr:col>18</xdr:col>
      <xdr:colOff>68580</xdr:colOff>
      <xdr:row>9</xdr:row>
      <xdr:rowOff>38100</xdr:rowOff>
    </xdr:from>
    <xdr:to>
      <xdr:col>19</xdr:col>
      <xdr:colOff>525780</xdr:colOff>
      <xdr:row>10</xdr:row>
      <xdr:rowOff>106680</xdr:rowOff>
    </xdr:to>
    <xdr:sp macro="" textlink="">
      <xdr:nvSpPr>
        <xdr:cNvPr id="73" name="Rectangle 72">
          <a:extLst>
            <a:ext uri="{FF2B5EF4-FFF2-40B4-BE49-F238E27FC236}">
              <a16:creationId xmlns:a16="http://schemas.microsoft.com/office/drawing/2014/main" id="{995E82FE-41E2-4185-8441-52509638BD67}"/>
            </a:ext>
          </a:extLst>
        </xdr:cNvPr>
        <xdr:cNvSpPr/>
      </xdr:nvSpPr>
      <xdr:spPr>
        <a:xfrm>
          <a:off x="11041380" y="1684020"/>
          <a:ext cx="1066800" cy="2514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3366"/>
              </a:solidFill>
            </a:rPr>
            <a:t>Over</a:t>
          </a:r>
          <a:r>
            <a:rPr lang="en-US" sz="1100" b="1" baseline="0">
              <a:solidFill>
                <a:srgbClr val="003366"/>
              </a:solidFill>
            </a:rPr>
            <a:t> all Sales</a:t>
          </a:r>
          <a:endParaRPr lang="en-US" sz="1050" b="1">
            <a:solidFill>
              <a:srgbClr val="003366"/>
            </a:solidFill>
          </a:endParaRPr>
        </a:p>
      </xdr:txBody>
    </xdr:sp>
    <xdr:clientData/>
  </xdr:twoCellAnchor>
  <xdr:twoCellAnchor editAs="absolute">
    <xdr:from>
      <xdr:col>4</xdr:col>
      <xdr:colOff>480060</xdr:colOff>
      <xdr:row>24</xdr:row>
      <xdr:rowOff>167640</xdr:rowOff>
    </xdr:from>
    <xdr:to>
      <xdr:col>6</xdr:col>
      <xdr:colOff>381000</xdr:colOff>
      <xdr:row>26</xdr:row>
      <xdr:rowOff>148590</xdr:rowOff>
    </xdr:to>
    <xdr:sp macro="" textlink="">
      <xdr:nvSpPr>
        <xdr:cNvPr id="74" name="TextBox 73">
          <a:extLst>
            <a:ext uri="{FF2B5EF4-FFF2-40B4-BE49-F238E27FC236}">
              <a16:creationId xmlns:a16="http://schemas.microsoft.com/office/drawing/2014/main" id="{3007E016-DC2F-4E07-8F69-2A362310766D}"/>
            </a:ext>
          </a:extLst>
        </xdr:cNvPr>
        <xdr:cNvSpPr txBox="1"/>
      </xdr:nvSpPr>
      <xdr:spPr>
        <a:xfrm>
          <a:off x="2918460" y="4556760"/>
          <a:ext cx="1120140" cy="346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i="0">
              <a:solidFill>
                <a:srgbClr val="003366"/>
              </a:solidFill>
              <a:latin typeface="Arial" panose="020B0604020202020204" pitchFamily="34" charset="0"/>
              <a:cs typeface="Arial" panose="020B0604020202020204" pitchFamily="34" charset="0"/>
            </a:rPr>
            <a:t>Top</a:t>
          </a:r>
          <a:r>
            <a:rPr lang="en-US" sz="1000" b="1" i="0" baseline="0">
              <a:solidFill>
                <a:srgbClr val="003366"/>
              </a:solidFill>
              <a:latin typeface="Arial" panose="020B0604020202020204" pitchFamily="34" charset="0"/>
              <a:cs typeface="Arial" panose="020B0604020202020204" pitchFamily="34" charset="0"/>
            </a:rPr>
            <a:t> selling day</a:t>
          </a:r>
          <a:endParaRPr lang="en-US" sz="1000" b="1" i="0">
            <a:solidFill>
              <a:srgbClr val="003366"/>
            </a:solidFill>
            <a:latin typeface="Arial" panose="020B0604020202020204" pitchFamily="34" charset="0"/>
            <a:cs typeface="Arial" panose="020B0604020202020204" pitchFamily="34" charset="0"/>
          </a:endParaRPr>
        </a:p>
      </xdr:txBody>
    </xdr:sp>
    <xdr:clientData/>
  </xdr:twoCellAnchor>
  <xdr:twoCellAnchor editAs="absolute">
    <xdr:from>
      <xdr:col>4</xdr:col>
      <xdr:colOff>411480</xdr:colOff>
      <xdr:row>25</xdr:row>
      <xdr:rowOff>91440</xdr:rowOff>
    </xdr:from>
    <xdr:to>
      <xdr:col>4</xdr:col>
      <xdr:colOff>506730</xdr:colOff>
      <xdr:row>26</xdr:row>
      <xdr:rowOff>3810</xdr:rowOff>
    </xdr:to>
    <xdr:sp macro="" textlink="">
      <xdr:nvSpPr>
        <xdr:cNvPr id="75" name="Oval 74">
          <a:extLst>
            <a:ext uri="{FF2B5EF4-FFF2-40B4-BE49-F238E27FC236}">
              <a16:creationId xmlns:a16="http://schemas.microsoft.com/office/drawing/2014/main" id="{09FC2187-53DB-4A99-B70B-9F5AEA372011}"/>
            </a:ext>
          </a:extLst>
        </xdr:cNvPr>
        <xdr:cNvSpPr/>
      </xdr:nvSpPr>
      <xdr:spPr>
        <a:xfrm>
          <a:off x="2849880" y="4663440"/>
          <a:ext cx="95250" cy="95250"/>
        </a:xfrm>
        <a:prstGeom prst="ellipse">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434340</xdr:colOff>
      <xdr:row>24</xdr:row>
      <xdr:rowOff>144780</xdr:rowOff>
    </xdr:from>
    <xdr:to>
      <xdr:col>11</xdr:col>
      <xdr:colOff>434340</xdr:colOff>
      <xdr:row>26</xdr:row>
      <xdr:rowOff>125730</xdr:rowOff>
    </xdr:to>
    <xdr:sp macro="" textlink="">
      <xdr:nvSpPr>
        <xdr:cNvPr id="76" name="TextBox 75">
          <a:extLst>
            <a:ext uri="{FF2B5EF4-FFF2-40B4-BE49-F238E27FC236}">
              <a16:creationId xmlns:a16="http://schemas.microsoft.com/office/drawing/2014/main" id="{AC17BE61-72CC-42FD-954E-22591C028BF7}"/>
            </a:ext>
          </a:extLst>
        </xdr:cNvPr>
        <xdr:cNvSpPr txBox="1"/>
      </xdr:nvSpPr>
      <xdr:spPr>
        <a:xfrm>
          <a:off x="5920740" y="4533900"/>
          <a:ext cx="1219200" cy="346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i="0" baseline="0">
              <a:solidFill>
                <a:srgbClr val="003366"/>
              </a:solidFill>
              <a:latin typeface="Arial" panose="020B0604020202020204" pitchFamily="34" charset="0"/>
              <a:cs typeface="Arial" panose="020B0604020202020204" pitchFamily="34" charset="0"/>
            </a:rPr>
            <a:t>Least selling day</a:t>
          </a:r>
          <a:endParaRPr lang="en-US" sz="1000" b="1" i="0">
            <a:solidFill>
              <a:srgbClr val="003366"/>
            </a:solidFill>
            <a:latin typeface="Arial" panose="020B0604020202020204" pitchFamily="34" charset="0"/>
            <a:cs typeface="Arial" panose="020B0604020202020204" pitchFamily="34" charset="0"/>
          </a:endParaRPr>
        </a:p>
      </xdr:txBody>
    </xdr:sp>
    <xdr:clientData/>
  </xdr:twoCellAnchor>
  <xdr:twoCellAnchor editAs="absolute">
    <xdr:from>
      <xdr:col>9</xdr:col>
      <xdr:colOff>350520</xdr:colOff>
      <xdr:row>25</xdr:row>
      <xdr:rowOff>76200</xdr:rowOff>
    </xdr:from>
    <xdr:to>
      <xdr:col>9</xdr:col>
      <xdr:colOff>445770</xdr:colOff>
      <xdr:row>25</xdr:row>
      <xdr:rowOff>171450</xdr:rowOff>
    </xdr:to>
    <xdr:sp macro="" textlink="">
      <xdr:nvSpPr>
        <xdr:cNvPr id="77" name="Oval 76">
          <a:extLst>
            <a:ext uri="{FF2B5EF4-FFF2-40B4-BE49-F238E27FC236}">
              <a16:creationId xmlns:a16="http://schemas.microsoft.com/office/drawing/2014/main" id="{788F5504-B6CD-4621-897B-4FEA133DF0A7}"/>
            </a:ext>
          </a:extLst>
        </xdr:cNvPr>
        <xdr:cNvSpPr/>
      </xdr:nvSpPr>
      <xdr:spPr>
        <a:xfrm>
          <a:off x="5836920" y="4648200"/>
          <a:ext cx="95250" cy="95250"/>
        </a:xfrm>
        <a:prstGeom prst="ellipse">
          <a:avLst/>
        </a:prstGeom>
        <a:solidFill>
          <a:srgbClr val="FF00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304800</xdr:colOff>
      <xdr:row>24</xdr:row>
      <xdr:rowOff>160020</xdr:rowOff>
    </xdr:from>
    <xdr:to>
      <xdr:col>8</xdr:col>
      <xdr:colOff>205740</xdr:colOff>
      <xdr:row>26</xdr:row>
      <xdr:rowOff>140970</xdr:rowOff>
    </xdr:to>
    <xdr:sp macro="" textlink="Sheet3!A39">
      <xdr:nvSpPr>
        <xdr:cNvPr id="78" name="TextBox 77">
          <a:extLst>
            <a:ext uri="{FF2B5EF4-FFF2-40B4-BE49-F238E27FC236}">
              <a16:creationId xmlns:a16="http://schemas.microsoft.com/office/drawing/2014/main" id="{04620ABF-CEBC-443C-9E53-B05DE7F71B4C}"/>
            </a:ext>
          </a:extLst>
        </xdr:cNvPr>
        <xdr:cNvSpPr txBox="1"/>
      </xdr:nvSpPr>
      <xdr:spPr>
        <a:xfrm>
          <a:off x="3962400" y="4549140"/>
          <a:ext cx="1120140" cy="346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399464C-ABE2-48CA-A38A-E5155F29E576}" type="TxLink">
            <a:rPr lang="en-US" sz="1400" b="1" i="0" u="none" strike="noStrike">
              <a:solidFill>
                <a:schemeClr val="tx1"/>
              </a:solidFill>
              <a:latin typeface="+mn-lt"/>
              <a:ea typeface="Calibri"/>
              <a:cs typeface="Calibri"/>
            </a:rPr>
            <a:pPr algn="l"/>
            <a:t>22-Jan 2009</a:t>
          </a:fld>
          <a:endParaRPr lang="en-US" sz="1600" b="1" i="0">
            <a:solidFill>
              <a:schemeClr val="tx1"/>
            </a:solidFill>
            <a:latin typeface="+mn-lt"/>
            <a:cs typeface="Arial" panose="020B0604020202020204" pitchFamily="34" charset="0"/>
          </a:endParaRPr>
        </a:p>
      </xdr:txBody>
    </xdr:sp>
    <xdr:clientData/>
  </xdr:twoCellAnchor>
  <xdr:twoCellAnchor editAs="absolute">
    <xdr:from>
      <xdr:col>11</xdr:col>
      <xdr:colOff>365760</xdr:colOff>
      <xdr:row>24</xdr:row>
      <xdr:rowOff>129540</xdr:rowOff>
    </xdr:from>
    <xdr:to>
      <xdr:col>13</xdr:col>
      <xdr:colOff>365760</xdr:colOff>
      <xdr:row>26</xdr:row>
      <xdr:rowOff>110490</xdr:rowOff>
    </xdr:to>
    <xdr:sp macro="" textlink="Sheet3!D39">
      <xdr:nvSpPr>
        <xdr:cNvPr id="80" name="TextBox 79">
          <a:extLst>
            <a:ext uri="{FF2B5EF4-FFF2-40B4-BE49-F238E27FC236}">
              <a16:creationId xmlns:a16="http://schemas.microsoft.com/office/drawing/2014/main" id="{5EA3D61C-3777-4DCF-B8FD-4B61CCCBE97C}"/>
            </a:ext>
          </a:extLst>
        </xdr:cNvPr>
        <xdr:cNvSpPr txBox="1"/>
      </xdr:nvSpPr>
      <xdr:spPr>
        <a:xfrm>
          <a:off x="7071360" y="4518660"/>
          <a:ext cx="1219200" cy="346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8C22E19-C484-466E-9C58-ED3C2C81FCFD}" type="TxLink">
            <a:rPr lang="en-US" sz="1400" b="1" i="0" u="none" strike="noStrike" baseline="0">
              <a:solidFill>
                <a:srgbClr val="000000"/>
              </a:solidFill>
              <a:latin typeface="Calibri"/>
              <a:ea typeface="Calibri"/>
              <a:cs typeface="Calibri"/>
            </a:rPr>
            <a:pPr algn="l"/>
            <a:t>09-Jan 2009</a:t>
          </a:fld>
          <a:endParaRPr lang="en-US" sz="2000" b="1" i="0">
            <a:solidFill>
              <a:srgbClr val="003366"/>
            </a:solidFill>
            <a:latin typeface="Arial" panose="020B0604020202020204" pitchFamily="34" charset="0"/>
            <a:cs typeface="Arial" panose="020B0604020202020204" pitchFamily="34" charset="0"/>
          </a:endParaRPr>
        </a:p>
      </xdr:txBody>
    </xdr:sp>
    <xdr:clientData/>
  </xdr:twoCellAnchor>
  <xdr:twoCellAnchor editAs="absolute">
    <xdr:from>
      <xdr:col>5</xdr:col>
      <xdr:colOff>243840</xdr:colOff>
      <xdr:row>26</xdr:row>
      <xdr:rowOff>30480</xdr:rowOff>
    </xdr:from>
    <xdr:to>
      <xdr:col>8</xdr:col>
      <xdr:colOff>83820</xdr:colOff>
      <xdr:row>28</xdr:row>
      <xdr:rowOff>11430</xdr:rowOff>
    </xdr:to>
    <xdr:sp macro="" textlink="Sheet3!B39">
      <xdr:nvSpPr>
        <xdr:cNvPr id="81" name="TextBox 80">
          <a:extLst>
            <a:ext uri="{FF2B5EF4-FFF2-40B4-BE49-F238E27FC236}">
              <a16:creationId xmlns:a16="http://schemas.microsoft.com/office/drawing/2014/main" id="{6439C977-9000-4F69-AE06-FBF9BE208012}"/>
            </a:ext>
          </a:extLst>
        </xdr:cNvPr>
        <xdr:cNvSpPr txBox="1"/>
      </xdr:nvSpPr>
      <xdr:spPr>
        <a:xfrm>
          <a:off x="3291840" y="4785360"/>
          <a:ext cx="1668780" cy="346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DACA346-39D9-4F42-A0DD-FBD93C6BAB8F}" type="TxLink">
            <a:rPr lang="en-US" sz="1400" b="1" i="0" u="none" strike="noStrike">
              <a:solidFill>
                <a:srgbClr val="000000"/>
              </a:solidFill>
              <a:latin typeface="Arial Black" panose="020B0A04020102020204" pitchFamily="34" charset="0"/>
              <a:ea typeface="Calibri"/>
              <a:cs typeface="Calibri"/>
            </a:rPr>
            <a:pPr algn="l"/>
            <a:t>₹ 10,55,100</a:t>
          </a:fld>
          <a:endParaRPr lang="en-US" sz="1400" b="1" i="0" u="none" strike="noStrike">
            <a:latin typeface="Arial Black" panose="020B0A04020102020204" pitchFamily="34" charset="0"/>
            <a:ea typeface="Calibri"/>
            <a:cs typeface="Calibri"/>
          </a:endParaRPr>
        </a:p>
      </xdr:txBody>
    </xdr:sp>
    <xdr:clientData/>
  </xdr:twoCellAnchor>
  <xdr:twoCellAnchor editAs="absolute">
    <xdr:from>
      <xdr:col>10</xdr:col>
      <xdr:colOff>274320</xdr:colOff>
      <xdr:row>26</xdr:row>
      <xdr:rowOff>7620</xdr:rowOff>
    </xdr:from>
    <xdr:to>
      <xdr:col>12</xdr:col>
      <xdr:colOff>297180</xdr:colOff>
      <xdr:row>27</xdr:row>
      <xdr:rowOff>171450</xdr:rowOff>
    </xdr:to>
    <xdr:sp macro="" textlink="Sheet3!E39">
      <xdr:nvSpPr>
        <xdr:cNvPr id="82" name="TextBox 81">
          <a:extLst>
            <a:ext uri="{FF2B5EF4-FFF2-40B4-BE49-F238E27FC236}">
              <a16:creationId xmlns:a16="http://schemas.microsoft.com/office/drawing/2014/main" id="{2499DD4D-BF76-4F8A-9B1F-49839D00916D}"/>
            </a:ext>
          </a:extLst>
        </xdr:cNvPr>
        <xdr:cNvSpPr txBox="1"/>
      </xdr:nvSpPr>
      <xdr:spPr>
        <a:xfrm>
          <a:off x="6370320" y="4762500"/>
          <a:ext cx="1242060" cy="346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0AF1808-6153-482C-B572-A2D7889B764B}" type="TxLink">
            <a:rPr lang="en-US" sz="1400" b="1" i="0" u="none" strike="noStrike">
              <a:solidFill>
                <a:srgbClr val="000000"/>
              </a:solidFill>
              <a:latin typeface="Arial Black" panose="020B0A04020102020204" pitchFamily="34" charset="0"/>
              <a:ea typeface="Calibri"/>
              <a:cs typeface="Calibri"/>
            </a:rPr>
            <a:pPr algn="l"/>
            <a:t>₹ 1,32,400</a:t>
          </a:fld>
          <a:endParaRPr lang="en-US" sz="3200" b="1" i="0">
            <a:solidFill>
              <a:schemeClr val="accent2">
                <a:lumMod val="50000"/>
              </a:schemeClr>
            </a:solidFill>
            <a:latin typeface="Arial Black" panose="020B0A04020102020204" pitchFamily="34" charset="0"/>
            <a:cs typeface="Arial" panose="020B0604020202020204" pitchFamily="34" charset="0"/>
          </a:endParaRPr>
        </a:p>
      </xdr:txBody>
    </xdr:sp>
    <xdr:clientData/>
  </xdr:twoCellAnchor>
  <xdr:twoCellAnchor editAs="absolute">
    <xdr:from>
      <xdr:col>4</xdr:col>
      <xdr:colOff>236220</xdr:colOff>
      <xdr:row>28</xdr:row>
      <xdr:rowOff>99060</xdr:rowOff>
    </xdr:from>
    <xdr:to>
      <xdr:col>13</xdr:col>
      <xdr:colOff>554355</xdr:colOff>
      <xdr:row>28</xdr:row>
      <xdr:rowOff>99060</xdr:rowOff>
    </xdr:to>
    <xdr:cxnSp macro="">
      <xdr:nvCxnSpPr>
        <xdr:cNvPr id="83" name="Straight Connector 82">
          <a:extLst>
            <a:ext uri="{FF2B5EF4-FFF2-40B4-BE49-F238E27FC236}">
              <a16:creationId xmlns:a16="http://schemas.microsoft.com/office/drawing/2014/main" id="{74AFFA0D-7D97-4AE7-9E29-1828011FA2A5}"/>
            </a:ext>
          </a:extLst>
        </xdr:cNvPr>
        <xdr:cNvCxnSpPr/>
      </xdr:nvCxnSpPr>
      <xdr:spPr>
        <a:xfrm>
          <a:off x="2674620" y="5219700"/>
          <a:ext cx="5804535" cy="0"/>
        </a:xfrm>
        <a:prstGeom prst="line">
          <a:avLst/>
        </a:prstGeom>
        <a:ln w="92075">
          <a:solidFill>
            <a:schemeClr val="bg1">
              <a:lumMod val="75000"/>
              <a:alpha val="3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198120</xdr:colOff>
      <xdr:row>28</xdr:row>
      <xdr:rowOff>175260</xdr:rowOff>
    </xdr:from>
    <xdr:to>
      <xdr:col>13</xdr:col>
      <xdr:colOff>472440</xdr:colOff>
      <xdr:row>37</xdr:row>
      <xdr:rowOff>106680</xdr:rowOff>
    </xdr:to>
    <xdr:graphicFrame macro="">
      <xdr:nvGraphicFramePr>
        <xdr:cNvPr id="84" name="Chart 83">
          <a:extLst>
            <a:ext uri="{FF2B5EF4-FFF2-40B4-BE49-F238E27FC236}">
              <a16:creationId xmlns:a16="http://schemas.microsoft.com/office/drawing/2014/main" id="{49D6DDEE-8117-4CAC-AA28-1B21E9D928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absolute">
    <xdr:from>
      <xdr:col>13</xdr:col>
      <xdr:colOff>563880</xdr:colOff>
      <xdr:row>11</xdr:row>
      <xdr:rowOff>30480</xdr:rowOff>
    </xdr:from>
    <xdr:to>
      <xdr:col>19</xdr:col>
      <xdr:colOff>480060</xdr:colOff>
      <xdr:row>26</xdr:row>
      <xdr:rowOff>1906</xdr:rowOff>
    </xdr:to>
    <xdr:sp macro="" textlink="">
      <xdr:nvSpPr>
        <xdr:cNvPr id="85" name="Rectangle 84">
          <a:extLst>
            <a:ext uri="{FF2B5EF4-FFF2-40B4-BE49-F238E27FC236}">
              <a16:creationId xmlns:a16="http://schemas.microsoft.com/office/drawing/2014/main" id="{29E85C74-DBD5-4BEB-8BA6-63A82528918A}"/>
            </a:ext>
          </a:extLst>
        </xdr:cNvPr>
        <xdr:cNvSpPr/>
      </xdr:nvSpPr>
      <xdr:spPr>
        <a:xfrm>
          <a:off x="8488680" y="2042160"/>
          <a:ext cx="3573780" cy="2714626"/>
        </a:xfrm>
        <a:prstGeom prst="rect">
          <a:avLst/>
        </a:prstGeom>
        <a:solidFill>
          <a:schemeClr val="bg1"/>
        </a:solidFill>
        <a:ln>
          <a:noFill/>
        </a:ln>
        <a:effectLst>
          <a:glow rad="228600">
            <a:schemeClr val="accent2">
              <a:satMod val="175000"/>
              <a:alpha val="40000"/>
            </a:schemeClr>
          </a:glow>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15</xdr:col>
      <xdr:colOff>99060</xdr:colOff>
      <xdr:row>11</xdr:row>
      <xdr:rowOff>114300</xdr:rowOff>
    </xdr:from>
    <xdr:to>
      <xdr:col>17</xdr:col>
      <xdr:colOff>411480</xdr:colOff>
      <xdr:row>13</xdr:row>
      <xdr:rowOff>30480</xdr:rowOff>
    </xdr:to>
    <xdr:sp macro="" textlink="'sales analysis'!F79">
      <xdr:nvSpPr>
        <xdr:cNvPr id="86" name="Rectangle 85">
          <a:extLst>
            <a:ext uri="{FF2B5EF4-FFF2-40B4-BE49-F238E27FC236}">
              <a16:creationId xmlns:a16="http://schemas.microsoft.com/office/drawing/2014/main" id="{2A5CD8AF-5412-44F7-A017-99157BC2976E}"/>
            </a:ext>
          </a:extLst>
        </xdr:cNvPr>
        <xdr:cNvSpPr/>
      </xdr:nvSpPr>
      <xdr:spPr>
        <a:xfrm>
          <a:off x="9243060" y="2125980"/>
          <a:ext cx="1531620" cy="2819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B8B3BC4-6D3F-4C3D-A4D7-E55DE8BBA98C}" type="TxLink">
            <a:rPr lang="en-US" sz="1400" b="1" i="0" u="none" strike="noStrike">
              <a:solidFill>
                <a:schemeClr val="accent2">
                  <a:lumMod val="50000"/>
                </a:schemeClr>
              </a:solidFill>
              <a:latin typeface="Arial Black" panose="020B0A04020102020204" pitchFamily="34" charset="0"/>
              <a:ea typeface="Calibri"/>
              <a:cs typeface="Calibri"/>
            </a:rPr>
            <a:pPr algn="ctr"/>
            <a:t>₹ 1,96,37,500</a:t>
          </a:fld>
          <a:endParaRPr lang="en-US" sz="1100" b="1">
            <a:solidFill>
              <a:schemeClr val="accent2">
                <a:lumMod val="50000"/>
              </a:schemeClr>
            </a:solidFill>
            <a:latin typeface="Arial Black" panose="020B0A04020102020204" pitchFamily="34" charset="0"/>
          </a:endParaRPr>
        </a:p>
      </xdr:txBody>
    </xdr:sp>
    <xdr:clientData/>
  </xdr:twoCellAnchor>
  <xdr:twoCellAnchor editAs="absolute">
    <xdr:from>
      <xdr:col>17</xdr:col>
      <xdr:colOff>350520</xdr:colOff>
      <xdr:row>11</xdr:row>
      <xdr:rowOff>83820</xdr:rowOff>
    </xdr:from>
    <xdr:to>
      <xdr:col>19</xdr:col>
      <xdr:colOff>495300</xdr:colOff>
      <xdr:row>13</xdr:row>
      <xdr:rowOff>64770</xdr:rowOff>
    </xdr:to>
    <xdr:sp macro="" textlink="">
      <xdr:nvSpPr>
        <xdr:cNvPr id="87" name="TextBox 86">
          <a:extLst>
            <a:ext uri="{FF2B5EF4-FFF2-40B4-BE49-F238E27FC236}">
              <a16:creationId xmlns:a16="http://schemas.microsoft.com/office/drawing/2014/main" id="{0D4A777A-CACA-4D38-8341-BC3BA7D2E513}"/>
            </a:ext>
          </a:extLst>
        </xdr:cNvPr>
        <xdr:cNvSpPr txBox="1"/>
      </xdr:nvSpPr>
      <xdr:spPr>
        <a:xfrm>
          <a:off x="10713720" y="2095500"/>
          <a:ext cx="1363980" cy="346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i="1">
              <a:solidFill>
                <a:schemeClr val="tx1">
                  <a:lumMod val="75000"/>
                  <a:lumOff val="25000"/>
                </a:schemeClr>
              </a:solidFill>
              <a:latin typeface="Arial" panose="020B0604020202020204" pitchFamily="34" charset="0"/>
              <a:cs typeface="Arial" panose="020B0604020202020204" pitchFamily="34" charset="0"/>
            </a:rPr>
            <a:t>Total</a:t>
          </a:r>
          <a:r>
            <a:rPr lang="en-US" sz="900" b="1" i="1">
              <a:solidFill>
                <a:schemeClr val="tx1">
                  <a:lumMod val="75000"/>
                  <a:lumOff val="25000"/>
                </a:schemeClr>
              </a:solidFill>
              <a:latin typeface="Arial" panose="020B0604020202020204" pitchFamily="34" charset="0"/>
              <a:cs typeface="Arial" panose="020B0604020202020204" pitchFamily="34" charset="0"/>
            </a:rPr>
            <a:t> Over all sales </a:t>
          </a:r>
        </a:p>
      </xdr:txBody>
    </xdr:sp>
    <xdr:clientData/>
  </xdr:twoCellAnchor>
  <xdr:twoCellAnchor editAs="absolute">
    <xdr:from>
      <xdr:col>13</xdr:col>
      <xdr:colOff>601980</xdr:colOff>
      <xdr:row>13</xdr:row>
      <xdr:rowOff>91440</xdr:rowOff>
    </xdr:from>
    <xdr:to>
      <xdr:col>17</xdr:col>
      <xdr:colOff>495300</xdr:colOff>
      <xdr:row>15</xdr:row>
      <xdr:rowOff>72390</xdr:rowOff>
    </xdr:to>
    <xdr:sp macro="" textlink="">
      <xdr:nvSpPr>
        <xdr:cNvPr id="88" name="TextBox 87">
          <a:extLst>
            <a:ext uri="{FF2B5EF4-FFF2-40B4-BE49-F238E27FC236}">
              <a16:creationId xmlns:a16="http://schemas.microsoft.com/office/drawing/2014/main" id="{027A280C-48E3-4655-9C1D-D1EE88C4009E}"/>
            </a:ext>
          </a:extLst>
        </xdr:cNvPr>
        <xdr:cNvSpPr txBox="1"/>
      </xdr:nvSpPr>
      <xdr:spPr>
        <a:xfrm>
          <a:off x="8526780" y="2468880"/>
          <a:ext cx="2331720" cy="346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a:solidFill>
                <a:schemeClr val="tx1">
                  <a:lumMod val="75000"/>
                  <a:lumOff val="25000"/>
                </a:schemeClr>
              </a:solidFill>
              <a:latin typeface="Arial" panose="020B0604020202020204" pitchFamily="34" charset="0"/>
              <a:cs typeface="Arial" panose="020B0604020202020204" pitchFamily="34" charset="0"/>
            </a:rPr>
            <a:t>Weekdays sales analysis</a:t>
          </a:r>
        </a:p>
      </xdr:txBody>
    </xdr:sp>
    <xdr:clientData/>
  </xdr:twoCellAnchor>
  <xdr:twoCellAnchor editAs="absolute">
    <xdr:from>
      <xdr:col>14</xdr:col>
      <xdr:colOff>30480</xdr:colOff>
      <xdr:row>15</xdr:row>
      <xdr:rowOff>22860</xdr:rowOff>
    </xdr:from>
    <xdr:to>
      <xdr:col>16</xdr:col>
      <xdr:colOff>523875</xdr:colOff>
      <xdr:row>15</xdr:row>
      <xdr:rowOff>22860</xdr:rowOff>
    </xdr:to>
    <xdr:cxnSp macro="">
      <xdr:nvCxnSpPr>
        <xdr:cNvPr id="89" name="Straight Connector 88">
          <a:extLst>
            <a:ext uri="{FF2B5EF4-FFF2-40B4-BE49-F238E27FC236}">
              <a16:creationId xmlns:a16="http://schemas.microsoft.com/office/drawing/2014/main" id="{CF1EF72A-8D47-488C-9ACC-9A5A52D68BE4}"/>
            </a:ext>
          </a:extLst>
        </xdr:cNvPr>
        <xdr:cNvCxnSpPr/>
      </xdr:nvCxnSpPr>
      <xdr:spPr>
        <a:xfrm>
          <a:off x="8564880" y="2766060"/>
          <a:ext cx="1712595" cy="0"/>
        </a:xfrm>
        <a:prstGeom prst="line">
          <a:avLst/>
        </a:prstGeom>
        <a:ln w="50800">
          <a:solidFill>
            <a:schemeClr val="tx1">
              <a:lumMod val="75000"/>
              <a:lumOff val="25000"/>
              <a:alpha val="2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198120</xdr:colOff>
      <xdr:row>29</xdr:row>
      <xdr:rowOff>167640</xdr:rowOff>
    </xdr:from>
    <xdr:to>
      <xdr:col>13</xdr:col>
      <xdr:colOff>542925</xdr:colOff>
      <xdr:row>31</xdr:row>
      <xdr:rowOff>148590</xdr:rowOff>
    </xdr:to>
    <xdr:sp macro="" textlink="">
      <xdr:nvSpPr>
        <xdr:cNvPr id="90" name="TextBox 89">
          <a:extLst>
            <a:ext uri="{FF2B5EF4-FFF2-40B4-BE49-F238E27FC236}">
              <a16:creationId xmlns:a16="http://schemas.microsoft.com/office/drawing/2014/main" id="{23116506-3EC3-40A6-B13F-8D401CC4935F}"/>
            </a:ext>
          </a:extLst>
        </xdr:cNvPr>
        <xdr:cNvSpPr txBox="1"/>
      </xdr:nvSpPr>
      <xdr:spPr>
        <a:xfrm>
          <a:off x="6903720" y="5471160"/>
          <a:ext cx="1564005" cy="346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a:solidFill>
                <a:schemeClr val="tx1">
                  <a:lumMod val="75000"/>
                  <a:lumOff val="25000"/>
                </a:schemeClr>
              </a:solidFill>
              <a:latin typeface="Arial" panose="020B0604020202020204" pitchFamily="34" charset="0"/>
              <a:cs typeface="Arial" panose="020B0604020202020204" pitchFamily="34" charset="0"/>
            </a:rPr>
            <a:t>Time range</a:t>
          </a:r>
          <a:r>
            <a:rPr lang="en-US" sz="1050" b="1" baseline="0">
              <a:solidFill>
                <a:schemeClr val="tx1">
                  <a:lumMod val="75000"/>
                  <a:lumOff val="25000"/>
                </a:schemeClr>
              </a:solidFill>
              <a:latin typeface="Arial" panose="020B0604020202020204" pitchFamily="34" charset="0"/>
              <a:cs typeface="Arial" panose="020B0604020202020204" pitchFamily="34" charset="0"/>
            </a:rPr>
            <a:t> analysis</a:t>
          </a:r>
          <a:endParaRPr lang="en-US" sz="105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14</xdr:col>
      <xdr:colOff>7620</xdr:colOff>
      <xdr:row>15</xdr:row>
      <xdr:rowOff>83820</xdr:rowOff>
    </xdr:from>
    <xdr:to>
      <xdr:col>19</xdr:col>
      <xdr:colOff>464820</xdr:colOff>
      <xdr:row>25</xdr:row>
      <xdr:rowOff>129540</xdr:rowOff>
    </xdr:to>
    <xdr:graphicFrame macro="">
      <xdr:nvGraphicFramePr>
        <xdr:cNvPr id="91" name="Chart 90">
          <a:extLst>
            <a:ext uri="{FF2B5EF4-FFF2-40B4-BE49-F238E27FC236}">
              <a16:creationId xmlns:a16="http://schemas.microsoft.com/office/drawing/2014/main" id="{22DEFBBB-ADF6-413E-89A0-4179308250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13</xdr:col>
      <xdr:colOff>579120</xdr:colOff>
      <xdr:row>26</xdr:row>
      <xdr:rowOff>45720</xdr:rowOff>
    </xdr:from>
    <xdr:to>
      <xdr:col>19</xdr:col>
      <xdr:colOff>495300</xdr:colOff>
      <xdr:row>37</xdr:row>
      <xdr:rowOff>144780</xdr:rowOff>
    </xdr:to>
    <xdr:sp macro="" textlink="">
      <xdr:nvSpPr>
        <xdr:cNvPr id="92" name="Rectangle 91">
          <a:extLst>
            <a:ext uri="{FF2B5EF4-FFF2-40B4-BE49-F238E27FC236}">
              <a16:creationId xmlns:a16="http://schemas.microsoft.com/office/drawing/2014/main" id="{DDF5CA8F-EA30-45D0-883C-AC0EED700E32}"/>
            </a:ext>
          </a:extLst>
        </xdr:cNvPr>
        <xdr:cNvSpPr/>
      </xdr:nvSpPr>
      <xdr:spPr>
        <a:xfrm>
          <a:off x="8503920" y="4800600"/>
          <a:ext cx="3573780" cy="2110740"/>
        </a:xfrm>
        <a:prstGeom prst="rect">
          <a:avLst/>
        </a:prstGeom>
        <a:solidFill>
          <a:schemeClr val="bg1"/>
        </a:solidFill>
        <a:ln>
          <a:noFill/>
        </a:ln>
        <a:effectLst>
          <a:glow rad="228600">
            <a:schemeClr val="accent2">
              <a:satMod val="175000"/>
              <a:alpha val="40000"/>
            </a:schemeClr>
          </a:glow>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14</xdr:col>
      <xdr:colOff>22860</xdr:colOff>
      <xdr:row>28</xdr:row>
      <xdr:rowOff>22860</xdr:rowOff>
    </xdr:from>
    <xdr:to>
      <xdr:col>19</xdr:col>
      <xdr:colOff>45720</xdr:colOff>
      <xdr:row>37</xdr:row>
      <xdr:rowOff>114300</xdr:rowOff>
    </xdr:to>
    <xdr:graphicFrame macro="">
      <xdr:nvGraphicFramePr>
        <xdr:cNvPr id="93" name="Chart 92">
          <a:extLst>
            <a:ext uri="{FF2B5EF4-FFF2-40B4-BE49-F238E27FC236}">
              <a16:creationId xmlns:a16="http://schemas.microsoft.com/office/drawing/2014/main" id="{142377E4-4D11-4691-BB6F-97A765263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13</xdr:col>
      <xdr:colOff>579120</xdr:colOff>
      <xdr:row>26</xdr:row>
      <xdr:rowOff>45720</xdr:rowOff>
    </xdr:from>
    <xdr:to>
      <xdr:col>16</xdr:col>
      <xdr:colOff>352425</xdr:colOff>
      <xdr:row>28</xdr:row>
      <xdr:rowOff>26670</xdr:rowOff>
    </xdr:to>
    <xdr:sp macro="" textlink="">
      <xdr:nvSpPr>
        <xdr:cNvPr id="94" name="TextBox 93">
          <a:extLst>
            <a:ext uri="{FF2B5EF4-FFF2-40B4-BE49-F238E27FC236}">
              <a16:creationId xmlns:a16="http://schemas.microsoft.com/office/drawing/2014/main" id="{6D5D2780-15E8-4E79-A945-2AD72241361B}"/>
            </a:ext>
          </a:extLst>
        </xdr:cNvPr>
        <xdr:cNvSpPr txBox="1"/>
      </xdr:nvSpPr>
      <xdr:spPr>
        <a:xfrm>
          <a:off x="8503920" y="4800600"/>
          <a:ext cx="1602105" cy="346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a:solidFill>
                <a:schemeClr val="tx1">
                  <a:lumMod val="75000"/>
                  <a:lumOff val="25000"/>
                </a:schemeClr>
              </a:solidFill>
              <a:latin typeface="Arial" panose="020B0604020202020204" pitchFamily="34" charset="0"/>
              <a:cs typeface="Arial" panose="020B0604020202020204" pitchFamily="34" charset="0"/>
            </a:rPr>
            <a:t>Products analysis</a:t>
          </a:r>
        </a:p>
      </xdr:txBody>
    </xdr:sp>
    <xdr:clientData/>
  </xdr:twoCellAnchor>
  <xdr:twoCellAnchor editAs="absolute">
    <xdr:from>
      <xdr:col>0</xdr:col>
      <xdr:colOff>563880</xdr:colOff>
      <xdr:row>26</xdr:row>
      <xdr:rowOff>137160</xdr:rowOff>
    </xdr:from>
    <xdr:to>
      <xdr:col>3</xdr:col>
      <xdr:colOff>342900</xdr:colOff>
      <xdr:row>30</xdr:row>
      <xdr:rowOff>144780</xdr:rowOff>
    </xdr:to>
    <xdr:sp macro="" textlink="Sheet5!E15">
      <xdr:nvSpPr>
        <xdr:cNvPr id="95" name="TextBox 94">
          <a:extLst>
            <a:ext uri="{FF2B5EF4-FFF2-40B4-BE49-F238E27FC236}">
              <a16:creationId xmlns:a16="http://schemas.microsoft.com/office/drawing/2014/main" id="{37D13B5A-EDE7-43CD-BBBE-D436D60305BD}"/>
            </a:ext>
          </a:extLst>
        </xdr:cNvPr>
        <xdr:cNvSpPr txBox="1"/>
      </xdr:nvSpPr>
      <xdr:spPr>
        <a:xfrm>
          <a:off x="563880" y="4892040"/>
          <a:ext cx="1607820" cy="739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E17E133-8DD1-40CA-B696-6B8EF8B14D53}" type="TxLink">
            <a:rPr lang="en-US" sz="1100" b="1" i="0" u="none" strike="noStrike">
              <a:solidFill>
                <a:srgbClr val="000000"/>
              </a:solidFill>
              <a:latin typeface="Calibri"/>
              <a:ea typeface="Calibri"/>
              <a:cs typeface="Calibri"/>
            </a:rPr>
            <a:pPr marL="0" indent="0" algn="ctr"/>
            <a:t>An ideal selling time should be at  10 AM  11 AM and 7 AM</a:t>
          </a:fld>
          <a:endParaRPr lang="en-US" sz="1200" b="1" i="1" u="none" strike="noStrike">
            <a:solidFill>
              <a:schemeClr val="tx1"/>
            </a:solidFill>
            <a:latin typeface="Aptos" panose="020B0004020202020204" pitchFamily="34" charset="0"/>
            <a:ea typeface="+mn-ea"/>
            <a:cs typeface="Calibri"/>
          </a:endParaRPr>
        </a:p>
      </xdr:txBody>
    </xdr:sp>
    <xdr:clientData/>
  </xdr:twoCellAnchor>
  <xdr:twoCellAnchor editAs="absolute">
    <xdr:from>
      <xdr:col>0</xdr:col>
      <xdr:colOff>541020</xdr:colOff>
      <xdr:row>7</xdr:row>
      <xdr:rowOff>167640</xdr:rowOff>
    </xdr:from>
    <xdr:to>
      <xdr:col>1</xdr:col>
      <xdr:colOff>252870</xdr:colOff>
      <xdr:row>9</xdr:row>
      <xdr:rowOff>108090</xdr:rowOff>
    </xdr:to>
    <xdr:pic>
      <xdr:nvPicPr>
        <xdr:cNvPr id="96" name="Graphic 95" descr="Monthly calendar">
          <a:extLst>
            <a:ext uri="{FF2B5EF4-FFF2-40B4-BE49-F238E27FC236}">
              <a16:creationId xmlns:a16="http://schemas.microsoft.com/office/drawing/2014/main" id="{98EB6EEC-238D-422E-A4EB-FBA9B9254A4C}"/>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41020" y="1447800"/>
          <a:ext cx="321450" cy="306210"/>
        </a:xfrm>
        <a:prstGeom prst="rect">
          <a:avLst/>
        </a:prstGeom>
      </xdr:spPr>
    </xdr:pic>
    <xdr:clientData/>
  </xdr:twoCellAnchor>
  <xdr:twoCellAnchor editAs="oneCell">
    <xdr:from>
      <xdr:col>0</xdr:col>
      <xdr:colOff>464820</xdr:colOff>
      <xdr:row>14</xdr:row>
      <xdr:rowOff>170535</xdr:rowOff>
    </xdr:from>
    <xdr:to>
      <xdr:col>1</xdr:col>
      <xdr:colOff>147828</xdr:colOff>
      <xdr:row>16</xdr:row>
      <xdr:rowOff>82143</xdr:rowOff>
    </xdr:to>
    <xdr:pic>
      <xdr:nvPicPr>
        <xdr:cNvPr id="97" name="Graphic 96" descr="Gold bars">
          <a:extLst>
            <a:ext uri="{FF2B5EF4-FFF2-40B4-BE49-F238E27FC236}">
              <a16:creationId xmlns:a16="http://schemas.microsoft.com/office/drawing/2014/main" id="{DFD0B06A-4EF1-4EAD-B210-E8E5770DB86C}"/>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464820" y="2730855"/>
          <a:ext cx="292608" cy="277368"/>
        </a:xfrm>
        <a:prstGeom prst="rect">
          <a:avLst/>
        </a:prstGeom>
      </xdr:spPr>
    </xdr:pic>
    <xdr:clientData/>
  </xdr:twoCellAnchor>
  <xdr:twoCellAnchor editAs="oneCell">
    <xdr:from>
      <xdr:col>0</xdr:col>
      <xdr:colOff>525780</xdr:colOff>
      <xdr:row>10</xdr:row>
      <xdr:rowOff>107940</xdr:rowOff>
    </xdr:from>
    <xdr:to>
      <xdr:col>1</xdr:col>
      <xdr:colOff>208788</xdr:colOff>
      <xdr:row>12</xdr:row>
      <xdr:rowOff>19548</xdr:rowOff>
    </xdr:to>
    <xdr:pic>
      <xdr:nvPicPr>
        <xdr:cNvPr id="98" name="Graphic 97" descr="Voice">
          <a:extLst>
            <a:ext uri="{FF2B5EF4-FFF2-40B4-BE49-F238E27FC236}">
              <a16:creationId xmlns:a16="http://schemas.microsoft.com/office/drawing/2014/main" id="{16D8931D-53C6-4DC9-80E1-E6B4DFB7F2D3}"/>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525780" y="1936740"/>
          <a:ext cx="292608" cy="277368"/>
        </a:xfrm>
        <a:prstGeom prst="rect">
          <a:avLst/>
        </a:prstGeom>
      </xdr:spPr>
    </xdr:pic>
    <xdr:clientData/>
  </xdr:twoCellAnchor>
  <xdr:twoCellAnchor editAs="oneCell">
    <xdr:from>
      <xdr:col>0</xdr:col>
      <xdr:colOff>480060</xdr:colOff>
      <xdr:row>12</xdr:row>
      <xdr:rowOff>85995</xdr:rowOff>
    </xdr:from>
    <xdr:to>
      <xdr:col>1</xdr:col>
      <xdr:colOff>163068</xdr:colOff>
      <xdr:row>14</xdr:row>
      <xdr:rowOff>5223</xdr:rowOff>
    </xdr:to>
    <xdr:pic>
      <xdr:nvPicPr>
        <xdr:cNvPr id="99" name="Graphic 98" descr="Decision chart">
          <a:extLst>
            <a:ext uri="{FF2B5EF4-FFF2-40B4-BE49-F238E27FC236}">
              <a16:creationId xmlns:a16="http://schemas.microsoft.com/office/drawing/2014/main" id="{B1BFCE09-42FB-43DA-A355-A3AE18C7C30F}"/>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480060" y="2280555"/>
          <a:ext cx="292608" cy="284988"/>
        </a:xfrm>
        <a:prstGeom prst="rect">
          <a:avLst/>
        </a:prstGeom>
      </xdr:spPr>
    </xdr:pic>
    <xdr:clientData/>
  </xdr:twoCellAnchor>
  <xdr:twoCellAnchor editAs="oneCell">
    <xdr:from>
      <xdr:col>0</xdr:col>
      <xdr:colOff>449580</xdr:colOff>
      <xdr:row>17</xdr:row>
      <xdr:rowOff>68580</xdr:rowOff>
    </xdr:from>
    <xdr:to>
      <xdr:col>1</xdr:col>
      <xdr:colOff>132588</xdr:colOff>
      <xdr:row>18</xdr:row>
      <xdr:rowOff>170688</xdr:rowOff>
    </xdr:to>
    <xdr:pic>
      <xdr:nvPicPr>
        <xdr:cNvPr id="101" name="Graphic 100" descr="Flip calendar">
          <a:extLst>
            <a:ext uri="{FF2B5EF4-FFF2-40B4-BE49-F238E27FC236}">
              <a16:creationId xmlns:a16="http://schemas.microsoft.com/office/drawing/2014/main" id="{4A4094F9-BF44-45B1-B662-C2A1834AF0FA}"/>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449580" y="3177540"/>
          <a:ext cx="292608" cy="284988"/>
        </a:xfrm>
        <a:prstGeom prst="rect">
          <a:avLst/>
        </a:prstGeom>
      </xdr:spPr>
    </xdr:pic>
    <xdr:clientData/>
  </xdr:twoCellAnchor>
  <xdr:twoCellAnchor editAs="oneCell">
    <xdr:from>
      <xdr:col>0</xdr:col>
      <xdr:colOff>457200</xdr:colOff>
      <xdr:row>20</xdr:row>
      <xdr:rowOff>0</xdr:rowOff>
    </xdr:from>
    <xdr:to>
      <xdr:col>1</xdr:col>
      <xdr:colOff>140208</xdr:colOff>
      <xdr:row>21</xdr:row>
      <xdr:rowOff>94488</xdr:rowOff>
    </xdr:to>
    <xdr:pic>
      <xdr:nvPicPr>
        <xdr:cNvPr id="102" name="Graphic 101" descr="Branching diagram">
          <a:extLst>
            <a:ext uri="{FF2B5EF4-FFF2-40B4-BE49-F238E27FC236}">
              <a16:creationId xmlns:a16="http://schemas.microsoft.com/office/drawing/2014/main" id="{616A7EA2-0C9B-4C84-91AC-3B6EEC2C49D8}"/>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457200" y="3657600"/>
          <a:ext cx="292608" cy="277368"/>
        </a:xfrm>
        <a:prstGeom prst="rect">
          <a:avLst/>
        </a:prstGeom>
      </xdr:spPr>
    </xdr:pic>
    <xdr:clientData/>
  </xdr:twoCellAnchor>
  <xdr:twoCellAnchor editAs="oneCell">
    <xdr:from>
      <xdr:col>0</xdr:col>
      <xdr:colOff>464820</xdr:colOff>
      <xdr:row>22</xdr:row>
      <xdr:rowOff>22860</xdr:rowOff>
    </xdr:from>
    <xdr:to>
      <xdr:col>1</xdr:col>
      <xdr:colOff>147828</xdr:colOff>
      <xdr:row>23</xdr:row>
      <xdr:rowOff>117348</xdr:rowOff>
    </xdr:to>
    <xdr:pic>
      <xdr:nvPicPr>
        <xdr:cNvPr id="103" name="Graphic 102" descr="Braille">
          <a:extLst>
            <a:ext uri="{FF2B5EF4-FFF2-40B4-BE49-F238E27FC236}">
              <a16:creationId xmlns:a16="http://schemas.microsoft.com/office/drawing/2014/main" id="{F90BB857-F675-4F1A-A553-7F1B6FCCA7E2}"/>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464820" y="4046220"/>
          <a:ext cx="292608" cy="277368"/>
        </a:xfrm>
        <a:prstGeom prst="rect">
          <a:avLst/>
        </a:prstGeom>
      </xdr:spPr>
    </xdr:pic>
    <xdr:clientData/>
  </xdr:twoCellAnchor>
  <xdr:twoCellAnchor editAs="absolute">
    <xdr:from>
      <xdr:col>4</xdr:col>
      <xdr:colOff>236220</xdr:colOff>
      <xdr:row>5</xdr:row>
      <xdr:rowOff>53340</xdr:rowOff>
    </xdr:from>
    <xdr:to>
      <xdr:col>7</xdr:col>
      <xdr:colOff>272414</xdr:colOff>
      <xdr:row>7</xdr:row>
      <xdr:rowOff>34290</xdr:rowOff>
    </xdr:to>
    <xdr:sp macro="" textlink="country!A4">
      <xdr:nvSpPr>
        <xdr:cNvPr id="104" name="TextBox 103">
          <a:extLst>
            <a:ext uri="{FF2B5EF4-FFF2-40B4-BE49-F238E27FC236}">
              <a16:creationId xmlns:a16="http://schemas.microsoft.com/office/drawing/2014/main" id="{1C90F898-CE2C-4E8D-95DD-E7884B3002E6}"/>
            </a:ext>
          </a:extLst>
        </xdr:cNvPr>
        <xdr:cNvSpPr txBox="1"/>
      </xdr:nvSpPr>
      <xdr:spPr>
        <a:xfrm>
          <a:off x="2674620" y="967740"/>
          <a:ext cx="1864994" cy="346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C89952-AB45-49BB-A268-1217C909E7A7}" type="TxLink">
            <a:rPr lang="en-US" sz="1400" b="1" i="0" u="none" strike="noStrike">
              <a:solidFill>
                <a:srgbClr val="000000"/>
              </a:solidFill>
              <a:latin typeface="Calibri"/>
              <a:ea typeface="Calibri"/>
              <a:cs typeface="Calibri"/>
            </a:rPr>
            <a:pPr algn="ctr"/>
            <a:t>Canada</a:t>
          </a:fld>
          <a:endParaRPr lang="en-US" sz="1050" b="1">
            <a:solidFill>
              <a:srgbClr val="7030A0"/>
            </a:solidFill>
            <a:latin typeface="Arial" panose="020B0604020202020204" pitchFamily="34" charset="0"/>
            <a:cs typeface="Arial" panose="020B0604020202020204" pitchFamily="34" charset="0"/>
          </a:endParaRPr>
        </a:p>
      </xdr:txBody>
    </xdr:sp>
    <xdr:clientData/>
  </xdr:twoCellAnchor>
  <xdr:twoCellAnchor editAs="absolute">
    <xdr:from>
      <xdr:col>4</xdr:col>
      <xdr:colOff>205740</xdr:colOff>
      <xdr:row>6</xdr:row>
      <xdr:rowOff>144780</xdr:rowOff>
    </xdr:from>
    <xdr:to>
      <xdr:col>7</xdr:col>
      <xdr:colOff>241934</xdr:colOff>
      <xdr:row>8</xdr:row>
      <xdr:rowOff>125730</xdr:rowOff>
    </xdr:to>
    <xdr:sp macro="" textlink="">
      <xdr:nvSpPr>
        <xdr:cNvPr id="105" name="TextBox 104">
          <a:extLst>
            <a:ext uri="{FF2B5EF4-FFF2-40B4-BE49-F238E27FC236}">
              <a16:creationId xmlns:a16="http://schemas.microsoft.com/office/drawing/2014/main" id="{3150ECE0-EAA0-4E8B-91F4-52627591F1C5}"/>
            </a:ext>
          </a:extLst>
        </xdr:cNvPr>
        <xdr:cNvSpPr txBox="1"/>
      </xdr:nvSpPr>
      <xdr:spPr>
        <a:xfrm>
          <a:off x="2644140" y="1242060"/>
          <a:ext cx="1864994" cy="346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rgbClr val="7030A0"/>
              </a:solidFill>
              <a:latin typeface="Arial" panose="020B0604020202020204" pitchFamily="34" charset="0"/>
              <a:cs typeface="Arial" panose="020B0604020202020204" pitchFamily="34" charset="0"/>
            </a:rPr>
            <a:t>Top</a:t>
          </a:r>
          <a:r>
            <a:rPr lang="en-US" sz="900" b="1" baseline="0">
              <a:solidFill>
                <a:srgbClr val="7030A0"/>
              </a:solidFill>
              <a:latin typeface="Arial" panose="020B0604020202020204" pitchFamily="34" charset="0"/>
              <a:cs typeface="Arial" panose="020B0604020202020204" pitchFamily="34" charset="0"/>
            </a:rPr>
            <a:t> location for the selected filter(s)</a:t>
          </a:r>
          <a:endParaRPr lang="en-US" sz="900" b="1">
            <a:solidFill>
              <a:srgbClr val="7030A0"/>
            </a:solidFill>
            <a:latin typeface="Arial" panose="020B0604020202020204" pitchFamily="34" charset="0"/>
            <a:cs typeface="Arial" panose="020B060402020202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excel\new%20another%20project\sales%20dashboard\Online%20sales%20Dashboard.xlsm" TargetMode="External"/><Relationship Id="rId1" Type="http://schemas.openxmlformats.org/officeDocument/2006/relationships/externalLinkPath" Target="/excel/new%20another%20project/sales%20dashboard/Online%20sales%20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alysis"/>
      <sheetName val="Clearned data"/>
      <sheetName val="Raw data"/>
      <sheetName val="Dashboard"/>
    </sheetNames>
    <sheetDataSet>
      <sheetData sheetId="0"/>
      <sheetData sheetId="1"/>
      <sheetData sheetId="2"/>
      <sheetData sheetId="3"/>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ehul chafekar" refreshedDate="45521.863623726851" createdVersion="8" refreshedVersion="8" minRefreshableVersion="3" recordCount="998" xr:uid="{70B017E1-E7D9-4645-954D-ACDF25079E2D}">
  <cacheSource type="worksheet">
    <worksheetSource name="Table1_2"/>
  </cacheSource>
  <cacheFields count="14">
    <cacheField name="Transaction date with year" numFmtId="0">
      <sharedItems count="31">
        <s v="02-Jan 2009"/>
        <s v="04-Jan 2009"/>
        <s v="05-Jan 2009"/>
        <s v="06-Jan 2009"/>
        <s v="01-Jan 2009"/>
        <s v="07-Jan 2009"/>
        <s v="08-Jan 2009"/>
        <s v="03-Jan 2009"/>
        <s v="09-Jan 2009"/>
        <s v="10-Jan 2009"/>
        <s v="12-Jan 2009"/>
        <s v="11-Jan 2009"/>
        <s v="13-Jan 2009"/>
        <s v="14-Jan 2009"/>
        <s v="15-Jan 2009"/>
        <s v="16-Jan 2009"/>
        <s v="17-Jan 2009"/>
        <s v="18-Jan 2009"/>
        <s v="19-Jan 2009"/>
        <s v="20-Jan 2009"/>
        <s v="21-Jan 2009"/>
        <s v="22-Jan 2009"/>
        <s v="23-Jan 2009"/>
        <s v="25-Jan 2009"/>
        <s v="26-Jan 2009"/>
        <s v="24-Jan 2009"/>
        <s v="27-Jan 2009"/>
        <s v="28-Jan 2009"/>
        <s v="29-Jan 2009"/>
        <s v="30-Jan 2009"/>
        <s v="31-Jan 2009"/>
      </sharedItems>
    </cacheField>
    <cacheField name="Transaction date" numFmtId="165">
      <sharedItems containsSemiMixedTypes="0" containsNonDate="0" containsDate="1" containsString="0" minDate="2009-01-01T00:00:00" maxDate="2009-02-01T00:00:00"/>
    </cacheField>
    <cacheField name="year" numFmtId="0">
      <sharedItems containsSemiMixedTypes="0" containsString="0" containsNumber="1" containsInteger="1" minValue="2009" maxValue="2009"/>
    </cacheField>
    <cacheField name="Transaction time.1" numFmtId="166">
      <sharedItems containsSemiMixedTypes="0" containsNonDate="0" containsDate="1" containsString="0" minDate="1899-12-30T01:01:00" maxDate="1899-12-30T12:59:00" count="535">
        <d v="1899-12-30T04:53:00"/>
        <d v="1899-12-30T01:08:00"/>
        <d v="1899-12-30T12:56:00"/>
        <d v="1899-12-30T08:09:00"/>
        <d v="1899-12-30T02:42:00"/>
        <d v="1899-12-30T09:16:00"/>
        <d v="1899-12-30T10:08:00"/>
        <d v="1899-12-30T02:18:00"/>
        <d v="1899-12-30T07:35:00"/>
        <d v="1899-12-30T07:18:00"/>
        <d v="1899-12-30T02:24:00"/>
        <d v="1899-12-30T08:08:00"/>
        <d v="1899-12-30T08:21:00"/>
        <d v="1899-12-30T12:42:00"/>
        <d v="1899-12-30T03:56:00"/>
        <d v="1899-12-30T03:16:00"/>
        <d v="1899-12-30T09:03:00"/>
        <d v="1899-12-30T07:46:00"/>
        <d v="1899-12-30T04:24:00"/>
        <d v="1899-12-30T06:39:00"/>
        <d v="1899-12-30T10:19:00"/>
        <d v="1899-12-30T11:00:00"/>
        <d v="1899-12-30T07:44:00"/>
        <d v="1899-12-30T03:12:00"/>
        <d v="1899-12-30T08:15:00"/>
        <d v="1899-12-30T10:11:00"/>
        <d v="1899-12-30T12:57:00"/>
        <d v="1899-12-30T12:05:00"/>
        <d v="1899-12-30T02:56:00"/>
        <d v="1899-12-30T10:01:00"/>
        <d v="1899-12-30T01:26:00"/>
        <d v="1899-12-30T06:18:00"/>
        <d v="1899-12-30T03:25:00"/>
        <d v="1899-12-30T10:00:00"/>
        <d v="1899-12-30T06:13:00"/>
        <d v="1899-12-30T11:41:00"/>
        <d v="1899-12-30T07:50:00"/>
        <d v="1899-12-30T03:03:00"/>
        <d v="1899-12-30T11:26:00"/>
        <d v="1899-12-30T04:54:00"/>
        <d v="1899-12-30T01:56:00"/>
        <d v="1899-12-30T11:56:00"/>
        <d v="1899-12-30T07:32:00"/>
        <d v="1899-12-30T07:39:00"/>
        <d v="1899-12-30T02:40:00"/>
        <d v="1899-12-30T03:39:00"/>
        <d v="1899-12-30T05:21:00"/>
        <d v="1899-12-30T04:12:00"/>
        <d v="1899-12-30T10:48:00"/>
        <d v="1899-12-30T09:10:00"/>
        <d v="1899-12-30T10:44:00"/>
        <d v="1899-12-30T12:33:00"/>
        <d v="1899-12-30T11:35:00"/>
        <d v="1899-12-30T03:40:00"/>
        <d v="1899-12-30T11:08:00"/>
        <d v="1899-12-30T07:21:00"/>
        <d v="1899-12-30T09:56:00"/>
        <d v="1899-12-30T05:41:00"/>
        <d v="1899-12-30T05:33:00"/>
        <d v="1899-12-30T08:59:00"/>
        <d v="1899-12-30T12:19:00"/>
        <d v="1899-12-30T02:03:00"/>
        <d v="1899-12-30T12:37:00"/>
        <d v="1899-12-30T07:43:00"/>
        <d v="1899-12-30T04:22:00"/>
        <d v="1899-12-30T05:27:00"/>
        <d v="1899-12-30T05:02:00"/>
        <d v="1899-12-30T02:16:00"/>
        <d v="1899-12-30T11:53:00"/>
        <d v="1899-12-30T12:04:00"/>
        <d v="1899-12-30T07:54:00"/>
        <d v="1899-12-30T09:06:00"/>
        <d v="1899-12-30T06:32:00"/>
        <d v="1899-12-30T04:32:00"/>
        <d v="1899-12-30T05:04:00"/>
        <d v="1899-12-30T05:20:00"/>
        <d v="1899-12-30T05:39:00"/>
        <d v="1899-12-30T11:20:00"/>
        <d v="1899-12-30T04:50:00"/>
        <d v="1899-12-30T06:52:00"/>
        <d v="1899-12-30T11:17:00"/>
        <d v="1899-12-30T07:37:00"/>
        <d v="1899-12-30T06:21:00"/>
        <d v="1899-12-30T07:01:00"/>
        <d v="1899-12-30T08:07:00"/>
        <d v="1899-12-30T08:10:00"/>
        <d v="1899-12-30T05:45:00"/>
        <d v="1899-12-30T04:10:00"/>
        <d v="1899-12-30T04:55:00"/>
        <d v="1899-12-30T01:49:00"/>
        <d v="1899-12-30T05:47:00"/>
        <d v="1899-12-30T11:06:00"/>
        <d v="1899-12-30T10:52:00"/>
        <d v="1899-12-30T05:24:00"/>
        <d v="1899-12-30T06:03:00"/>
        <d v="1899-12-30T11:37:00"/>
        <d v="1899-12-30T10:42:00"/>
        <d v="1899-12-30T12:34:00"/>
        <d v="1899-12-30T07:47:00"/>
        <d v="1899-12-30T07:20:00"/>
        <d v="1899-12-30T08:33:00"/>
        <d v="1899-12-30T02:41:00"/>
        <d v="1899-12-30T12:45:00"/>
        <d v="1899-12-30T08:13:00"/>
        <d v="1899-12-30T02:15:00"/>
        <d v="1899-12-30T03:27:00"/>
        <d v="1899-12-30T02:06:00"/>
        <d v="1899-12-30T07:07:00"/>
        <d v="1899-12-30T06:27:00"/>
        <d v="1899-12-30T11:58:00"/>
        <d v="1899-12-30T07:09:00"/>
        <d v="1899-12-30T02:55:00"/>
        <d v="1899-12-30T10:29:00"/>
        <d v="1899-12-30T12:08:00"/>
        <d v="1899-12-30T06:41:00"/>
        <d v="1899-12-30T09:23:00"/>
        <d v="1899-12-30T08:23:00"/>
        <d v="1899-12-30T08:51:00"/>
        <d v="1899-12-30T08:34:00"/>
        <d v="1899-12-30T03:33:00"/>
        <d v="1899-12-30T08:14:00"/>
        <d v="1899-12-30T07:59:00"/>
        <d v="1899-12-30T02:39:00"/>
        <d v="1899-12-30T07:23:00"/>
        <d v="1899-12-30T03:02:00"/>
        <d v="1899-12-30T07:03:00"/>
        <d v="1899-12-30T02:02:00"/>
        <d v="1899-12-30T12:09:00"/>
        <d v="1899-12-30T09:52:00"/>
        <d v="1899-12-30T02:53:00"/>
        <d v="1899-12-30T04:37:00"/>
        <d v="1899-12-30T03:18:00"/>
        <d v="1899-12-30T01:06:00"/>
        <d v="1899-12-30T06:44:00"/>
        <d v="1899-12-30T08:58:00"/>
        <d v="1899-12-30T09:54:00"/>
        <d v="1899-12-30T10:22:00"/>
        <d v="1899-12-30T03:43:00"/>
        <d v="1899-12-30T01:16:00"/>
        <d v="1899-12-30T11:28:00"/>
        <d v="1899-12-30T04:30:00"/>
        <d v="1899-12-30T05:51:00"/>
        <d v="1899-12-30T08:16:00"/>
        <d v="1899-12-30T06:43:00"/>
        <d v="1899-12-30T06:25:00"/>
        <d v="1899-12-30T04:57:00"/>
        <d v="1899-12-30T07:08:00"/>
        <d v="1899-12-30T02:26:00"/>
        <d v="1899-12-30T08:11:00"/>
        <d v="1899-12-30T03:28:00"/>
        <d v="1899-12-30T06:34:00"/>
        <d v="1899-12-30T12:40:00"/>
        <d v="1899-12-30T07:31:00"/>
        <d v="1899-12-30T07:49:00"/>
        <d v="1899-12-30T10:35:00"/>
        <d v="1899-12-30T12:16:00"/>
        <d v="1899-12-30T12:31:00"/>
        <d v="1899-12-30T12:07:00"/>
        <d v="1899-12-30T12:55:00"/>
        <d v="1899-12-30T08:56:00"/>
        <d v="1899-12-30T05:54:00"/>
        <d v="1899-12-30T01:46:00"/>
        <d v="1899-12-30T10:49:00"/>
        <d v="1899-12-30T06:24:00"/>
        <d v="1899-12-30T04:01:00"/>
        <d v="1899-12-30T01:07:00"/>
        <d v="1899-12-30T05:43:00"/>
        <d v="1899-12-30T05:30:00"/>
        <d v="1899-12-30T06:08:00"/>
        <d v="1899-12-30T03:24:00"/>
        <d v="1899-12-30T12:28:00"/>
        <d v="1899-12-30T10:09:00"/>
        <d v="1899-12-30T03:08:00"/>
        <d v="1899-12-30T10:16:00"/>
        <d v="1899-12-30T12:22:00"/>
        <d v="1899-12-30T09:31:00"/>
        <d v="1899-12-30T10:32:00"/>
        <d v="1899-12-30T06:53:00"/>
        <d v="1899-12-30T11:38:00"/>
        <d v="1899-12-30T01:19:00"/>
        <d v="1899-12-30T08:36:00"/>
        <d v="1899-12-30T07:22:00"/>
        <d v="1899-12-30T02:07:00"/>
        <d v="1899-12-30T11:14:00"/>
        <d v="1899-12-30T09:57:00"/>
        <d v="1899-12-30T01:20:00"/>
        <d v="1899-12-30T06:09:00"/>
        <d v="1899-12-30T07:14:00"/>
        <d v="1899-12-30T11:05:00"/>
        <d v="1899-12-30T09:58:00"/>
        <d v="1899-12-30T02:50:00"/>
        <d v="1899-12-30T07:41:00"/>
        <d v="1899-12-30T09:41:00"/>
        <d v="1899-12-30T04:07:00"/>
        <d v="1899-12-30T08:44:00"/>
        <d v="1899-12-30T08:52:00"/>
        <d v="1899-12-30T07:12:00"/>
        <d v="1899-12-30T12:41:00"/>
        <d v="1899-12-30T09:36:00"/>
        <d v="1899-12-30T09:07:00"/>
        <d v="1899-12-30T11:54:00"/>
        <d v="1899-12-30T11:49:00"/>
        <d v="1899-12-30T09:35:00"/>
        <d v="1899-12-30T05:58:00"/>
        <d v="1899-12-30T04:08:00"/>
        <d v="1899-12-30T10:25:00"/>
        <d v="1899-12-30T08:43:00"/>
        <d v="1899-12-30T03:22:00"/>
        <d v="1899-12-30T06:01:00"/>
        <d v="1899-12-30T08:12:00"/>
        <d v="1899-12-30T08:05:00"/>
        <d v="1899-12-30T08:54:00"/>
        <d v="1899-12-30T07:29:00"/>
        <d v="1899-12-30T07:06:00"/>
        <d v="1899-12-30T11:33:00"/>
        <d v="1899-12-30T09:11:00"/>
        <d v="1899-12-30T05:28:00"/>
        <d v="1899-12-30T10:38:00"/>
        <d v="1899-12-30T02:04:00"/>
        <d v="1899-12-30T09:50:00"/>
        <d v="1899-12-30T01:13:00"/>
        <d v="1899-12-30T07:42:00"/>
        <d v="1899-12-30T03:48:00"/>
        <d v="1899-12-30T08:27:00"/>
        <d v="1899-12-30T06:35:00"/>
        <d v="1899-12-30T11:19:00"/>
        <d v="1899-12-30T04:29:00"/>
        <d v="1899-12-30T04:39:00"/>
        <d v="1899-12-30T03:00:00"/>
        <d v="1899-12-30T05:01:00"/>
        <d v="1899-12-30T02:37:00"/>
        <d v="1899-12-30T01:27:00"/>
        <d v="1899-12-30T10:33:00"/>
        <d v="1899-12-30T04:11:00"/>
        <d v="1899-12-30T03:57:00"/>
        <d v="1899-12-30T11:21:00"/>
        <d v="1899-12-30T09:00:00"/>
        <d v="1899-12-30T12:59:00"/>
        <d v="1899-12-30T07:28:00"/>
        <d v="1899-12-30T02:14:00"/>
        <d v="1899-12-30T09:45:00"/>
        <d v="1899-12-30T04:48:00"/>
        <d v="1899-12-30T06:26:00"/>
        <d v="1899-12-30T06:54:00"/>
        <d v="1899-12-30T06:02:00"/>
        <d v="1899-12-30T08:26:00"/>
        <d v="1899-12-30T04:17:00"/>
        <d v="1899-12-30T10:37:00"/>
        <d v="1899-12-30T06:00:00"/>
        <d v="1899-12-30T05:06:00"/>
        <d v="1899-12-30T06:55:00"/>
        <d v="1899-12-30T08:47:00"/>
        <d v="1899-12-30T09:26:00"/>
        <d v="1899-12-30T12:26:00"/>
        <d v="1899-12-30T09:42:00"/>
        <d v="1899-12-30T12:18:00"/>
        <d v="1899-12-30T05:42:00"/>
        <d v="1899-12-30T09:34:00"/>
        <d v="1899-12-30T01:23:00"/>
        <d v="1899-12-30T08:01:00"/>
        <d v="1899-12-30T12:32:00"/>
        <d v="1899-12-30T02:35:00"/>
        <d v="1899-12-30T10:02:00"/>
        <d v="1899-12-30T09:09:00"/>
        <d v="1899-12-30T11:18:00"/>
        <d v="1899-12-30T06:48:00"/>
        <d v="1899-12-30T06:07:00"/>
        <d v="1899-12-30T01:41:00"/>
        <d v="1899-12-30T08:28:00"/>
        <d v="1899-12-30T07:11:00"/>
        <d v="1899-12-30T08:45:00"/>
        <d v="1899-12-30T10:45:00"/>
        <d v="1899-12-30T08:50:00"/>
        <d v="1899-12-30T07:10:00"/>
        <d v="1899-12-30T06:51:00"/>
        <d v="1899-12-30T02:59:00"/>
        <d v="1899-12-30T03:42:00"/>
        <d v="1899-12-30T10:34:00"/>
        <d v="1899-12-30T04:02:00"/>
        <d v="1899-12-30T06:05:00"/>
        <d v="1899-12-30T10:07:00"/>
        <d v="1899-12-30T12:35:00"/>
        <d v="1899-12-30T04:56:00"/>
        <d v="1899-12-30T06:33:00"/>
        <d v="1899-12-30T11:43:00"/>
        <d v="1899-12-30T04:52:00"/>
        <d v="1899-12-30T05:48:00"/>
        <d v="1899-12-30T07:19:00"/>
        <d v="1899-12-30T05:52:00"/>
        <d v="1899-12-30T05:56:00"/>
        <d v="1899-12-30T08:00:00"/>
        <d v="1899-12-30T01:35:00"/>
        <d v="1899-12-30T01:30:00"/>
        <d v="1899-12-30T05:13:00"/>
        <d v="1899-12-30T10:59:00"/>
        <d v="1899-12-30T05:18:00"/>
        <d v="1899-12-30T03:38:00"/>
        <d v="1899-12-30T06:12:00"/>
        <d v="1899-12-30T01:55:00"/>
        <d v="1899-12-30T11:48:00"/>
        <d v="1899-12-30T03:20:00"/>
        <d v="1899-12-30T07:04:00"/>
        <d v="1899-12-30T04:16:00"/>
        <d v="1899-12-30T12:43:00"/>
        <d v="1899-12-30T06:20:00"/>
        <d v="1899-12-30T04:23:00"/>
        <d v="1899-12-30T06:38:00"/>
        <d v="1899-12-30T01:25:00"/>
        <d v="1899-12-30T06:57:00"/>
        <d v="1899-12-30T07:13:00"/>
        <d v="1899-12-30T08:57:00"/>
        <d v="1899-12-30T09:12:00"/>
        <d v="1899-12-30T03:09:00"/>
        <d v="1899-12-30T09:49:00"/>
        <d v="1899-12-30T12:00:00"/>
        <d v="1899-12-30T10:18:00"/>
        <d v="1899-12-30T02:57:00"/>
        <d v="1899-12-30T06:10:00"/>
        <d v="1899-12-30T06:14:00"/>
        <d v="1899-12-30T12:10:00"/>
        <d v="1899-12-30T07:26:00"/>
        <d v="1899-12-30T05:40:00"/>
        <d v="1899-12-30T10:31:00"/>
        <d v="1899-12-30T04:44:00"/>
        <d v="1899-12-30T10:27:00"/>
        <d v="1899-12-30T05:19:00"/>
        <d v="1899-12-30T05:38:00"/>
        <d v="1899-12-30T07:30:00"/>
        <d v="1899-12-30T08:41:00"/>
        <d v="1899-12-30T03:35:00"/>
        <d v="1899-12-30T11:24:00"/>
        <d v="1899-12-30T11:23:00"/>
        <d v="1899-12-30T08:55:00"/>
        <d v="1899-12-30T09:40:00"/>
        <d v="1899-12-30T11:03:00"/>
        <d v="1899-12-30T07:55:00"/>
        <d v="1899-12-30T05:55:00"/>
        <d v="1899-12-30T12:54:00"/>
        <d v="1899-12-30T09:32:00"/>
        <d v="1899-12-30T06:11:00"/>
        <d v="1899-12-30T10:50:00"/>
        <d v="1899-12-30T08:38:00"/>
        <d v="1899-12-30T06:15:00"/>
        <d v="1899-12-30T09:19:00"/>
        <d v="1899-12-30T10:04:00"/>
        <d v="1899-12-30T09:30:00"/>
        <d v="1899-12-30T06:17:00"/>
        <d v="1899-12-30T07:45:00"/>
        <d v="1899-12-30T03:58:00"/>
        <d v="1899-12-30T10:24:00"/>
        <d v="1899-12-30T03:32:00"/>
        <d v="1899-12-30T11:34:00"/>
        <d v="1899-12-30T04:38:00"/>
        <d v="1899-12-30T11:12:00"/>
        <d v="1899-12-30T03:11:00"/>
        <d v="1899-12-30T05:50:00"/>
        <d v="1899-12-30T08:29:00"/>
        <d v="1899-12-30T04:18:00"/>
        <d v="1899-12-30T09:01:00"/>
        <d v="1899-12-30T03:59:00"/>
        <d v="1899-12-30T09:21:00"/>
        <d v="1899-12-30T11:36:00"/>
        <d v="1899-12-30T04:45:00"/>
        <d v="1899-12-30T05:10:00"/>
        <d v="1899-12-30T05:14:00"/>
        <d v="1899-12-30T08:20:00"/>
        <d v="1899-12-30T11:31:00"/>
        <d v="1899-12-30T03:26:00"/>
        <d v="1899-12-30T10:23:00"/>
        <d v="1899-12-30T04:00:00"/>
        <d v="1899-12-30T12:47:00"/>
        <d v="1899-12-30T02:32:00"/>
        <d v="1899-12-30T01:36:00"/>
        <d v="1899-12-30T11:42:00"/>
        <d v="1899-12-30T01:28:00"/>
        <d v="1899-12-30T03:23:00"/>
        <d v="1899-12-30T05:11:00"/>
        <d v="1899-12-30T10:13:00"/>
        <d v="1899-12-30T03:29:00"/>
        <d v="1899-12-30T12:53:00"/>
        <d v="1899-12-30T02:46:00"/>
        <d v="1899-12-30T04:05:00"/>
        <d v="1899-12-30T06:50:00"/>
        <d v="1899-12-30T05:53:00"/>
        <d v="1899-12-30T03:19:00"/>
        <d v="1899-12-30T09:48:00"/>
        <d v="1899-12-30T04:34:00"/>
        <d v="1899-12-30T08:48:00"/>
        <d v="1899-12-30T01:38:00"/>
        <d v="1899-12-30T02:27:00"/>
        <d v="1899-12-30T03:15:00"/>
        <d v="1899-12-30T09:27:00"/>
        <d v="1899-12-30T11:45:00"/>
        <d v="1899-12-30T09:28:00"/>
        <d v="1899-12-30T02:25:00"/>
        <d v="1899-12-30T11:55:00"/>
        <d v="1899-12-30T08:46:00"/>
        <d v="1899-12-30T12:50:00"/>
        <d v="1899-12-30T12:38:00"/>
        <d v="1899-12-30T06:06:00"/>
        <d v="1899-12-30T01:59:00"/>
        <d v="1899-12-30T12:12:00"/>
        <d v="1899-12-30T01:52:00"/>
        <d v="1899-12-30T06:30:00"/>
        <d v="1899-12-30T12:25:00"/>
        <d v="1899-12-30T10:05:00"/>
        <d v="1899-12-30T01:01:00"/>
        <d v="1899-12-30T01:54:00"/>
        <d v="1899-12-30T02:44:00"/>
        <d v="1899-12-30T11:52:00"/>
        <d v="1899-12-30T03:45:00"/>
        <d v="1899-12-30T02:20:00"/>
        <d v="1899-12-30T01:50:00"/>
        <d v="1899-12-30T01:09:00"/>
        <d v="1899-12-30T02:36:00"/>
        <d v="1899-12-30T06:37:00"/>
        <d v="1899-12-30T02:49:00"/>
        <d v="1899-12-30T05:12:00"/>
        <d v="1899-12-30T03:55:00"/>
        <d v="1899-12-30T01:15:00"/>
        <d v="1899-12-30T02:48:00"/>
        <d v="1899-12-30T02:05:00"/>
        <d v="1899-12-30T11:16:00"/>
        <d v="1899-12-30T11:02:00"/>
        <d v="1899-12-30T01:14:00"/>
        <d v="1899-12-30T05:15:00"/>
        <d v="1899-12-30T01:51:00"/>
        <d v="1899-12-30T01:53:00"/>
        <d v="1899-12-30T11:10:00"/>
        <d v="1899-12-30T04:15:00"/>
        <d v="1899-12-30T02:09:00"/>
        <d v="1899-12-30T04:03:00"/>
        <d v="1899-12-30T02:22:00"/>
        <d v="1899-12-30T10:51:00"/>
        <d v="1899-12-30T04:35:00"/>
        <d v="1899-12-30T09:14:00"/>
        <d v="1899-12-30T10:47:00"/>
        <d v="1899-12-30T04:21:00"/>
        <d v="1899-12-30T02:43:00"/>
        <d v="1899-12-30T01:57:00"/>
        <d v="1899-12-30T01:17:00"/>
        <d v="1899-12-30T03:51:00"/>
        <d v="1899-12-30T12:27:00"/>
        <d v="1899-12-30T03:30:00"/>
        <d v="1899-12-30T02:38:00"/>
        <d v="1899-12-30T07:58:00"/>
        <d v="1899-12-30T12:14:00"/>
        <d v="1899-12-30T12:23:00"/>
        <d v="1899-12-30T03:41:00"/>
        <d v="1899-12-30T12:15:00"/>
        <d v="1899-12-30T01:33:00"/>
        <d v="1899-12-30T05:36:00"/>
        <d v="1899-12-30T12:20:00"/>
        <d v="1899-12-30T12:06:00"/>
        <d v="1899-12-30T01:42:00"/>
        <d v="1899-12-30T09:18:00"/>
        <d v="1899-12-30T05:57:00"/>
        <d v="1899-12-30T06:29:00"/>
        <d v="1899-12-30T12:39:00"/>
        <d v="1899-12-30T06:23:00"/>
        <d v="1899-12-30T01:22:00"/>
        <d v="1899-12-30T07:56:00"/>
        <d v="1899-12-30T01:05:00"/>
        <d v="1899-12-30T04:47:00"/>
        <d v="1899-12-30T03:47:00"/>
        <d v="1899-12-30T06:46:00"/>
        <d v="1899-12-30T02:47:00"/>
        <d v="1899-12-30T03:13:00"/>
        <d v="1899-12-30T12:46:00"/>
        <d v="1899-12-30T01:43:00"/>
        <d v="1899-12-30T12:02:00"/>
        <d v="1899-12-30T08:31:00"/>
        <d v="1899-12-30T05:09:00"/>
        <d v="1899-12-30T09:43:00"/>
        <d v="1899-12-30T04:04:00"/>
        <d v="1899-12-30T10:06:00"/>
        <d v="1899-12-30T06:49:00"/>
        <d v="1899-12-30T06:04:00"/>
        <d v="1899-12-30T07:40:00"/>
        <d v="1899-12-30T02:11:00"/>
        <d v="1899-12-30T05:07:00"/>
        <d v="1899-12-30T03:49:00"/>
        <d v="1899-12-30T01:12:00"/>
        <d v="1899-12-30T01:11:00"/>
        <d v="1899-12-30T02:17:00"/>
        <d v="1899-12-30T01:24:00"/>
        <d v="1899-12-30T10:58:00"/>
        <d v="1899-12-30T03:36:00"/>
        <d v="1899-12-30T04:46:00"/>
        <d v="1899-12-30T12:17:00"/>
        <d v="1899-12-30T12:51:00"/>
        <d v="1899-12-30T11:44:00"/>
        <d v="1899-12-30T09:37:00"/>
        <d v="1899-12-30T08:02:00"/>
        <d v="1899-12-30T09:38:00"/>
        <d v="1899-12-30T08:39:00"/>
        <d v="1899-12-30T08:22:00"/>
        <d v="1899-12-30T08:32:00"/>
        <d v="1899-12-30T01:34:00"/>
        <d v="1899-12-30T09:13:00"/>
        <d v="1899-12-30T12:49:00"/>
        <d v="1899-12-30T09:02:00"/>
        <d v="1899-12-30T02:19:00"/>
        <d v="1899-12-30T09:51:00"/>
        <d v="1899-12-30T07:25:00"/>
        <d v="1899-12-30T03:07:00"/>
        <d v="1899-12-30T09:55:00"/>
        <d v="1899-12-30T08:03:00"/>
        <d v="1899-12-30T09:08:00"/>
        <d v="1899-12-30T01:03:00"/>
        <d v="1899-12-30T08:18:00"/>
        <d v="1899-12-30T11:40:00"/>
        <d v="1899-12-30T08:35:00"/>
        <d v="1899-12-30T08:25:00"/>
        <d v="1899-12-30T09:53:00"/>
        <d v="1899-12-30T09:15:00"/>
        <d v="1899-12-30T10:26:00"/>
        <d v="1899-12-30T10:14:00"/>
        <d v="1899-12-30T05:23:00"/>
        <d v="1899-12-30T12:03:00"/>
        <d v="1899-12-30T11:09:00"/>
        <d v="1899-12-30T01:44:00"/>
        <d v="1899-12-30T02:08:00"/>
        <d v="1899-12-30T06:31:00"/>
        <d v="1899-12-30T06:40:00"/>
        <d v="1899-12-30T02:34:00"/>
        <d v="1899-12-30T01:37:00"/>
        <d v="1899-12-30T02:51:00"/>
        <d v="1899-12-30T06:36:00"/>
        <d v="1899-12-30T02:28:00"/>
        <d v="1899-12-30T10:03:00"/>
        <d v="1899-12-30T03:46:00"/>
        <d v="1899-12-30T04:59:00"/>
        <d v="1899-12-30T05:34:00"/>
        <d v="1899-12-30T07:48:00"/>
      </sharedItems>
      <fieldGroup par="13"/>
    </cacheField>
    <cacheField name="Time range" numFmtId="0">
      <sharedItems count="2">
        <s v="AM"/>
        <s v="PM"/>
      </sharedItems>
    </cacheField>
    <cacheField name="Product" numFmtId="0">
      <sharedItems count="3">
        <s v="Product1"/>
        <s v="Product2"/>
        <s v="Product3"/>
      </sharedItems>
    </cacheField>
    <cacheField name="Sales" numFmtId="0">
      <sharedItems containsSemiMixedTypes="0" containsString="0" containsNumber="1" containsInteger="1" minValue="250" maxValue="300000"/>
    </cacheField>
    <cacheField name="Payment_Type" numFmtId="0">
      <sharedItems count="3">
        <s v="Visa"/>
        <s v="Mastercard"/>
        <s v="Amex"/>
      </sharedItems>
    </cacheField>
    <cacheField name="Buyers name" numFmtId="0">
      <sharedItems/>
    </cacheField>
    <cacheField name="City" numFmtId="0">
      <sharedItems/>
    </cacheField>
    <cacheField name="Country" numFmtId="0">
      <sharedItems count="56">
        <s v="United States"/>
        <s v="United Kingdom"/>
        <s v="United Arab Emirates"/>
        <s v="Ukraine"/>
        <s v="Turkey"/>
        <s v="The Bahamas"/>
        <s v="Thailand"/>
        <s v="Switzerland"/>
        <s v="Sweden"/>
        <s v="Spain"/>
        <s v="South Korea"/>
        <s v="South Africa"/>
        <s v="Russia"/>
        <s v="Romania"/>
        <s v="Poland"/>
        <s v="Philippines"/>
        <s v="Norway"/>
        <s v="New Zealand"/>
        <s v="Netherlands"/>
        <s v="Monaco"/>
        <s v="Moldova"/>
        <s v="Mauritius"/>
        <s v="Malta"/>
        <s v="Malaysia"/>
        <s v="Luxembourg"/>
        <s v="Latvia"/>
        <s v="Kuwait"/>
        <s v="Jersey"/>
        <s v="Japan"/>
        <s v="Italy"/>
        <s v="Israel"/>
        <s v="Ireland"/>
        <s v="India"/>
        <s v="Iceland"/>
        <s v="Hungary"/>
        <s v="Hong Kong"/>
        <s v="Guatemala"/>
        <s v="Greece"/>
        <s v="Germany"/>
        <s v="France"/>
        <s v="Finland"/>
        <s v="Dominican Republic"/>
        <s v="Denmark"/>
        <s v="Czech Republic"/>
        <s v="Costa Rica"/>
        <s v="China"/>
        <s v="Cayman Isls"/>
        <s v="Canada"/>
        <s v="Bulgaria"/>
        <s v="Brazil"/>
        <s v="Bermuda"/>
        <s v="Belgium"/>
        <s v="Bahrain"/>
        <s v="Austria"/>
        <s v="Australia"/>
        <s v="Argentina"/>
      </sharedItems>
    </cacheField>
    <cacheField name="Weekdays" numFmtId="164">
      <sharedItems containsSemiMixedTypes="0" containsNonDate="0" containsDate="1" containsString="0" minDate="1899-12-31T00:00:00" maxDate="1900-01-07T00:00:00" count="7">
        <d v="1900-01-05T00:00:00"/>
        <d v="1899-12-31T00:00:00"/>
        <d v="1900-01-01T00:00:00"/>
        <d v="1900-01-02T00:00:00"/>
        <d v="1900-01-04T00:00:00"/>
        <d v="1900-01-03T00:00:00"/>
        <d v="1900-01-06T00:00:00"/>
      </sharedItems>
    </cacheField>
    <cacheField name="Minutes (Transaction time.1)" numFmtId="0" databaseField="0">
      <fieldGroup base="3">
        <rangePr groupBy="minutes" startDate="1899-12-30T01:01:00" endDate="1899-12-30T12:59:00"/>
        <groupItems count="62">
          <s v="&lt;0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1900"/>
        </groupItems>
      </fieldGroup>
    </cacheField>
    <cacheField name="Hours (Transaction time.1)" numFmtId="0" databaseField="0">
      <fieldGroup base="3">
        <rangePr groupBy="hours" startDate="1899-12-30T01:01:00" endDate="1899-12-30T12:59:00"/>
        <groupItems count="26">
          <s v="&lt;00-01-1900"/>
          <s v="12 AM"/>
          <s v="1 AM"/>
          <s v="2 AM"/>
          <s v="3 AM"/>
          <s v="4 AM"/>
          <s v="5 AM"/>
          <s v="6 AM"/>
          <s v="7 AM"/>
          <s v="8 AM"/>
          <s v="9 AM"/>
          <s v="10 AM"/>
          <s v="11 AM"/>
          <s v="12 PM"/>
          <s v="1 PM"/>
          <s v="2 PM"/>
          <s v="3 PM"/>
          <s v="4 PM"/>
          <s v="5 PM"/>
          <s v="6 PM"/>
          <s v="7 PM"/>
          <s v="8 PM"/>
          <s v="9 PM"/>
          <s v="10 PM"/>
          <s v="11 PM"/>
          <s v="&gt;00-01-1900"/>
        </groupItems>
      </fieldGroup>
    </cacheField>
  </cacheFields>
  <extLst>
    <ext xmlns:x14="http://schemas.microsoft.com/office/spreadsheetml/2009/9/main" uri="{725AE2AE-9491-48be-B2B4-4EB974FC3084}">
      <x14:pivotCacheDefinition pivotCacheId="8530293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8">
  <r>
    <x v="0"/>
    <d v="2009-01-02T00:00:00"/>
    <n v="2009"/>
    <x v="0"/>
    <x v="0"/>
    <x v="0"/>
    <n v="1200"/>
    <x v="0"/>
    <s v="Betina"/>
    <s v="Parkville"/>
    <x v="0"/>
    <x v="0"/>
  </r>
  <r>
    <x v="0"/>
    <d v="2009-01-02T00:00:00"/>
    <n v="2009"/>
    <x v="1"/>
    <x v="0"/>
    <x v="0"/>
    <n v="1200"/>
    <x v="1"/>
    <s v="Federica e Andrea"/>
    <s v="Astoria"/>
    <x v="0"/>
    <x v="0"/>
  </r>
  <r>
    <x v="1"/>
    <d v="2009-01-04T00:00:00"/>
    <n v="2009"/>
    <x v="2"/>
    <x v="1"/>
    <x v="1"/>
    <n v="3600"/>
    <x v="0"/>
    <s v="Gerd W"/>
    <s v="Cahaba Heights"/>
    <x v="0"/>
    <x v="1"/>
  </r>
  <r>
    <x v="2"/>
    <d v="2009-01-05T00:00:00"/>
    <n v="2009"/>
    <x v="2"/>
    <x v="1"/>
    <x v="0"/>
    <n v="1200"/>
    <x v="0"/>
    <s v="LAURENCE"/>
    <s v="Mickleton"/>
    <x v="0"/>
    <x v="2"/>
  </r>
  <r>
    <x v="3"/>
    <d v="2009-01-06T00:00:00"/>
    <n v="2009"/>
    <x v="2"/>
    <x v="1"/>
    <x v="0"/>
    <n v="1200"/>
    <x v="1"/>
    <s v="Fleur"/>
    <s v="Peoria"/>
    <x v="0"/>
    <x v="3"/>
  </r>
  <r>
    <x v="0"/>
    <d v="2009-01-02T00:00:00"/>
    <n v="2009"/>
    <x v="3"/>
    <x v="0"/>
    <x v="0"/>
    <n v="1200"/>
    <x v="1"/>
    <s v="adam"/>
    <s v="Martin"/>
    <x v="0"/>
    <x v="0"/>
  </r>
  <r>
    <x v="2"/>
    <d v="2009-01-05T00:00:00"/>
    <n v="2009"/>
    <x v="4"/>
    <x v="0"/>
    <x v="0"/>
    <n v="1200"/>
    <x v="0"/>
    <s v="Stacy"/>
    <s v="New York"/>
    <x v="0"/>
    <x v="2"/>
  </r>
  <r>
    <x v="0"/>
    <d v="2009-01-02T00:00:00"/>
    <n v="2009"/>
    <x v="5"/>
    <x v="0"/>
    <x v="0"/>
    <n v="1200"/>
    <x v="1"/>
    <s v="Sean"/>
    <s v="Shavano Park"/>
    <x v="0"/>
    <x v="0"/>
  </r>
  <r>
    <x v="2"/>
    <d v="2009-01-05T00:00:00"/>
    <n v="2009"/>
    <x v="6"/>
    <x v="0"/>
    <x v="0"/>
    <n v="1200"/>
    <x v="0"/>
    <s v="Georgia"/>
    <s v="Eagle"/>
    <x v="0"/>
    <x v="2"/>
  </r>
  <r>
    <x v="0"/>
    <d v="2009-01-02T00:00:00"/>
    <n v="2009"/>
    <x v="7"/>
    <x v="0"/>
    <x v="0"/>
    <n v="1200"/>
    <x v="0"/>
    <s v="Richard"/>
    <s v="Riverside"/>
    <x v="0"/>
    <x v="0"/>
  </r>
  <r>
    <x v="0"/>
    <d v="2009-01-02T00:00:00"/>
    <n v="2009"/>
    <x v="8"/>
    <x v="0"/>
    <x v="0"/>
    <n v="1200"/>
    <x v="0"/>
    <s v="Hani"/>
    <s v="Salt Lake City"/>
    <x v="0"/>
    <x v="0"/>
  </r>
  <r>
    <x v="3"/>
    <d v="2009-01-06T00:00:00"/>
    <n v="2009"/>
    <x v="9"/>
    <x v="0"/>
    <x v="0"/>
    <n v="1200"/>
    <x v="0"/>
    <s v="asuman"/>
    <s v="Chula Vista"/>
    <x v="0"/>
    <x v="3"/>
  </r>
  <r>
    <x v="4"/>
    <d v="2009-01-01T00:00:00"/>
    <n v="2009"/>
    <x v="10"/>
    <x v="0"/>
    <x v="0"/>
    <n v="1200"/>
    <x v="0"/>
    <s v="Lisa"/>
    <s v="Sugar Land"/>
    <x v="0"/>
    <x v="4"/>
  </r>
  <r>
    <x v="5"/>
    <d v="2009-01-07T00:00:00"/>
    <n v="2009"/>
    <x v="11"/>
    <x v="0"/>
    <x v="0"/>
    <n v="1200"/>
    <x v="0"/>
    <s v="Bryan Kerrene"/>
    <s v="New York"/>
    <x v="0"/>
    <x v="5"/>
  </r>
  <r>
    <x v="4"/>
    <d v="2009-01-01T00:00:00"/>
    <n v="2009"/>
    <x v="12"/>
    <x v="0"/>
    <x v="0"/>
    <n v="1200"/>
    <x v="0"/>
    <s v="Maxine"/>
    <s v="Morton"/>
    <x v="0"/>
    <x v="4"/>
  </r>
  <r>
    <x v="6"/>
    <d v="2009-01-08T00:00:00"/>
    <n v="2009"/>
    <x v="13"/>
    <x v="1"/>
    <x v="0"/>
    <n v="1200"/>
    <x v="0"/>
    <s v="Family"/>
    <s v="Los Gatos"/>
    <x v="0"/>
    <x v="4"/>
  </r>
  <r>
    <x v="6"/>
    <d v="2009-01-08T00:00:00"/>
    <n v="2009"/>
    <x v="14"/>
    <x v="0"/>
    <x v="0"/>
    <n v="1200"/>
    <x v="1"/>
    <s v="Katherine"/>
    <s v="New York"/>
    <x v="0"/>
    <x v="4"/>
  </r>
  <r>
    <x v="6"/>
    <d v="2009-01-08T00:00:00"/>
    <n v="2009"/>
    <x v="15"/>
    <x v="0"/>
    <x v="0"/>
    <n v="1200"/>
    <x v="1"/>
    <s v="Linda"/>
    <s v="Miami"/>
    <x v="0"/>
    <x v="4"/>
  </r>
  <r>
    <x v="7"/>
    <d v="2009-01-03T00:00:00"/>
    <n v="2009"/>
    <x v="16"/>
    <x v="0"/>
    <x v="0"/>
    <n v="1200"/>
    <x v="0"/>
    <s v="Sheila"/>
    <s v="Brooklyn"/>
    <x v="0"/>
    <x v="6"/>
  </r>
  <r>
    <x v="3"/>
    <d v="2009-01-06T00:00:00"/>
    <n v="2009"/>
    <x v="17"/>
    <x v="0"/>
    <x v="2"/>
    <n v="1200"/>
    <x v="2"/>
    <s v="Kelly"/>
    <s v="Reston"/>
    <x v="0"/>
    <x v="3"/>
  </r>
  <r>
    <x v="6"/>
    <d v="2009-01-08T00:00:00"/>
    <n v="2009"/>
    <x v="18"/>
    <x v="0"/>
    <x v="0"/>
    <n v="1200"/>
    <x v="0"/>
    <s v="jennifer"/>
    <s v="Phoenix"/>
    <x v="0"/>
    <x v="4"/>
  </r>
  <r>
    <x v="8"/>
    <d v="2009-01-09T00:00:00"/>
    <n v="2009"/>
    <x v="19"/>
    <x v="0"/>
    <x v="0"/>
    <n v="1200"/>
    <x v="1"/>
    <s v="Anneli"/>
    <s v="Houston"/>
    <x v="0"/>
    <x v="0"/>
  </r>
  <r>
    <x v="3"/>
    <d v="2009-01-06T00:00:00"/>
    <n v="2009"/>
    <x v="20"/>
    <x v="0"/>
    <x v="2"/>
    <n v="3600"/>
    <x v="2"/>
    <s v="Ritz"/>
    <s v="Pittsfield"/>
    <x v="0"/>
    <x v="3"/>
  </r>
  <r>
    <x v="3"/>
    <d v="2009-01-06T00:00:00"/>
    <n v="2009"/>
    <x v="21"/>
    <x v="0"/>
    <x v="2"/>
    <n v="3600"/>
    <x v="2"/>
    <s v="Sylvia"/>
    <s v="Pittsfield"/>
    <x v="0"/>
    <x v="3"/>
  </r>
  <r>
    <x v="5"/>
    <d v="2009-01-07T00:00:00"/>
    <n v="2009"/>
    <x v="22"/>
    <x v="0"/>
    <x v="0"/>
    <n v="1200"/>
    <x v="1"/>
    <s v="Marie"/>
    <s v="Ball Ground"/>
    <x v="0"/>
    <x v="5"/>
  </r>
  <r>
    <x v="5"/>
    <d v="2009-01-07T00:00:00"/>
    <n v="2009"/>
    <x v="23"/>
    <x v="0"/>
    <x v="1"/>
    <n v="3600"/>
    <x v="0"/>
    <s v="Anabela"/>
    <s v="Flossmoor"/>
    <x v="0"/>
    <x v="5"/>
  </r>
  <r>
    <x v="5"/>
    <d v="2009-01-07T00:00:00"/>
    <n v="2009"/>
    <x v="24"/>
    <x v="0"/>
    <x v="2"/>
    <n v="1200"/>
    <x v="2"/>
    <s v="Nicole"/>
    <s v="Houston"/>
    <x v="0"/>
    <x v="5"/>
  </r>
  <r>
    <x v="7"/>
    <d v="2009-01-03T00:00:00"/>
    <n v="2009"/>
    <x v="25"/>
    <x v="0"/>
    <x v="1"/>
    <n v="3600"/>
    <x v="0"/>
    <s v="Christiane"/>
    <s v="Delray Beach"/>
    <x v="0"/>
    <x v="6"/>
  </r>
  <r>
    <x v="9"/>
    <d v="2009-01-10T00:00:00"/>
    <n v="2009"/>
    <x v="26"/>
    <x v="1"/>
    <x v="2"/>
    <n v="1200"/>
    <x v="2"/>
    <s v="Vanessa"/>
    <s v="Sandy Springs"/>
    <x v="0"/>
    <x v="6"/>
  </r>
  <r>
    <x v="9"/>
    <d v="2009-01-10T00:00:00"/>
    <n v="2009"/>
    <x v="27"/>
    <x v="1"/>
    <x v="0"/>
    <n v="1200"/>
    <x v="0"/>
    <s v="Karina"/>
    <s v="Fort Lauderdale"/>
    <x v="0"/>
    <x v="6"/>
  </r>
  <r>
    <x v="9"/>
    <d v="2009-01-10T00:00:00"/>
    <n v="2009"/>
    <x v="28"/>
    <x v="0"/>
    <x v="0"/>
    <n v="1200"/>
    <x v="0"/>
    <s v="Angela"/>
    <s v="Ankeny"/>
    <x v="0"/>
    <x v="6"/>
  </r>
  <r>
    <x v="5"/>
    <d v="2009-01-07T00:00:00"/>
    <n v="2009"/>
    <x v="29"/>
    <x v="0"/>
    <x v="0"/>
    <n v="1200"/>
    <x v="0"/>
    <s v="Darren"/>
    <s v="Pittsboro"/>
    <x v="0"/>
    <x v="5"/>
  </r>
  <r>
    <x v="4"/>
    <d v="2009-01-01T00:00:00"/>
    <n v="2009"/>
    <x v="30"/>
    <x v="0"/>
    <x v="0"/>
    <n v="1200"/>
    <x v="1"/>
    <s v="Nikki"/>
    <s v="New Rochelle"/>
    <x v="0"/>
    <x v="4"/>
  </r>
  <r>
    <x v="5"/>
    <d v="2009-01-07T00:00:00"/>
    <n v="2009"/>
    <x v="31"/>
    <x v="0"/>
    <x v="0"/>
    <n v="1200"/>
    <x v="1"/>
    <s v="June"/>
    <s v="Beachwood"/>
    <x v="0"/>
    <x v="5"/>
  </r>
  <r>
    <x v="10"/>
    <d v="2009-01-12T00:00:00"/>
    <n v="2009"/>
    <x v="32"/>
    <x v="0"/>
    <x v="0"/>
    <n v="1200"/>
    <x v="1"/>
    <s v="chrissy"/>
    <s v="W Lebanon"/>
    <x v="0"/>
    <x v="2"/>
  </r>
  <r>
    <x v="6"/>
    <d v="2009-01-08T00:00:00"/>
    <n v="2009"/>
    <x v="15"/>
    <x v="0"/>
    <x v="0"/>
    <n v="1200"/>
    <x v="0"/>
    <s v="Dottie"/>
    <s v="Woodsboro"/>
    <x v="0"/>
    <x v="4"/>
  </r>
  <r>
    <x v="0"/>
    <d v="2009-01-02T00:00:00"/>
    <n v="2009"/>
    <x v="33"/>
    <x v="0"/>
    <x v="0"/>
    <n v="1200"/>
    <x v="0"/>
    <s v="Lynne"/>
    <s v="Memphis"/>
    <x v="0"/>
    <x v="0"/>
  </r>
  <r>
    <x v="11"/>
    <d v="2009-01-11T00:00:00"/>
    <n v="2009"/>
    <x v="1"/>
    <x v="0"/>
    <x v="0"/>
    <n v="1200"/>
    <x v="0"/>
    <s v="Rosa Maria"/>
    <s v="Cincinnati"/>
    <x v="0"/>
    <x v="1"/>
  </r>
  <r>
    <x v="12"/>
    <d v="2009-01-13T00:00:00"/>
    <n v="2009"/>
    <x v="34"/>
    <x v="0"/>
    <x v="0"/>
    <n v="1200"/>
    <x v="0"/>
    <s v="Gitte"/>
    <s v="Staten Island"/>
    <x v="0"/>
    <x v="3"/>
  </r>
  <r>
    <x v="0"/>
    <d v="2009-01-02T00:00:00"/>
    <n v="2009"/>
    <x v="35"/>
    <x v="0"/>
    <x v="0"/>
    <n v="1200"/>
    <x v="0"/>
    <s v="Crystal"/>
    <s v="Farmington"/>
    <x v="0"/>
    <x v="0"/>
  </r>
  <r>
    <x v="5"/>
    <d v="2009-01-07T00:00:00"/>
    <n v="2009"/>
    <x v="36"/>
    <x v="0"/>
    <x v="0"/>
    <n v="1200"/>
    <x v="0"/>
    <s v="Delphine"/>
    <s v="Santa Monica"/>
    <x v="0"/>
    <x v="5"/>
  </r>
  <r>
    <x v="10"/>
    <d v="2009-01-12T00:00:00"/>
    <n v="2009"/>
    <x v="37"/>
    <x v="0"/>
    <x v="1"/>
    <n v="3600"/>
    <x v="1"/>
    <s v="Valda"/>
    <s v="Irvine"/>
    <x v="0"/>
    <x v="2"/>
  </r>
  <r>
    <x v="12"/>
    <d v="2009-01-13T00:00:00"/>
    <n v="2009"/>
    <x v="38"/>
    <x v="0"/>
    <x v="0"/>
    <n v="1200"/>
    <x v="0"/>
    <s v="Clare"/>
    <s v="Keller"/>
    <x v="0"/>
    <x v="3"/>
  </r>
  <r>
    <x v="13"/>
    <d v="2009-01-14T00:00:00"/>
    <n v="2009"/>
    <x v="39"/>
    <x v="0"/>
    <x v="0"/>
    <n v="1200"/>
    <x v="1"/>
    <s v="ZENA"/>
    <s v="Honolulu"/>
    <x v="0"/>
    <x v="5"/>
  </r>
  <r>
    <x v="7"/>
    <d v="2009-01-03T00:00:00"/>
    <n v="2009"/>
    <x v="40"/>
    <x v="0"/>
    <x v="0"/>
    <n v="1200"/>
    <x v="0"/>
    <s v="Rennae"/>
    <s v="Amelia Island"/>
    <x v="0"/>
    <x v="6"/>
  </r>
  <r>
    <x v="12"/>
    <d v="2009-01-13T00:00:00"/>
    <n v="2009"/>
    <x v="41"/>
    <x v="0"/>
    <x v="0"/>
    <n v="1200"/>
    <x v="1"/>
    <s v="Tod"/>
    <s v="Coral Gables"/>
    <x v="0"/>
    <x v="3"/>
  </r>
  <r>
    <x v="13"/>
    <d v="2009-01-14T00:00:00"/>
    <n v="2009"/>
    <x v="42"/>
    <x v="0"/>
    <x v="0"/>
    <n v="1200"/>
    <x v="0"/>
    <s v="Janaina"/>
    <s v="Miami"/>
    <x v="0"/>
    <x v="5"/>
  </r>
  <r>
    <x v="12"/>
    <d v="2009-01-13T00:00:00"/>
    <n v="2009"/>
    <x v="43"/>
    <x v="0"/>
    <x v="0"/>
    <n v="1200"/>
    <x v="0"/>
    <s v="Jolene"/>
    <s v="Englewood"/>
    <x v="0"/>
    <x v="3"/>
  </r>
  <r>
    <x v="14"/>
    <d v="2009-01-15T00:00:00"/>
    <n v="2009"/>
    <x v="44"/>
    <x v="0"/>
    <x v="0"/>
    <n v="1200"/>
    <x v="1"/>
    <s v="Alexis"/>
    <s v="Genoa"/>
    <x v="0"/>
    <x v="4"/>
  </r>
  <r>
    <x v="2"/>
    <d v="2009-01-05T00:00:00"/>
    <n v="2009"/>
    <x v="45"/>
    <x v="0"/>
    <x v="0"/>
    <n v="1200"/>
    <x v="0"/>
    <s v="Melissa"/>
    <s v="Parkland"/>
    <x v="0"/>
    <x v="2"/>
  </r>
  <r>
    <x v="9"/>
    <d v="2009-01-10T00:00:00"/>
    <n v="2009"/>
    <x v="46"/>
    <x v="0"/>
    <x v="0"/>
    <n v="1200"/>
    <x v="2"/>
    <s v="CLARE"/>
    <s v="San Francisco"/>
    <x v="0"/>
    <x v="6"/>
  </r>
  <r>
    <x v="14"/>
    <d v="2009-01-15T00:00:00"/>
    <n v="2009"/>
    <x v="47"/>
    <x v="0"/>
    <x v="0"/>
    <n v="1200"/>
    <x v="1"/>
    <s v="catherine"/>
    <s v="Keller"/>
    <x v="0"/>
    <x v="4"/>
  </r>
  <r>
    <x v="3"/>
    <d v="2009-01-06T00:00:00"/>
    <n v="2009"/>
    <x v="48"/>
    <x v="0"/>
    <x v="0"/>
    <n v="1200"/>
    <x v="1"/>
    <s v="Bruce and Camille"/>
    <s v="Clinton"/>
    <x v="0"/>
    <x v="3"/>
  </r>
  <r>
    <x v="13"/>
    <d v="2009-01-14T00:00:00"/>
    <n v="2009"/>
    <x v="49"/>
    <x v="0"/>
    <x v="0"/>
    <n v="1200"/>
    <x v="1"/>
    <s v="Ellen"/>
    <s v="Owensboro"/>
    <x v="0"/>
    <x v="5"/>
  </r>
  <r>
    <x v="13"/>
    <d v="2009-01-14T00:00:00"/>
    <n v="2009"/>
    <x v="50"/>
    <x v="0"/>
    <x v="0"/>
    <n v="1200"/>
    <x v="0"/>
    <s v="Amy"/>
    <s v="Lakewood Village"/>
    <x v="0"/>
    <x v="5"/>
  </r>
  <r>
    <x v="14"/>
    <d v="2009-01-15T00:00:00"/>
    <n v="2009"/>
    <x v="51"/>
    <x v="1"/>
    <x v="0"/>
    <n v="1200"/>
    <x v="0"/>
    <s v="Brian"/>
    <s v="College Park"/>
    <x v="0"/>
    <x v="4"/>
  </r>
  <r>
    <x v="13"/>
    <d v="2009-01-14T00:00:00"/>
    <n v="2009"/>
    <x v="52"/>
    <x v="0"/>
    <x v="0"/>
    <n v="1200"/>
    <x v="0"/>
    <s v="Kenny"/>
    <s v="Kailua Kona"/>
    <x v="0"/>
    <x v="5"/>
  </r>
  <r>
    <x v="13"/>
    <d v="2009-01-14T00:00:00"/>
    <n v="2009"/>
    <x v="53"/>
    <x v="0"/>
    <x v="0"/>
    <n v="1200"/>
    <x v="2"/>
    <s v="ayse"/>
    <s v="Redondo Beach"/>
    <x v="0"/>
    <x v="5"/>
  </r>
  <r>
    <x v="7"/>
    <d v="2009-01-03T00:00:00"/>
    <n v="2009"/>
    <x v="54"/>
    <x v="0"/>
    <x v="0"/>
    <n v="1200"/>
    <x v="2"/>
    <s v="Maria and Timothy"/>
    <s v="Fountain Hls"/>
    <x v="0"/>
    <x v="6"/>
  </r>
  <r>
    <x v="15"/>
    <d v="2009-01-16T00:00:00"/>
    <n v="2009"/>
    <x v="55"/>
    <x v="0"/>
    <x v="0"/>
    <n v="2100"/>
    <x v="1"/>
    <s v="Gerald"/>
    <s v="Mahopac"/>
    <x v="0"/>
    <x v="0"/>
  </r>
  <r>
    <x v="7"/>
    <d v="2009-01-03T00:00:00"/>
    <n v="2009"/>
    <x v="56"/>
    <x v="0"/>
    <x v="0"/>
    <n v="1200"/>
    <x v="0"/>
    <s v="Kara"/>
    <s v="Chicago"/>
    <x v="0"/>
    <x v="6"/>
  </r>
  <r>
    <x v="15"/>
    <d v="2009-01-16T00:00:00"/>
    <n v="2009"/>
    <x v="57"/>
    <x v="0"/>
    <x v="0"/>
    <n v="1200"/>
    <x v="0"/>
    <s v="Orsi"/>
    <s v="Rayford"/>
    <x v="0"/>
    <x v="0"/>
  </r>
  <r>
    <x v="2"/>
    <d v="2009-01-05T00:00:00"/>
    <n v="2009"/>
    <x v="58"/>
    <x v="0"/>
    <x v="0"/>
    <n v="1200"/>
    <x v="0"/>
    <s v="Ben"/>
    <s v="Escondido"/>
    <x v="0"/>
    <x v="2"/>
  </r>
  <r>
    <x v="11"/>
    <d v="2009-01-11T00:00:00"/>
    <n v="2009"/>
    <x v="59"/>
    <x v="0"/>
    <x v="0"/>
    <n v="1200"/>
    <x v="0"/>
    <s v="Chelsey"/>
    <s v="Ashburn"/>
    <x v="0"/>
    <x v="1"/>
  </r>
  <r>
    <x v="14"/>
    <d v="2009-01-15T00:00:00"/>
    <n v="2009"/>
    <x v="14"/>
    <x v="0"/>
    <x v="0"/>
    <n v="1200"/>
    <x v="2"/>
    <s v="Charis"/>
    <s v="Los Angeles"/>
    <x v="0"/>
    <x v="4"/>
  </r>
  <r>
    <x v="4"/>
    <d v="2009-01-01T00:00:00"/>
    <n v="2009"/>
    <x v="60"/>
    <x v="1"/>
    <x v="0"/>
    <n v="1200"/>
    <x v="0"/>
    <s v="Marlene"/>
    <s v="Edgewood"/>
    <x v="0"/>
    <x v="4"/>
  </r>
  <r>
    <x v="3"/>
    <d v="2009-01-06T00:00:00"/>
    <n v="2009"/>
    <x v="61"/>
    <x v="0"/>
    <x v="0"/>
    <n v="1200"/>
    <x v="0"/>
    <s v="Fie"/>
    <s v="New York"/>
    <x v="0"/>
    <x v="3"/>
  </r>
  <r>
    <x v="10"/>
    <d v="2009-01-12T00:00:00"/>
    <n v="2009"/>
    <x v="62"/>
    <x v="1"/>
    <x v="0"/>
    <n v="1200"/>
    <x v="0"/>
    <s v="Janet"/>
    <s v="Marietta"/>
    <x v="0"/>
    <x v="2"/>
  </r>
  <r>
    <x v="1"/>
    <d v="2009-01-04T00:00:00"/>
    <n v="2009"/>
    <x v="63"/>
    <x v="0"/>
    <x v="0"/>
    <n v="1200"/>
    <x v="1"/>
    <s v="Jamie"/>
    <s v="Houston"/>
    <x v="0"/>
    <x v="1"/>
  </r>
  <r>
    <x v="16"/>
    <d v="2009-01-17T00:00:00"/>
    <n v="2009"/>
    <x v="64"/>
    <x v="0"/>
    <x v="0"/>
    <n v="1200"/>
    <x v="0"/>
    <s v="Chad"/>
    <s v="West Orange"/>
    <x v="0"/>
    <x v="6"/>
  </r>
  <r>
    <x v="17"/>
    <d v="2009-01-18T00:00:00"/>
    <n v="2009"/>
    <x v="65"/>
    <x v="0"/>
    <x v="0"/>
    <n v="1200"/>
    <x v="0"/>
    <s v="Anna"/>
    <s v="Downey"/>
    <x v="0"/>
    <x v="1"/>
  </r>
  <r>
    <x v="1"/>
    <d v="2009-01-04T00:00:00"/>
    <n v="2009"/>
    <x v="66"/>
    <x v="0"/>
    <x v="0"/>
    <n v="1200"/>
    <x v="1"/>
    <s v="Clare"/>
    <s v="Lafayette"/>
    <x v="0"/>
    <x v="1"/>
  </r>
  <r>
    <x v="17"/>
    <d v="2009-01-18T00:00:00"/>
    <n v="2009"/>
    <x v="67"/>
    <x v="0"/>
    <x v="0"/>
    <n v="1200"/>
    <x v="0"/>
    <s v="Ruth"/>
    <s v="Nashville"/>
    <x v="0"/>
    <x v="1"/>
  </r>
  <r>
    <x v="17"/>
    <d v="2009-01-18T00:00:00"/>
    <n v="2009"/>
    <x v="68"/>
    <x v="0"/>
    <x v="0"/>
    <n v="1200"/>
    <x v="0"/>
    <s v="Shailesh"/>
    <s v="Joppa"/>
    <x v="0"/>
    <x v="1"/>
  </r>
  <r>
    <x v="17"/>
    <d v="2009-01-18T00:00:00"/>
    <n v="2009"/>
    <x v="69"/>
    <x v="1"/>
    <x v="0"/>
    <n v="1200"/>
    <x v="0"/>
    <s v="Conrad"/>
    <s v="Joppa"/>
    <x v="0"/>
    <x v="1"/>
  </r>
  <r>
    <x v="12"/>
    <d v="2009-01-13T00:00:00"/>
    <n v="2009"/>
    <x v="70"/>
    <x v="0"/>
    <x v="0"/>
    <n v="1200"/>
    <x v="0"/>
    <s v="Alison"/>
    <s v="Hampton"/>
    <x v="0"/>
    <x v="3"/>
  </r>
  <r>
    <x v="2"/>
    <d v="2009-01-05T00:00:00"/>
    <n v="2009"/>
    <x v="71"/>
    <x v="0"/>
    <x v="0"/>
    <n v="1200"/>
    <x v="1"/>
    <s v="Tracy"/>
    <s v="Louisville"/>
    <x v="0"/>
    <x v="2"/>
  </r>
  <r>
    <x v="13"/>
    <d v="2009-01-14T00:00:00"/>
    <n v="2009"/>
    <x v="72"/>
    <x v="0"/>
    <x v="0"/>
    <n v="1200"/>
    <x v="0"/>
    <s v="Kate"/>
    <s v="Broadlands"/>
    <x v="0"/>
    <x v="5"/>
  </r>
  <r>
    <x v="17"/>
    <d v="2009-01-18T00:00:00"/>
    <n v="2009"/>
    <x v="73"/>
    <x v="0"/>
    <x v="1"/>
    <n v="3600"/>
    <x v="0"/>
    <s v="Therese"/>
    <s v="Los Angeles"/>
    <x v="0"/>
    <x v="1"/>
  </r>
  <r>
    <x v="17"/>
    <d v="2009-01-18T00:00:00"/>
    <n v="2009"/>
    <x v="74"/>
    <x v="0"/>
    <x v="1"/>
    <n v="3600"/>
    <x v="0"/>
    <s v="Abdul-L"/>
    <s v="New York"/>
    <x v="0"/>
    <x v="1"/>
  </r>
  <r>
    <x v="17"/>
    <d v="2009-01-18T00:00:00"/>
    <n v="2009"/>
    <x v="75"/>
    <x v="0"/>
    <x v="1"/>
    <n v="3600"/>
    <x v="0"/>
    <s v="heidi"/>
    <s v="Saint Paul"/>
    <x v="0"/>
    <x v="1"/>
  </r>
  <r>
    <x v="17"/>
    <d v="2009-01-18T00:00:00"/>
    <n v="2009"/>
    <x v="76"/>
    <x v="0"/>
    <x v="1"/>
    <n v="3600"/>
    <x v="0"/>
    <s v="jiyoung"/>
    <s v="New York"/>
    <x v="0"/>
    <x v="1"/>
  </r>
  <r>
    <x v="11"/>
    <d v="2009-01-11T00:00:00"/>
    <n v="2009"/>
    <x v="77"/>
    <x v="0"/>
    <x v="0"/>
    <n v="1200"/>
    <x v="0"/>
    <s v="Klara"/>
    <s v="Spring Lake Park"/>
    <x v="0"/>
    <x v="1"/>
  </r>
  <r>
    <x v="10"/>
    <d v="2009-01-12T00:00:00"/>
    <n v="2009"/>
    <x v="78"/>
    <x v="0"/>
    <x v="0"/>
    <n v="1200"/>
    <x v="0"/>
    <s v="Vicki and Bill"/>
    <s v="Seattle"/>
    <x v="0"/>
    <x v="2"/>
  </r>
  <r>
    <x v="10"/>
    <d v="2009-01-12T00:00:00"/>
    <n v="2009"/>
    <x v="23"/>
    <x v="0"/>
    <x v="0"/>
    <n v="1200"/>
    <x v="1"/>
    <s v="David"/>
    <s v="Deptford"/>
    <x v="0"/>
    <x v="2"/>
  </r>
  <r>
    <x v="8"/>
    <d v="2009-01-09T00:00:00"/>
    <n v="2009"/>
    <x v="79"/>
    <x v="0"/>
    <x v="0"/>
    <n v="1200"/>
    <x v="0"/>
    <s v="David"/>
    <s v="Alpharetta"/>
    <x v="0"/>
    <x v="0"/>
  </r>
  <r>
    <x v="17"/>
    <d v="2009-01-18T00:00:00"/>
    <n v="2009"/>
    <x v="80"/>
    <x v="0"/>
    <x v="0"/>
    <n v="1200"/>
    <x v="0"/>
    <s v="Greg"/>
    <s v="Washington"/>
    <x v="0"/>
    <x v="1"/>
  </r>
  <r>
    <x v="2"/>
    <d v="2009-01-05T00:00:00"/>
    <n v="2009"/>
    <x v="81"/>
    <x v="0"/>
    <x v="0"/>
    <n v="1200"/>
    <x v="2"/>
    <s v="Bernadette"/>
    <s v="Washington"/>
    <x v="0"/>
    <x v="2"/>
  </r>
  <r>
    <x v="13"/>
    <d v="2009-01-14T00:00:00"/>
    <n v="2009"/>
    <x v="82"/>
    <x v="0"/>
    <x v="0"/>
    <n v="1200"/>
    <x v="0"/>
    <s v="luciana"/>
    <s v="Athens"/>
    <x v="0"/>
    <x v="5"/>
  </r>
  <r>
    <x v="11"/>
    <d v="2009-01-11T00:00:00"/>
    <n v="2009"/>
    <x v="83"/>
    <x v="0"/>
    <x v="0"/>
    <n v="1200"/>
    <x v="0"/>
    <s v="Maja"/>
    <s v="Hoschton"/>
    <x v="0"/>
    <x v="1"/>
  </r>
  <r>
    <x v="14"/>
    <d v="2009-01-15T00:00:00"/>
    <n v="2009"/>
    <x v="84"/>
    <x v="0"/>
    <x v="0"/>
    <n v="1200"/>
    <x v="0"/>
    <s v="Kirstie"/>
    <s v="Royal Oak"/>
    <x v="0"/>
    <x v="4"/>
  </r>
  <r>
    <x v="14"/>
    <d v="2009-01-15T00:00:00"/>
    <n v="2009"/>
    <x v="85"/>
    <x v="0"/>
    <x v="0"/>
    <n v="1200"/>
    <x v="0"/>
    <s v="Scott"/>
    <s v="Royal Oak"/>
    <x v="0"/>
    <x v="4"/>
  </r>
  <r>
    <x v="0"/>
    <d v="2009-01-02T00:00:00"/>
    <n v="2009"/>
    <x v="86"/>
    <x v="0"/>
    <x v="0"/>
    <n v="1200"/>
    <x v="1"/>
    <s v="Jammie"/>
    <s v="Belmont"/>
    <x v="0"/>
    <x v="0"/>
  </r>
  <r>
    <x v="18"/>
    <d v="2009-01-19T00:00:00"/>
    <n v="2009"/>
    <x v="87"/>
    <x v="0"/>
    <x v="0"/>
    <n v="1200"/>
    <x v="1"/>
    <s v="Frank"/>
    <s v="Old Greenwich"/>
    <x v="0"/>
    <x v="2"/>
  </r>
  <r>
    <x v="18"/>
    <d v="2009-01-19T00:00:00"/>
    <n v="2009"/>
    <x v="88"/>
    <x v="0"/>
    <x v="0"/>
    <n v="1200"/>
    <x v="1"/>
    <s v="scott"/>
    <s v="Coconut Grove"/>
    <x v="0"/>
    <x v="2"/>
  </r>
  <r>
    <x v="9"/>
    <d v="2009-01-10T00:00:00"/>
    <n v="2009"/>
    <x v="57"/>
    <x v="0"/>
    <x v="0"/>
    <n v="1200"/>
    <x v="0"/>
    <s v="Jiri"/>
    <s v="Vienna"/>
    <x v="0"/>
    <x v="6"/>
  </r>
  <r>
    <x v="17"/>
    <d v="2009-01-18T00:00:00"/>
    <n v="2009"/>
    <x v="89"/>
    <x v="0"/>
    <x v="1"/>
    <n v="3600"/>
    <x v="0"/>
    <s v="Bev"/>
    <s v="San Ramon"/>
    <x v="0"/>
    <x v="1"/>
  </r>
  <r>
    <x v="14"/>
    <d v="2009-01-15T00:00:00"/>
    <n v="2009"/>
    <x v="90"/>
    <x v="0"/>
    <x v="0"/>
    <n v="1200"/>
    <x v="0"/>
    <s v="Dave and Amy"/>
    <s v="Norfolk"/>
    <x v="0"/>
    <x v="4"/>
  </r>
  <r>
    <x v="18"/>
    <d v="2009-01-19T00:00:00"/>
    <n v="2009"/>
    <x v="91"/>
    <x v="0"/>
    <x v="0"/>
    <n v="1200"/>
    <x v="1"/>
    <s v="Rebecca"/>
    <s v="Norfolk"/>
    <x v="0"/>
    <x v="2"/>
  </r>
  <r>
    <x v="7"/>
    <d v="2009-01-03T00:00:00"/>
    <n v="2009"/>
    <x v="92"/>
    <x v="0"/>
    <x v="0"/>
    <n v="1200"/>
    <x v="0"/>
    <s v="Djeiny"/>
    <s v="Rockville"/>
    <x v="0"/>
    <x v="6"/>
  </r>
  <r>
    <x v="19"/>
    <d v="2009-01-20T00:00:00"/>
    <n v="2009"/>
    <x v="93"/>
    <x v="0"/>
    <x v="2"/>
    <n v="7500"/>
    <x v="1"/>
    <s v="Amanda"/>
    <s v="Shreveport"/>
    <x v="0"/>
    <x v="3"/>
  </r>
  <r>
    <x v="19"/>
    <d v="2009-01-20T00:00:00"/>
    <n v="2009"/>
    <x v="94"/>
    <x v="0"/>
    <x v="0"/>
    <n v="1200"/>
    <x v="1"/>
    <s v="Andrea"/>
    <s v="Shreveport"/>
    <x v="0"/>
    <x v="3"/>
  </r>
  <r>
    <x v="9"/>
    <d v="2009-01-10T00:00:00"/>
    <n v="2009"/>
    <x v="95"/>
    <x v="0"/>
    <x v="0"/>
    <n v="1200"/>
    <x v="2"/>
    <s v="Joanna"/>
    <s v="Little Silver"/>
    <x v="0"/>
    <x v="6"/>
  </r>
  <r>
    <x v="18"/>
    <d v="2009-01-19T00:00:00"/>
    <n v="2009"/>
    <x v="73"/>
    <x v="0"/>
    <x v="0"/>
    <n v="1200"/>
    <x v="2"/>
    <s v="alison"/>
    <s v="Mid City West"/>
    <x v="0"/>
    <x v="2"/>
  </r>
  <r>
    <x v="17"/>
    <d v="2009-01-18T00:00:00"/>
    <n v="2009"/>
    <x v="96"/>
    <x v="0"/>
    <x v="0"/>
    <n v="1200"/>
    <x v="0"/>
    <s v="malin"/>
    <s v="Atlanta"/>
    <x v="0"/>
    <x v="1"/>
  </r>
  <r>
    <x v="19"/>
    <d v="2009-01-20T00:00:00"/>
    <n v="2009"/>
    <x v="97"/>
    <x v="1"/>
    <x v="0"/>
    <n v="1200"/>
    <x v="1"/>
    <s v="Anastasia"/>
    <s v="NYC"/>
    <x v="0"/>
    <x v="3"/>
  </r>
  <r>
    <x v="14"/>
    <d v="2009-01-15T00:00:00"/>
    <n v="2009"/>
    <x v="38"/>
    <x v="0"/>
    <x v="0"/>
    <n v="1200"/>
    <x v="0"/>
    <s v="Nicole"/>
    <s v="Brookline"/>
    <x v="0"/>
    <x v="4"/>
  </r>
  <r>
    <x v="10"/>
    <d v="2009-01-12T00:00:00"/>
    <n v="2009"/>
    <x v="98"/>
    <x v="0"/>
    <x v="0"/>
    <n v="1200"/>
    <x v="1"/>
    <s v="Blanca Gabriela"/>
    <s v="Irving"/>
    <x v="0"/>
    <x v="2"/>
  </r>
  <r>
    <x v="1"/>
    <d v="2009-01-04T00:00:00"/>
    <n v="2009"/>
    <x v="99"/>
    <x v="0"/>
    <x v="0"/>
    <n v="1200"/>
    <x v="2"/>
    <s v="Elisa"/>
    <s v="Ottawa Hills"/>
    <x v="0"/>
    <x v="1"/>
  </r>
  <r>
    <x v="9"/>
    <d v="2009-01-10T00:00:00"/>
    <n v="2009"/>
    <x v="100"/>
    <x v="0"/>
    <x v="1"/>
    <n v="3600"/>
    <x v="1"/>
    <s v="Patricia"/>
    <s v="Portola Valley"/>
    <x v="0"/>
    <x v="6"/>
  </r>
  <r>
    <x v="15"/>
    <d v="2009-01-16T00:00:00"/>
    <n v="2009"/>
    <x v="101"/>
    <x v="0"/>
    <x v="2"/>
    <n v="7500"/>
    <x v="0"/>
    <s v="Kristyn"/>
    <s v="Kearns"/>
    <x v="0"/>
    <x v="0"/>
  </r>
  <r>
    <x v="19"/>
    <d v="2009-01-20T00:00:00"/>
    <n v="2009"/>
    <x v="85"/>
    <x v="0"/>
    <x v="0"/>
    <n v="1200"/>
    <x v="2"/>
    <s v="Cathy"/>
    <s v="Brooklyn"/>
    <x v="0"/>
    <x v="3"/>
  </r>
  <r>
    <x v="3"/>
    <d v="2009-01-06T00:00:00"/>
    <n v="2009"/>
    <x v="102"/>
    <x v="1"/>
    <x v="2"/>
    <n v="3600"/>
    <x v="2"/>
    <s v="Kaylee"/>
    <s v="Penngrove"/>
    <x v="0"/>
    <x v="3"/>
  </r>
  <r>
    <x v="9"/>
    <d v="2009-01-10T00:00:00"/>
    <n v="2009"/>
    <x v="103"/>
    <x v="0"/>
    <x v="0"/>
    <n v="1200"/>
    <x v="0"/>
    <s v="suzanne"/>
    <s v="Lemont"/>
    <x v="0"/>
    <x v="6"/>
  </r>
  <r>
    <x v="5"/>
    <d v="2009-01-07T00:00:00"/>
    <n v="2009"/>
    <x v="104"/>
    <x v="0"/>
    <x v="0"/>
    <n v="1200"/>
    <x v="1"/>
    <s v="Cassandra"/>
    <s v="San Carlos"/>
    <x v="0"/>
    <x v="5"/>
  </r>
  <r>
    <x v="6"/>
    <d v="2009-01-08T00:00:00"/>
    <n v="2009"/>
    <x v="105"/>
    <x v="0"/>
    <x v="0"/>
    <n v="1200"/>
    <x v="1"/>
    <s v="Jennifer"/>
    <s v="Chicago"/>
    <x v="0"/>
    <x v="4"/>
  </r>
  <r>
    <x v="20"/>
    <d v="2009-01-21T00:00:00"/>
    <n v="2009"/>
    <x v="106"/>
    <x v="0"/>
    <x v="0"/>
    <n v="1200"/>
    <x v="0"/>
    <s v="Sean"/>
    <s v="Wantagh"/>
    <x v="0"/>
    <x v="5"/>
  </r>
  <r>
    <x v="18"/>
    <d v="2009-01-19T00:00:00"/>
    <n v="2009"/>
    <x v="107"/>
    <x v="0"/>
    <x v="0"/>
    <n v="1200"/>
    <x v="0"/>
    <s v="Harriet"/>
    <s v="Fort Oglethorpe"/>
    <x v="0"/>
    <x v="2"/>
  </r>
  <r>
    <x v="17"/>
    <d v="2009-01-18T00:00:00"/>
    <n v="2009"/>
    <x v="108"/>
    <x v="0"/>
    <x v="0"/>
    <n v="1200"/>
    <x v="1"/>
    <s v="Janine"/>
    <s v="Corbin City"/>
    <x v="0"/>
    <x v="1"/>
  </r>
  <r>
    <x v="19"/>
    <d v="2009-01-20T00:00:00"/>
    <n v="2009"/>
    <x v="109"/>
    <x v="0"/>
    <x v="0"/>
    <n v="1200"/>
    <x v="1"/>
    <s v="Debora"/>
    <s v="Lakeside"/>
    <x v="0"/>
    <x v="3"/>
  </r>
  <r>
    <x v="19"/>
    <d v="2009-01-20T00:00:00"/>
    <n v="2009"/>
    <x v="73"/>
    <x v="0"/>
    <x v="0"/>
    <n v="1200"/>
    <x v="0"/>
    <s v="Vishpala"/>
    <s v="Margate"/>
    <x v="0"/>
    <x v="3"/>
  </r>
  <r>
    <x v="4"/>
    <d v="2009-01-01T00:00:00"/>
    <n v="2009"/>
    <x v="110"/>
    <x v="0"/>
    <x v="0"/>
    <n v="1200"/>
    <x v="2"/>
    <s v="Emer"/>
    <s v="South Palm Beach"/>
    <x v="0"/>
    <x v="4"/>
  </r>
  <r>
    <x v="20"/>
    <d v="2009-01-21T00:00:00"/>
    <n v="2009"/>
    <x v="111"/>
    <x v="0"/>
    <x v="0"/>
    <n v="1200"/>
    <x v="0"/>
    <s v="john"/>
    <s v="New York"/>
    <x v="0"/>
    <x v="5"/>
  </r>
  <r>
    <x v="5"/>
    <d v="2009-01-07T00:00:00"/>
    <n v="2009"/>
    <x v="112"/>
    <x v="0"/>
    <x v="0"/>
    <n v="1200"/>
    <x v="1"/>
    <s v="lailani"/>
    <s v="Anchorage"/>
    <x v="0"/>
    <x v="5"/>
  </r>
  <r>
    <x v="17"/>
    <d v="2009-01-18T00:00:00"/>
    <n v="2009"/>
    <x v="78"/>
    <x v="0"/>
    <x v="0"/>
    <n v="1200"/>
    <x v="0"/>
    <s v="Celina"/>
    <s v="North Brunswick"/>
    <x v="0"/>
    <x v="1"/>
  </r>
  <r>
    <x v="20"/>
    <d v="2009-01-21T00:00:00"/>
    <n v="2009"/>
    <x v="113"/>
    <x v="1"/>
    <x v="1"/>
    <n v="3600"/>
    <x v="0"/>
    <s v="Rosemary"/>
    <s v="Jacksonville"/>
    <x v="0"/>
    <x v="5"/>
  </r>
  <r>
    <x v="21"/>
    <d v="2009-01-22T00:00:00"/>
    <n v="2009"/>
    <x v="114"/>
    <x v="0"/>
    <x v="0"/>
    <n v="1200"/>
    <x v="0"/>
    <s v="Patrick"/>
    <s v="Baytown"/>
    <x v="0"/>
    <x v="4"/>
  </r>
  <r>
    <x v="10"/>
    <d v="2009-01-12T00:00:00"/>
    <n v="2009"/>
    <x v="115"/>
    <x v="0"/>
    <x v="0"/>
    <n v="1200"/>
    <x v="1"/>
    <s v="Jacob"/>
    <s v="Winter Haven"/>
    <x v="0"/>
    <x v="2"/>
  </r>
  <r>
    <x v="21"/>
    <d v="2009-01-22T00:00:00"/>
    <n v="2009"/>
    <x v="116"/>
    <x v="0"/>
    <x v="0"/>
    <n v="1200"/>
    <x v="0"/>
    <s v="elisabeth"/>
    <s v="Gonzaga Univ"/>
    <x v="0"/>
    <x v="4"/>
  </r>
  <r>
    <x v="19"/>
    <d v="2009-01-20T00:00:00"/>
    <n v="2009"/>
    <x v="117"/>
    <x v="0"/>
    <x v="0"/>
    <n v="1200"/>
    <x v="0"/>
    <s v="Marie"/>
    <s v="Winchester"/>
    <x v="0"/>
    <x v="3"/>
  </r>
  <r>
    <x v="3"/>
    <d v="2009-01-06T00:00:00"/>
    <n v="2009"/>
    <x v="118"/>
    <x v="0"/>
    <x v="0"/>
    <n v="1200"/>
    <x v="0"/>
    <s v="Orit"/>
    <s v="Dallas"/>
    <x v="0"/>
    <x v="3"/>
  </r>
  <r>
    <x v="22"/>
    <d v="2009-01-23T00:00:00"/>
    <n v="2009"/>
    <x v="119"/>
    <x v="0"/>
    <x v="1"/>
    <n v="3600"/>
    <x v="1"/>
    <s v="Anja Langer"/>
    <s v="Saint Paul"/>
    <x v="0"/>
    <x v="0"/>
  </r>
  <r>
    <x v="20"/>
    <d v="2009-01-21T00:00:00"/>
    <n v="2009"/>
    <x v="104"/>
    <x v="0"/>
    <x v="0"/>
    <n v="1200"/>
    <x v="2"/>
    <s v="Eric"/>
    <s v="Ely"/>
    <x v="0"/>
    <x v="5"/>
  </r>
  <r>
    <x v="20"/>
    <d v="2009-01-21T00:00:00"/>
    <n v="2009"/>
    <x v="19"/>
    <x v="0"/>
    <x v="0"/>
    <n v="1200"/>
    <x v="2"/>
    <s v="Miriane"/>
    <s v="Norfolk"/>
    <x v="0"/>
    <x v="5"/>
  </r>
  <r>
    <x v="18"/>
    <d v="2009-01-19T00:00:00"/>
    <n v="2009"/>
    <x v="120"/>
    <x v="0"/>
    <x v="0"/>
    <n v="1200"/>
    <x v="0"/>
    <s v="Jeff"/>
    <s v="Houston"/>
    <x v="0"/>
    <x v="2"/>
  </r>
  <r>
    <x v="21"/>
    <d v="2009-01-22T00:00:00"/>
    <n v="2009"/>
    <x v="52"/>
    <x v="0"/>
    <x v="0"/>
    <n v="1200"/>
    <x v="1"/>
    <s v="Shannon"/>
    <s v="Buffalo Grove"/>
    <x v="0"/>
    <x v="4"/>
  </r>
  <r>
    <x v="20"/>
    <d v="2009-01-21T00:00:00"/>
    <n v="2009"/>
    <x v="121"/>
    <x v="0"/>
    <x v="0"/>
    <n v="1200"/>
    <x v="0"/>
    <s v="Helen"/>
    <s v="Mechanics Grove"/>
    <x v="0"/>
    <x v="5"/>
  </r>
  <r>
    <x v="22"/>
    <d v="2009-01-23T00:00:00"/>
    <n v="2009"/>
    <x v="81"/>
    <x v="0"/>
    <x v="2"/>
    <n v="3600"/>
    <x v="2"/>
    <s v="Fatisha"/>
    <s v="Miami"/>
    <x v="0"/>
    <x v="0"/>
  </r>
  <r>
    <x v="17"/>
    <d v="2009-01-18T00:00:00"/>
    <n v="2009"/>
    <x v="122"/>
    <x v="0"/>
    <x v="0"/>
    <n v="1200"/>
    <x v="0"/>
    <s v="Nina"/>
    <s v="Silver Spring"/>
    <x v="0"/>
    <x v="1"/>
  </r>
  <r>
    <x v="16"/>
    <d v="2009-01-17T00:00:00"/>
    <n v="2009"/>
    <x v="123"/>
    <x v="0"/>
    <x v="0"/>
    <n v="1200"/>
    <x v="0"/>
    <s v="Georgina"/>
    <s v="Portland"/>
    <x v="0"/>
    <x v="6"/>
  </r>
  <r>
    <x v="22"/>
    <d v="2009-01-23T00:00:00"/>
    <n v="2009"/>
    <x v="95"/>
    <x v="0"/>
    <x v="0"/>
    <n v="1200"/>
    <x v="0"/>
    <s v="Kellie"/>
    <s v="Staten Island"/>
    <x v="0"/>
    <x v="0"/>
  </r>
  <r>
    <x v="18"/>
    <d v="2009-01-19T00:00:00"/>
    <n v="2009"/>
    <x v="124"/>
    <x v="0"/>
    <x v="0"/>
    <n v="1200"/>
    <x v="1"/>
    <s v="Terry"/>
    <s v="San Antonio"/>
    <x v="0"/>
    <x v="2"/>
  </r>
  <r>
    <x v="5"/>
    <d v="2009-01-07T00:00:00"/>
    <n v="2009"/>
    <x v="125"/>
    <x v="0"/>
    <x v="1"/>
    <n v="3600"/>
    <x v="1"/>
    <s v="Cindy"/>
    <s v="Englewood"/>
    <x v="0"/>
    <x v="5"/>
  </r>
  <r>
    <x v="16"/>
    <d v="2009-01-17T00:00:00"/>
    <n v="2009"/>
    <x v="126"/>
    <x v="0"/>
    <x v="0"/>
    <n v="1200"/>
    <x v="0"/>
    <s v="Simone"/>
    <s v="San Antonio"/>
    <x v="0"/>
    <x v="6"/>
  </r>
  <r>
    <x v="23"/>
    <d v="2009-01-25T00:00:00"/>
    <n v="2009"/>
    <x v="127"/>
    <x v="1"/>
    <x v="0"/>
    <n v="1200"/>
    <x v="0"/>
    <s v="Hilde"/>
    <s v="Princeville"/>
    <x v="0"/>
    <x v="1"/>
  </r>
  <r>
    <x v="3"/>
    <d v="2009-01-06T00:00:00"/>
    <n v="2009"/>
    <x v="128"/>
    <x v="0"/>
    <x v="0"/>
    <n v="1200"/>
    <x v="1"/>
    <s v="Anna"/>
    <s v="Lafayette"/>
    <x v="0"/>
    <x v="3"/>
  </r>
  <r>
    <x v="12"/>
    <d v="2009-01-13T00:00:00"/>
    <n v="2009"/>
    <x v="129"/>
    <x v="0"/>
    <x v="0"/>
    <n v="1200"/>
    <x v="0"/>
    <s v="leiser"/>
    <s v="N Java"/>
    <x v="0"/>
    <x v="3"/>
  </r>
  <r>
    <x v="3"/>
    <d v="2009-01-06T00:00:00"/>
    <n v="2009"/>
    <x v="130"/>
    <x v="0"/>
    <x v="0"/>
    <n v="1200"/>
    <x v="0"/>
    <s v="Ann"/>
    <s v="Austin"/>
    <x v="0"/>
    <x v="3"/>
  </r>
  <r>
    <x v="17"/>
    <d v="2009-01-18T00:00:00"/>
    <n v="2009"/>
    <x v="46"/>
    <x v="0"/>
    <x v="0"/>
    <n v="1200"/>
    <x v="1"/>
    <s v="Nichol Jane"/>
    <s v="Midland Park"/>
    <x v="0"/>
    <x v="1"/>
  </r>
  <r>
    <x v="12"/>
    <d v="2009-01-13T00:00:00"/>
    <n v="2009"/>
    <x v="131"/>
    <x v="0"/>
    <x v="0"/>
    <n v="1200"/>
    <x v="2"/>
    <s v="Beatriz"/>
    <s v="Centerport"/>
    <x v="0"/>
    <x v="3"/>
  </r>
  <r>
    <x v="17"/>
    <d v="2009-01-18T00:00:00"/>
    <n v="2009"/>
    <x v="132"/>
    <x v="0"/>
    <x v="0"/>
    <n v="1200"/>
    <x v="0"/>
    <s v="Isabelle"/>
    <s v="Shorewood"/>
    <x v="0"/>
    <x v="1"/>
  </r>
  <r>
    <x v="21"/>
    <d v="2009-01-22T00:00:00"/>
    <n v="2009"/>
    <x v="133"/>
    <x v="0"/>
    <x v="0"/>
    <n v="1200"/>
    <x v="0"/>
    <s v="Lynne"/>
    <s v="Southlake"/>
    <x v="0"/>
    <x v="4"/>
  </r>
  <r>
    <x v="6"/>
    <d v="2009-01-08T00:00:00"/>
    <n v="2009"/>
    <x v="134"/>
    <x v="0"/>
    <x v="0"/>
    <n v="1200"/>
    <x v="1"/>
    <s v="Doug"/>
    <s v="Huntington"/>
    <x v="0"/>
    <x v="4"/>
  </r>
  <r>
    <x v="1"/>
    <d v="2009-01-04T00:00:00"/>
    <n v="2009"/>
    <x v="135"/>
    <x v="0"/>
    <x v="0"/>
    <n v="1200"/>
    <x v="1"/>
    <s v="AMY"/>
    <s v="The Woodlands"/>
    <x v="0"/>
    <x v="1"/>
  </r>
  <r>
    <x v="8"/>
    <d v="2009-01-09T00:00:00"/>
    <n v="2009"/>
    <x v="136"/>
    <x v="0"/>
    <x v="0"/>
    <n v="1200"/>
    <x v="1"/>
    <s v="HELIDA"/>
    <s v="White House"/>
    <x v="0"/>
    <x v="0"/>
  </r>
  <r>
    <x v="24"/>
    <d v="2009-01-26T00:00:00"/>
    <n v="2009"/>
    <x v="137"/>
    <x v="0"/>
    <x v="0"/>
    <n v="1200"/>
    <x v="1"/>
    <s v="Wendy"/>
    <s v="Lake Mahopac"/>
    <x v="0"/>
    <x v="2"/>
  </r>
  <r>
    <x v="11"/>
    <d v="2009-01-11T00:00:00"/>
    <n v="2009"/>
    <x v="138"/>
    <x v="0"/>
    <x v="1"/>
    <n v="3600"/>
    <x v="0"/>
    <s v="shelby"/>
    <s v="Plantation"/>
    <x v="0"/>
    <x v="1"/>
  </r>
  <r>
    <x v="20"/>
    <d v="2009-01-21T00:00:00"/>
    <n v="2009"/>
    <x v="139"/>
    <x v="0"/>
    <x v="2"/>
    <n v="800"/>
    <x v="2"/>
    <s v="Heloise"/>
    <s v="Arlington"/>
    <x v="0"/>
    <x v="5"/>
  </r>
  <r>
    <x v="24"/>
    <d v="2009-01-26T00:00:00"/>
    <n v="2009"/>
    <x v="140"/>
    <x v="0"/>
    <x v="0"/>
    <n v="1200"/>
    <x v="0"/>
    <s v="Jodie"/>
    <s v="Great Falls"/>
    <x v="0"/>
    <x v="2"/>
  </r>
  <r>
    <x v="5"/>
    <d v="2009-01-07T00:00:00"/>
    <n v="2009"/>
    <x v="141"/>
    <x v="0"/>
    <x v="0"/>
    <n v="1200"/>
    <x v="0"/>
    <s v="Marie"/>
    <s v="Dickerson"/>
    <x v="0"/>
    <x v="5"/>
  </r>
  <r>
    <x v="17"/>
    <d v="2009-01-18T00:00:00"/>
    <n v="2009"/>
    <x v="142"/>
    <x v="0"/>
    <x v="0"/>
    <n v="1200"/>
    <x v="1"/>
    <s v="Lisa"/>
    <s v="Princeton"/>
    <x v="0"/>
    <x v="1"/>
  </r>
  <r>
    <x v="25"/>
    <d v="2009-01-24T00:00:00"/>
    <n v="2009"/>
    <x v="143"/>
    <x v="0"/>
    <x v="0"/>
    <n v="1200"/>
    <x v="0"/>
    <s v="Katrine"/>
    <s v="North Tustin"/>
    <x v="0"/>
    <x v="6"/>
  </r>
  <r>
    <x v="24"/>
    <d v="2009-01-26T00:00:00"/>
    <n v="2009"/>
    <x v="144"/>
    <x v="0"/>
    <x v="0"/>
    <n v="1200"/>
    <x v="0"/>
    <s v="prof"/>
    <s v="Gladwyne"/>
    <x v="0"/>
    <x v="2"/>
  </r>
  <r>
    <x v="20"/>
    <d v="2009-01-21T00:00:00"/>
    <n v="2009"/>
    <x v="145"/>
    <x v="0"/>
    <x v="0"/>
    <n v="1200"/>
    <x v="1"/>
    <s v="KeithMichelle"/>
    <s v="Houston"/>
    <x v="0"/>
    <x v="5"/>
  </r>
  <r>
    <x v="19"/>
    <d v="2009-01-20T00:00:00"/>
    <n v="2009"/>
    <x v="146"/>
    <x v="0"/>
    <x v="1"/>
    <n v="3600"/>
    <x v="0"/>
    <s v="Miye"/>
    <s v="Downingtown"/>
    <x v="0"/>
    <x v="3"/>
  </r>
  <r>
    <x v="26"/>
    <d v="2009-01-27T00:00:00"/>
    <n v="2009"/>
    <x v="147"/>
    <x v="0"/>
    <x v="0"/>
    <n v="1200"/>
    <x v="0"/>
    <s v="Heidi"/>
    <s v="MT Pleasant"/>
    <x v="0"/>
    <x v="3"/>
  </r>
  <r>
    <x v="12"/>
    <d v="2009-01-13T00:00:00"/>
    <n v="2009"/>
    <x v="148"/>
    <x v="0"/>
    <x v="1"/>
    <n v="3600"/>
    <x v="0"/>
    <s v="Daniele"/>
    <s v="Katy"/>
    <x v="0"/>
    <x v="3"/>
  </r>
  <r>
    <x v="6"/>
    <d v="2009-01-08T00:00:00"/>
    <n v="2009"/>
    <x v="79"/>
    <x v="0"/>
    <x v="0"/>
    <n v="1200"/>
    <x v="0"/>
    <s v="Nadine"/>
    <s v="Belgrade"/>
    <x v="0"/>
    <x v="4"/>
  </r>
  <r>
    <x v="26"/>
    <d v="2009-01-27T00:00:00"/>
    <n v="2009"/>
    <x v="149"/>
    <x v="0"/>
    <x v="0"/>
    <n v="1200"/>
    <x v="0"/>
    <s v="Katherine"/>
    <s v="Corrales"/>
    <x v="0"/>
    <x v="3"/>
  </r>
  <r>
    <x v="6"/>
    <d v="2009-01-08T00:00:00"/>
    <n v="2009"/>
    <x v="114"/>
    <x v="0"/>
    <x v="0"/>
    <n v="1200"/>
    <x v="0"/>
    <s v="Veronique"/>
    <s v="Tenafly"/>
    <x v="0"/>
    <x v="4"/>
  </r>
  <r>
    <x v="1"/>
    <d v="2009-01-04T00:00:00"/>
    <n v="2009"/>
    <x v="150"/>
    <x v="0"/>
    <x v="0"/>
    <n v="1200"/>
    <x v="0"/>
    <s v="Erica"/>
    <s v="Leesburg"/>
    <x v="0"/>
    <x v="1"/>
  </r>
  <r>
    <x v="27"/>
    <d v="2009-01-28T00:00:00"/>
    <n v="2009"/>
    <x v="151"/>
    <x v="1"/>
    <x v="0"/>
    <n v="1200"/>
    <x v="1"/>
    <s v="Natalie"/>
    <s v="Bryceville"/>
    <x v="0"/>
    <x v="5"/>
  </r>
  <r>
    <x v="27"/>
    <d v="2009-01-28T00:00:00"/>
    <n v="2009"/>
    <x v="152"/>
    <x v="0"/>
    <x v="0"/>
    <n v="1200"/>
    <x v="0"/>
    <s v="cari"/>
    <s v="Dryden"/>
    <x v="0"/>
    <x v="5"/>
  </r>
  <r>
    <x v="27"/>
    <d v="2009-01-28T00:00:00"/>
    <n v="2009"/>
    <x v="153"/>
    <x v="0"/>
    <x v="0"/>
    <n v="1200"/>
    <x v="0"/>
    <s v="Ina"/>
    <s v="Fayetteville"/>
    <x v="0"/>
    <x v="5"/>
  </r>
  <r>
    <x v="3"/>
    <d v="2009-01-06T00:00:00"/>
    <n v="2009"/>
    <x v="80"/>
    <x v="0"/>
    <x v="1"/>
    <n v="3600"/>
    <x v="0"/>
    <s v="Trina"/>
    <s v="Overland"/>
    <x v="0"/>
    <x v="3"/>
  </r>
  <r>
    <x v="8"/>
    <d v="2009-01-09T00:00:00"/>
    <n v="2009"/>
    <x v="154"/>
    <x v="0"/>
    <x v="1"/>
    <n v="3600"/>
    <x v="0"/>
    <s v="Jenna and Paul"/>
    <s v="Senatobia"/>
    <x v="0"/>
    <x v="0"/>
  </r>
  <r>
    <x v="0"/>
    <d v="2009-01-02T00:00:00"/>
    <n v="2009"/>
    <x v="155"/>
    <x v="1"/>
    <x v="0"/>
    <n v="1200"/>
    <x v="1"/>
    <s v="Monique"/>
    <s v="Waldorf"/>
    <x v="0"/>
    <x v="0"/>
  </r>
  <r>
    <x v="27"/>
    <d v="2009-01-28T00:00:00"/>
    <n v="2009"/>
    <x v="156"/>
    <x v="1"/>
    <x v="0"/>
    <n v="1200"/>
    <x v="0"/>
    <s v="lilia"/>
    <s v="Brooklyn"/>
    <x v="0"/>
    <x v="5"/>
  </r>
  <r>
    <x v="13"/>
    <d v="2009-01-14T00:00:00"/>
    <n v="2009"/>
    <x v="157"/>
    <x v="1"/>
    <x v="0"/>
    <n v="1200"/>
    <x v="1"/>
    <s v="Lainey"/>
    <s v="Lakeville"/>
    <x v="0"/>
    <x v="5"/>
  </r>
  <r>
    <x v="5"/>
    <d v="2009-01-07T00:00:00"/>
    <n v="2009"/>
    <x v="158"/>
    <x v="1"/>
    <x v="0"/>
    <n v="1200"/>
    <x v="2"/>
    <s v="Fiona"/>
    <s v="Stamford"/>
    <x v="0"/>
    <x v="5"/>
  </r>
  <r>
    <x v="17"/>
    <d v="2009-01-18T00:00:00"/>
    <n v="2009"/>
    <x v="159"/>
    <x v="0"/>
    <x v="0"/>
    <n v="1200"/>
    <x v="1"/>
    <s v="Stanford"/>
    <s v="Howell"/>
    <x v="0"/>
    <x v="1"/>
  </r>
  <r>
    <x v="1"/>
    <d v="2009-01-04T00:00:00"/>
    <n v="2009"/>
    <x v="160"/>
    <x v="0"/>
    <x v="0"/>
    <n v="1200"/>
    <x v="2"/>
    <s v="ruth"/>
    <s v="Encinitas"/>
    <x v="0"/>
    <x v="1"/>
  </r>
  <r>
    <x v="2"/>
    <d v="2009-01-05T00:00:00"/>
    <n v="2009"/>
    <x v="161"/>
    <x v="0"/>
    <x v="0"/>
    <n v="1200"/>
    <x v="0"/>
    <s v="Courtney"/>
    <s v="Atchison"/>
    <x v="0"/>
    <x v="2"/>
  </r>
  <r>
    <x v="2"/>
    <d v="2009-01-05T00:00:00"/>
    <n v="2009"/>
    <x v="162"/>
    <x v="0"/>
    <x v="2"/>
    <n v="3600"/>
    <x v="2"/>
    <s v="Courtney"/>
    <s v="Mililani"/>
    <x v="0"/>
    <x v="2"/>
  </r>
  <r>
    <x v="10"/>
    <d v="2009-01-12T00:00:00"/>
    <n v="2009"/>
    <x v="163"/>
    <x v="0"/>
    <x v="0"/>
    <n v="1200"/>
    <x v="0"/>
    <s v="Anthony"/>
    <s v="Victor"/>
    <x v="0"/>
    <x v="2"/>
  </r>
  <r>
    <x v="17"/>
    <d v="2009-01-18T00:00:00"/>
    <n v="2009"/>
    <x v="164"/>
    <x v="0"/>
    <x v="0"/>
    <n v="1200"/>
    <x v="0"/>
    <s v="Eleanor"/>
    <s v="Fairbanks"/>
    <x v="0"/>
    <x v="1"/>
  </r>
  <r>
    <x v="27"/>
    <d v="2009-01-28T00:00:00"/>
    <n v="2009"/>
    <x v="165"/>
    <x v="0"/>
    <x v="0"/>
    <n v="1200"/>
    <x v="2"/>
    <s v="BALA"/>
    <s v="Accokeek"/>
    <x v="0"/>
    <x v="5"/>
  </r>
  <r>
    <x v="28"/>
    <d v="2009-01-29T00:00:00"/>
    <n v="2009"/>
    <x v="166"/>
    <x v="0"/>
    <x v="0"/>
    <n v="1200"/>
    <x v="0"/>
    <s v="Mrs"/>
    <s v="Sunnyvale"/>
    <x v="0"/>
    <x v="4"/>
  </r>
  <r>
    <x v="28"/>
    <d v="2009-01-29T00:00:00"/>
    <n v="2009"/>
    <x v="167"/>
    <x v="0"/>
    <x v="0"/>
    <n v="1200"/>
    <x v="0"/>
    <s v="Vanessa"/>
    <s v="Ithaca"/>
    <x v="0"/>
    <x v="4"/>
  </r>
  <r>
    <x v="12"/>
    <d v="2009-01-13T00:00:00"/>
    <n v="2009"/>
    <x v="168"/>
    <x v="0"/>
    <x v="0"/>
    <n v="1200"/>
    <x v="2"/>
    <s v="Amanda"/>
    <s v="Houston"/>
    <x v="0"/>
    <x v="3"/>
  </r>
  <r>
    <x v="8"/>
    <d v="2009-01-09T00:00:00"/>
    <n v="2009"/>
    <x v="169"/>
    <x v="0"/>
    <x v="0"/>
    <n v="1200"/>
    <x v="1"/>
    <s v="alex"/>
    <s v="Farmingtn Hls"/>
    <x v="0"/>
    <x v="0"/>
  </r>
  <r>
    <x v="22"/>
    <d v="2009-01-23T00:00:00"/>
    <n v="2009"/>
    <x v="119"/>
    <x v="0"/>
    <x v="0"/>
    <n v="1200"/>
    <x v="1"/>
    <s v="T"/>
    <s v="Brooklyn"/>
    <x v="0"/>
    <x v="0"/>
  </r>
  <r>
    <x v="28"/>
    <d v="2009-01-29T00:00:00"/>
    <n v="2009"/>
    <x v="170"/>
    <x v="1"/>
    <x v="0"/>
    <n v="1200"/>
    <x v="1"/>
    <s v="Alva and Martin"/>
    <s v="Great Falls"/>
    <x v="0"/>
    <x v="4"/>
  </r>
  <r>
    <x v="28"/>
    <d v="2009-01-29T00:00:00"/>
    <n v="2009"/>
    <x v="171"/>
    <x v="0"/>
    <x v="1"/>
    <n v="300000"/>
    <x v="1"/>
    <s v="Jacqui"/>
    <s v="Scottsdale"/>
    <x v="0"/>
    <x v="4"/>
  </r>
  <r>
    <x v="28"/>
    <d v="2009-01-29T00:00:00"/>
    <n v="2009"/>
    <x v="172"/>
    <x v="0"/>
    <x v="0"/>
    <n v="1200"/>
    <x v="0"/>
    <s v="KERRY"/>
    <s v="Sunnyvale"/>
    <x v="0"/>
    <x v="4"/>
  </r>
  <r>
    <x v="21"/>
    <d v="2009-01-22T00:00:00"/>
    <n v="2009"/>
    <x v="173"/>
    <x v="0"/>
    <x v="1"/>
    <n v="300000"/>
    <x v="1"/>
    <s v="leanne"/>
    <s v="Clyde Hill"/>
    <x v="0"/>
    <x v="4"/>
  </r>
  <r>
    <x v="11"/>
    <d v="2009-01-11T00:00:00"/>
    <n v="2009"/>
    <x v="174"/>
    <x v="1"/>
    <x v="0"/>
    <n v="1200"/>
    <x v="0"/>
    <s v="Marina"/>
    <s v="Minneapolis"/>
    <x v="0"/>
    <x v="1"/>
  </r>
  <r>
    <x v="0"/>
    <d v="2009-01-02T00:00:00"/>
    <n v="2009"/>
    <x v="175"/>
    <x v="0"/>
    <x v="0"/>
    <n v="1200"/>
    <x v="0"/>
    <s v="camilla"/>
    <s v="Chicago"/>
    <x v="0"/>
    <x v="0"/>
  </r>
  <r>
    <x v="18"/>
    <d v="2009-01-19T00:00:00"/>
    <n v="2009"/>
    <x v="176"/>
    <x v="0"/>
    <x v="0"/>
    <n v="1200"/>
    <x v="1"/>
    <s v="Maie"/>
    <s v="Queen Creek"/>
    <x v="0"/>
    <x v="2"/>
  </r>
  <r>
    <x v="24"/>
    <d v="2009-01-26T00:00:00"/>
    <n v="2009"/>
    <x v="27"/>
    <x v="1"/>
    <x v="0"/>
    <n v="1250"/>
    <x v="1"/>
    <s v="verena"/>
    <s v="Queen Creek"/>
    <x v="0"/>
    <x v="2"/>
  </r>
  <r>
    <x v="5"/>
    <d v="2009-01-07T00:00:00"/>
    <n v="2009"/>
    <x v="177"/>
    <x v="0"/>
    <x v="0"/>
    <n v="1200"/>
    <x v="0"/>
    <s v="Marie-Christine"/>
    <s v="Durham"/>
    <x v="0"/>
    <x v="5"/>
  </r>
  <r>
    <x v="24"/>
    <d v="2009-01-26T00:00:00"/>
    <n v="2009"/>
    <x v="178"/>
    <x v="0"/>
    <x v="0"/>
    <n v="1200"/>
    <x v="1"/>
    <s v="Gabriella"/>
    <s v="Austin"/>
    <x v="0"/>
    <x v="2"/>
  </r>
  <r>
    <x v="6"/>
    <d v="2009-01-08T00:00:00"/>
    <n v="2009"/>
    <x v="179"/>
    <x v="0"/>
    <x v="0"/>
    <n v="1200"/>
    <x v="1"/>
    <s v="valerie et nicolas"/>
    <s v="Glenn Dale"/>
    <x v="0"/>
    <x v="4"/>
  </r>
  <r>
    <x v="29"/>
    <d v="2009-01-30T00:00:00"/>
    <n v="2009"/>
    <x v="180"/>
    <x v="0"/>
    <x v="0"/>
    <n v="1200"/>
    <x v="0"/>
    <s v="Renee"/>
    <s v="Edinburg"/>
    <x v="0"/>
    <x v="0"/>
  </r>
  <r>
    <x v="30"/>
    <d v="2009-01-31T00:00:00"/>
    <n v="2009"/>
    <x v="181"/>
    <x v="0"/>
    <x v="0"/>
    <n v="1200"/>
    <x v="0"/>
    <s v="Monica"/>
    <s v="Weston"/>
    <x v="0"/>
    <x v="6"/>
  </r>
  <r>
    <x v="30"/>
    <d v="2009-01-31T00:00:00"/>
    <n v="2009"/>
    <x v="159"/>
    <x v="0"/>
    <x v="0"/>
    <n v="1200"/>
    <x v="1"/>
    <s v="Laura"/>
    <s v="Coconut Grove"/>
    <x v="0"/>
    <x v="6"/>
  </r>
  <r>
    <x v="11"/>
    <d v="2009-01-11T00:00:00"/>
    <n v="2009"/>
    <x v="182"/>
    <x v="0"/>
    <x v="0"/>
    <n v="1200"/>
    <x v="0"/>
    <s v="Sarah"/>
    <s v="San Francisco"/>
    <x v="0"/>
    <x v="1"/>
  </r>
  <r>
    <x v="30"/>
    <d v="2009-01-31T00:00:00"/>
    <n v="2009"/>
    <x v="183"/>
    <x v="0"/>
    <x v="1"/>
    <n v="300000"/>
    <x v="1"/>
    <s v="Ulrika"/>
    <s v="Scottsdale"/>
    <x v="0"/>
    <x v="6"/>
  </r>
  <r>
    <x v="0"/>
    <d v="2009-01-02T00:00:00"/>
    <n v="2009"/>
    <x v="184"/>
    <x v="0"/>
    <x v="0"/>
    <n v="1200"/>
    <x v="2"/>
    <s v="leigh"/>
    <s v="Potomac Falls"/>
    <x v="0"/>
    <x v="0"/>
  </r>
  <r>
    <x v="1"/>
    <d v="2009-01-04T00:00:00"/>
    <n v="2009"/>
    <x v="185"/>
    <x v="0"/>
    <x v="0"/>
    <n v="1200"/>
    <x v="1"/>
    <s v="Nuria"/>
    <s v="Superior"/>
    <x v="0"/>
    <x v="1"/>
  </r>
  <r>
    <x v="17"/>
    <d v="2009-01-18T00:00:00"/>
    <n v="2009"/>
    <x v="186"/>
    <x v="0"/>
    <x v="0"/>
    <n v="1200"/>
    <x v="1"/>
    <s v="Ignacio"/>
    <s v="Engleside"/>
    <x v="0"/>
    <x v="1"/>
  </r>
  <r>
    <x v="25"/>
    <d v="2009-01-24T00:00:00"/>
    <n v="2009"/>
    <x v="187"/>
    <x v="0"/>
    <x v="0"/>
    <n v="1200"/>
    <x v="1"/>
    <s v="nihan"/>
    <s v="Roanoke"/>
    <x v="0"/>
    <x v="6"/>
  </r>
  <r>
    <x v="25"/>
    <d v="2009-01-24T00:00:00"/>
    <n v="2009"/>
    <x v="188"/>
    <x v="0"/>
    <x v="0"/>
    <n v="1200"/>
    <x v="0"/>
    <s v="alan"/>
    <s v="Norcross"/>
    <x v="0"/>
    <x v="6"/>
  </r>
  <r>
    <x v="3"/>
    <d v="2009-01-06T00:00:00"/>
    <n v="2009"/>
    <x v="23"/>
    <x v="0"/>
    <x v="0"/>
    <n v="1200"/>
    <x v="2"/>
    <s v="lydia"/>
    <s v="Sandy Plains"/>
    <x v="0"/>
    <x v="3"/>
  </r>
  <r>
    <x v="7"/>
    <d v="2009-01-03T00:00:00"/>
    <n v="2009"/>
    <x v="189"/>
    <x v="0"/>
    <x v="0"/>
    <n v="1200"/>
    <x v="0"/>
    <s v="Anja"/>
    <s v="Gainesville"/>
    <x v="0"/>
    <x v="6"/>
  </r>
  <r>
    <x v="10"/>
    <d v="2009-01-12T00:00:00"/>
    <n v="2009"/>
    <x v="190"/>
    <x v="0"/>
    <x v="0"/>
    <n v="1200"/>
    <x v="0"/>
    <s v="Holly"/>
    <s v="Arlington"/>
    <x v="0"/>
    <x v="2"/>
  </r>
  <r>
    <x v="5"/>
    <d v="2009-01-07T00:00:00"/>
    <n v="2009"/>
    <x v="89"/>
    <x v="0"/>
    <x v="0"/>
    <n v="1200"/>
    <x v="0"/>
    <s v="megan"/>
    <s v="West Hills"/>
    <x v="0"/>
    <x v="5"/>
  </r>
  <r>
    <x v="8"/>
    <d v="2009-01-09T00:00:00"/>
    <n v="2009"/>
    <x v="191"/>
    <x v="0"/>
    <x v="0"/>
    <n v="1200"/>
    <x v="1"/>
    <s v="Tarah"/>
    <s v="San Jose"/>
    <x v="0"/>
    <x v="0"/>
  </r>
  <r>
    <x v="22"/>
    <d v="2009-01-23T00:00:00"/>
    <n v="2009"/>
    <x v="192"/>
    <x v="0"/>
    <x v="0"/>
    <n v="1200"/>
    <x v="0"/>
    <s v="Joanne"/>
    <s v="Oak Park"/>
    <x v="0"/>
    <x v="0"/>
  </r>
  <r>
    <x v="3"/>
    <d v="2009-01-06T00:00:00"/>
    <n v="2009"/>
    <x v="193"/>
    <x v="0"/>
    <x v="0"/>
    <n v="1200"/>
    <x v="0"/>
    <s v="Margaret"/>
    <s v="Terrell Hills"/>
    <x v="0"/>
    <x v="3"/>
  </r>
  <r>
    <x v="27"/>
    <d v="2009-01-28T00:00:00"/>
    <n v="2009"/>
    <x v="194"/>
    <x v="0"/>
    <x v="0"/>
    <n v="1200"/>
    <x v="0"/>
    <s v="Whitney"/>
    <s v="Falmouth"/>
    <x v="0"/>
    <x v="5"/>
  </r>
  <r>
    <x v="18"/>
    <d v="2009-01-19T00:00:00"/>
    <n v="2009"/>
    <x v="195"/>
    <x v="0"/>
    <x v="0"/>
    <n v="1200"/>
    <x v="0"/>
    <s v="Pam"/>
    <s v="Richmond"/>
    <x v="0"/>
    <x v="2"/>
  </r>
  <r>
    <x v="29"/>
    <d v="2009-01-30T00:00:00"/>
    <n v="2009"/>
    <x v="196"/>
    <x v="0"/>
    <x v="0"/>
    <n v="1200"/>
    <x v="0"/>
    <s v="Heather"/>
    <s v="Ooltewah"/>
    <x v="0"/>
    <x v="0"/>
  </r>
  <r>
    <x v="2"/>
    <d v="2009-01-05T00:00:00"/>
    <n v="2009"/>
    <x v="197"/>
    <x v="1"/>
    <x v="0"/>
    <n v="1200"/>
    <x v="1"/>
    <s v="Kathryn"/>
    <s v="Pacific Beach"/>
    <x v="0"/>
    <x v="2"/>
  </r>
  <r>
    <x v="27"/>
    <d v="2009-01-28T00:00:00"/>
    <n v="2009"/>
    <x v="59"/>
    <x v="0"/>
    <x v="0"/>
    <n v="1200"/>
    <x v="0"/>
    <s v="Michele"/>
    <s v="Austin"/>
    <x v="0"/>
    <x v="5"/>
  </r>
  <r>
    <x v="9"/>
    <d v="2009-01-10T00:00:00"/>
    <n v="2009"/>
    <x v="198"/>
    <x v="0"/>
    <x v="0"/>
    <n v="1200"/>
    <x v="0"/>
    <s v="Craig"/>
    <s v="Seattle"/>
    <x v="0"/>
    <x v="6"/>
  </r>
  <r>
    <x v="23"/>
    <d v="2009-01-25T00:00:00"/>
    <n v="2009"/>
    <x v="121"/>
    <x v="0"/>
    <x v="0"/>
    <n v="1200"/>
    <x v="0"/>
    <s v="Kim"/>
    <s v="Seattle"/>
    <x v="0"/>
    <x v="1"/>
  </r>
  <r>
    <x v="20"/>
    <d v="2009-01-21T00:00:00"/>
    <n v="2009"/>
    <x v="199"/>
    <x v="0"/>
    <x v="0"/>
    <n v="1200"/>
    <x v="0"/>
    <s v="Elaine"/>
    <s v="Vienna"/>
    <x v="0"/>
    <x v="5"/>
  </r>
  <r>
    <x v="26"/>
    <d v="2009-01-27T00:00:00"/>
    <n v="2009"/>
    <x v="148"/>
    <x v="0"/>
    <x v="0"/>
    <n v="1200"/>
    <x v="0"/>
    <s v="Helena"/>
    <s v="Fremont"/>
    <x v="0"/>
    <x v="3"/>
  </r>
  <r>
    <x v="14"/>
    <d v="2009-01-15T00:00:00"/>
    <n v="2009"/>
    <x v="128"/>
    <x v="0"/>
    <x v="0"/>
    <n v="1200"/>
    <x v="2"/>
    <s v="Mark"/>
    <s v="Holmdel"/>
    <x v="0"/>
    <x v="4"/>
  </r>
  <r>
    <x v="12"/>
    <d v="2009-01-13T00:00:00"/>
    <n v="2009"/>
    <x v="200"/>
    <x v="0"/>
    <x v="0"/>
    <n v="1200"/>
    <x v="0"/>
    <s v="alice and rudolf"/>
    <s v="Baltimore"/>
    <x v="0"/>
    <x v="3"/>
  </r>
  <r>
    <x v="15"/>
    <d v="2009-01-16T00:00:00"/>
    <n v="2009"/>
    <x v="201"/>
    <x v="0"/>
    <x v="0"/>
    <n v="1200"/>
    <x v="1"/>
    <s v="Yoko"/>
    <s v="Andover"/>
    <x v="0"/>
    <x v="0"/>
  </r>
  <r>
    <x v="4"/>
    <d v="2009-01-01T00:00:00"/>
    <n v="2009"/>
    <x v="202"/>
    <x v="0"/>
    <x v="0"/>
    <n v="1200"/>
    <x v="1"/>
    <s v="Barbara"/>
    <s v="La Crescenta"/>
    <x v="0"/>
    <x v="4"/>
  </r>
  <r>
    <x v="12"/>
    <d v="2009-01-13T00:00:00"/>
    <n v="2009"/>
    <x v="203"/>
    <x v="0"/>
    <x v="0"/>
    <n v="1200"/>
    <x v="1"/>
    <s v="Kit"/>
    <s v="Suwanee"/>
    <x v="0"/>
    <x v="3"/>
  </r>
  <r>
    <x v="3"/>
    <d v="2009-01-06T00:00:00"/>
    <n v="2009"/>
    <x v="204"/>
    <x v="0"/>
    <x v="1"/>
    <n v="3600"/>
    <x v="0"/>
    <s v="cristina"/>
    <s v="Seattle"/>
    <x v="0"/>
    <x v="3"/>
  </r>
  <r>
    <x v="2"/>
    <d v="2009-01-05T00:00:00"/>
    <n v="2009"/>
    <x v="205"/>
    <x v="0"/>
    <x v="0"/>
    <n v="1200"/>
    <x v="2"/>
    <s v="linda"/>
    <s v="Arlington"/>
    <x v="0"/>
    <x v="2"/>
  </r>
  <r>
    <x v="10"/>
    <d v="2009-01-12T00:00:00"/>
    <n v="2009"/>
    <x v="206"/>
    <x v="0"/>
    <x v="0"/>
    <n v="1200"/>
    <x v="0"/>
    <s v="Alicja"/>
    <s v="Kenmore"/>
    <x v="0"/>
    <x v="2"/>
  </r>
  <r>
    <x v="16"/>
    <d v="2009-01-17T00:00:00"/>
    <n v="2009"/>
    <x v="207"/>
    <x v="0"/>
    <x v="0"/>
    <n v="1200"/>
    <x v="0"/>
    <s v="Rachel"/>
    <s v="Fresno"/>
    <x v="0"/>
    <x v="6"/>
  </r>
  <r>
    <x v="17"/>
    <d v="2009-01-18T00:00:00"/>
    <n v="2009"/>
    <x v="80"/>
    <x v="0"/>
    <x v="0"/>
    <n v="1200"/>
    <x v="2"/>
    <s v="Rachel"/>
    <s v="Atascadero"/>
    <x v="0"/>
    <x v="1"/>
  </r>
  <r>
    <x v="11"/>
    <d v="2009-01-11T00:00:00"/>
    <n v="2009"/>
    <x v="208"/>
    <x v="0"/>
    <x v="0"/>
    <n v="1200"/>
    <x v="1"/>
    <s v="Anna"/>
    <s v="New York"/>
    <x v="0"/>
    <x v="1"/>
  </r>
  <r>
    <x v="18"/>
    <d v="2009-01-19T00:00:00"/>
    <n v="2009"/>
    <x v="129"/>
    <x v="0"/>
    <x v="0"/>
    <n v="1200"/>
    <x v="1"/>
    <s v="Laura"/>
    <s v="Fairfield"/>
    <x v="0"/>
    <x v="2"/>
  </r>
  <r>
    <x v="14"/>
    <d v="2009-01-15T00:00:00"/>
    <n v="2009"/>
    <x v="209"/>
    <x v="0"/>
    <x v="0"/>
    <n v="1200"/>
    <x v="0"/>
    <s v="Katherine"/>
    <s v="Marietta"/>
    <x v="0"/>
    <x v="4"/>
  </r>
  <r>
    <x v="10"/>
    <d v="2009-01-12T00:00:00"/>
    <n v="2009"/>
    <x v="210"/>
    <x v="0"/>
    <x v="0"/>
    <n v="1200"/>
    <x v="2"/>
    <s v="Francoise"/>
    <s v="Danville"/>
    <x v="0"/>
    <x v="2"/>
  </r>
  <r>
    <x v="23"/>
    <d v="2009-01-25T00:00:00"/>
    <n v="2009"/>
    <x v="211"/>
    <x v="0"/>
    <x v="0"/>
    <n v="1200"/>
    <x v="2"/>
    <s v="Corinne"/>
    <s v="Anthem"/>
    <x v="0"/>
    <x v="1"/>
  </r>
  <r>
    <x v="2"/>
    <d v="2009-01-05T00:00:00"/>
    <n v="2009"/>
    <x v="212"/>
    <x v="0"/>
    <x v="0"/>
    <n v="1200"/>
    <x v="0"/>
    <s v="Carmen"/>
    <s v="Arlington"/>
    <x v="0"/>
    <x v="2"/>
  </r>
  <r>
    <x v="5"/>
    <d v="2009-01-07T00:00:00"/>
    <n v="2009"/>
    <x v="213"/>
    <x v="0"/>
    <x v="2"/>
    <n v="3600"/>
    <x v="2"/>
    <s v="Brittany"/>
    <s v="Orlando"/>
    <x v="0"/>
    <x v="5"/>
  </r>
  <r>
    <x v="22"/>
    <d v="2009-01-23T00:00:00"/>
    <n v="2009"/>
    <x v="214"/>
    <x v="0"/>
    <x v="0"/>
    <n v="1200"/>
    <x v="1"/>
    <s v="Sandrine"/>
    <s v="Walnut Creek"/>
    <x v="0"/>
    <x v="0"/>
  </r>
  <r>
    <x v="7"/>
    <d v="2009-01-03T00:00:00"/>
    <n v="2009"/>
    <x v="215"/>
    <x v="0"/>
    <x v="0"/>
    <n v="1200"/>
    <x v="1"/>
    <s v="asuncion"/>
    <s v="Centennial"/>
    <x v="0"/>
    <x v="6"/>
  </r>
  <r>
    <x v="11"/>
    <d v="2009-01-11T00:00:00"/>
    <n v="2009"/>
    <x v="216"/>
    <x v="0"/>
    <x v="0"/>
    <n v="1200"/>
    <x v="0"/>
    <s v="Sophie"/>
    <s v="Newtown"/>
    <x v="0"/>
    <x v="1"/>
  </r>
  <r>
    <x v="28"/>
    <d v="2009-01-29T00:00:00"/>
    <n v="2009"/>
    <x v="217"/>
    <x v="0"/>
    <x v="0"/>
    <n v="1200"/>
    <x v="0"/>
    <s v="samuel"/>
    <s v="Saddle Brook"/>
    <x v="0"/>
    <x v="4"/>
  </r>
  <r>
    <x v="6"/>
    <d v="2009-01-08T00:00:00"/>
    <n v="2009"/>
    <x v="218"/>
    <x v="0"/>
    <x v="0"/>
    <n v="1200"/>
    <x v="2"/>
    <s v="AngelinaPatrick"/>
    <s v="San Diego"/>
    <x v="0"/>
    <x v="4"/>
  </r>
  <r>
    <x v="30"/>
    <d v="2009-01-31T00:00:00"/>
    <n v="2009"/>
    <x v="219"/>
    <x v="0"/>
    <x v="0"/>
    <n v="1200"/>
    <x v="0"/>
    <s v="Sven"/>
    <s v="Issaquah"/>
    <x v="0"/>
    <x v="6"/>
  </r>
  <r>
    <x v="29"/>
    <d v="2009-01-30T00:00:00"/>
    <n v="2009"/>
    <x v="220"/>
    <x v="0"/>
    <x v="0"/>
    <n v="1200"/>
    <x v="0"/>
    <s v="Patrick"/>
    <s v="Lexington"/>
    <x v="0"/>
    <x v="0"/>
  </r>
  <r>
    <x v="26"/>
    <d v="2009-01-27T00:00:00"/>
    <n v="2009"/>
    <x v="78"/>
    <x v="0"/>
    <x v="0"/>
    <n v="1200"/>
    <x v="0"/>
    <s v="jason"/>
    <s v="Altadena"/>
    <x v="0"/>
    <x v="3"/>
  </r>
  <r>
    <x v="29"/>
    <d v="2009-01-30T00:00:00"/>
    <n v="2009"/>
    <x v="221"/>
    <x v="0"/>
    <x v="0"/>
    <n v="250"/>
    <x v="0"/>
    <s v="Tabatha"/>
    <s v="Altadena"/>
    <x v="0"/>
    <x v="0"/>
  </r>
  <r>
    <x v="16"/>
    <d v="2009-01-17T00:00:00"/>
    <n v="2009"/>
    <x v="222"/>
    <x v="0"/>
    <x v="1"/>
    <n v="3600"/>
    <x v="0"/>
    <s v="Aline"/>
    <s v="Davis"/>
    <x v="0"/>
    <x v="6"/>
  </r>
  <r>
    <x v="29"/>
    <d v="2009-01-30T00:00:00"/>
    <n v="2009"/>
    <x v="223"/>
    <x v="0"/>
    <x v="0"/>
    <n v="1200"/>
    <x v="1"/>
    <s v="Natasha"/>
    <s v="Pasadena"/>
    <x v="0"/>
    <x v="0"/>
  </r>
  <r>
    <x v="26"/>
    <d v="2009-01-27T00:00:00"/>
    <n v="2009"/>
    <x v="224"/>
    <x v="0"/>
    <x v="0"/>
    <n v="1200"/>
    <x v="1"/>
    <s v="Melinda"/>
    <s v="Buffalo Grove"/>
    <x v="0"/>
    <x v="3"/>
  </r>
  <r>
    <x v="20"/>
    <d v="2009-01-21T00:00:00"/>
    <n v="2009"/>
    <x v="76"/>
    <x v="0"/>
    <x v="2"/>
    <n v="1200"/>
    <x v="2"/>
    <s v="Britlyn"/>
    <s v="Norwalk"/>
    <x v="0"/>
    <x v="5"/>
  </r>
  <r>
    <x v="19"/>
    <d v="2009-01-20T00:00:00"/>
    <n v="2009"/>
    <x v="116"/>
    <x v="0"/>
    <x v="0"/>
    <n v="1200"/>
    <x v="1"/>
    <s v="Sarah"/>
    <s v="Floyds Knobs"/>
    <x v="0"/>
    <x v="3"/>
  </r>
  <r>
    <x v="11"/>
    <d v="2009-01-11T00:00:00"/>
    <n v="2009"/>
    <x v="88"/>
    <x v="0"/>
    <x v="0"/>
    <n v="1200"/>
    <x v="2"/>
    <s v="Caroline"/>
    <s v="Marietta"/>
    <x v="0"/>
    <x v="1"/>
  </r>
  <r>
    <x v="22"/>
    <d v="2009-01-23T00:00:00"/>
    <n v="2009"/>
    <x v="98"/>
    <x v="0"/>
    <x v="0"/>
    <n v="1800"/>
    <x v="2"/>
    <s v="Karena"/>
    <s v="Marietta"/>
    <x v="0"/>
    <x v="0"/>
  </r>
  <r>
    <x v="20"/>
    <d v="2009-01-21T00:00:00"/>
    <n v="2009"/>
    <x v="225"/>
    <x v="0"/>
    <x v="0"/>
    <n v="1200"/>
    <x v="2"/>
    <s v="janet"/>
    <s v="Hon"/>
    <x v="0"/>
    <x v="5"/>
  </r>
  <r>
    <x v="11"/>
    <d v="2009-01-11T00:00:00"/>
    <n v="2009"/>
    <x v="226"/>
    <x v="0"/>
    <x v="2"/>
    <n v="7500"/>
    <x v="0"/>
    <s v="Hans"/>
    <s v="Knoxville"/>
    <x v="0"/>
    <x v="1"/>
  </r>
  <r>
    <x v="11"/>
    <d v="2009-01-11T00:00:00"/>
    <n v="2009"/>
    <x v="227"/>
    <x v="0"/>
    <x v="0"/>
    <n v="1200"/>
    <x v="0"/>
    <s v="SandraThierryZoe"/>
    <s v="Knoxville"/>
    <x v="0"/>
    <x v="1"/>
  </r>
  <r>
    <x v="16"/>
    <d v="2009-01-17T00:00:00"/>
    <n v="2009"/>
    <x v="228"/>
    <x v="0"/>
    <x v="0"/>
    <n v="1200"/>
    <x v="0"/>
    <s v="Cara"/>
    <s v="Humble"/>
    <x v="0"/>
    <x v="6"/>
  </r>
  <r>
    <x v="1"/>
    <d v="2009-01-04T00:00:00"/>
    <n v="2009"/>
    <x v="106"/>
    <x v="0"/>
    <x v="0"/>
    <n v="1200"/>
    <x v="0"/>
    <s v="carolien"/>
    <s v="Mashpee"/>
    <x v="0"/>
    <x v="1"/>
  </r>
  <r>
    <x v="19"/>
    <d v="2009-01-20T00:00:00"/>
    <n v="2009"/>
    <x v="229"/>
    <x v="0"/>
    <x v="0"/>
    <n v="1200"/>
    <x v="0"/>
    <s v="Patrick"/>
    <s v="Birmingham"/>
    <x v="0"/>
    <x v="3"/>
  </r>
  <r>
    <x v="24"/>
    <d v="2009-01-26T00:00:00"/>
    <n v="2009"/>
    <x v="230"/>
    <x v="0"/>
    <x v="0"/>
    <n v="1200"/>
    <x v="0"/>
    <s v="Heidi"/>
    <s v="St Augustine"/>
    <x v="0"/>
    <x v="2"/>
  </r>
  <r>
    <x v="28"/>
    <d v="2009-01-29T00:00:00"/>
    <n v="2009"/>
    <x v="231"/>
    <x v="0"/>
    <x v="0"/>
    <n v="1200"/>
    <x v="0"/>
    <s v="Tom"/>
    <s v="Salt Lake City"/>
    <x v="0"/>
    <x v="4"/>
  </r>
  <r>
    <x v="10"/>
    <d v="2009-01-12T00:00:00"/>
    <n v="2009"/>
    <x v="232"/>
    <x v="0"/>
    <x v="2"/>
    <n v="1200"/>
    <x v="2"/>
    <s v="Justine"/>
    <s v="Seattle"/>
    <x v="0"/>
    <x v="2"/>
  </r>
  <r>
    <x v="23"/>
    <d v="2009-01-25T00:00:00"/>
    <n v="2009"/>
    <x v="233"/>
    <x v="0"/>
    <x v="2"/>
    <n v="7500"/>
    <x v="0"/>
    <s v="scott"/>
    <s v="Rogers"/>
    <x v="0"/>
    <x v="1"/>
  </r>
  <r>
    <x v="23"/>
    <d v="2009-01-25T00:00:00"/>
    <n v="2009"/>
    <x v="194"/>
    <x v="0"/>
    <x v="0"/>
    <n v="1200"/>
    <x v="0"/>
    <s v="Fatima"/>
    <s v="Rogers"/>
    <x v="0"/>
    <x v="1"/>
  </r>
  <r>
    <x v="0"/>
    <d v="2009-01-02T00:00:00"/>
    <n v="2009"/>
    <x v="234"/>
    <x v="0"/>
    <x v="0"/>
    <n v="1200"/>
    <x v="0"/>
    <s v="Sonja"/>
    <s v="Alpine"/>
    <x v="0"/>
    <x v="0"/>
  </r>
  <r>
    <x v="26"/>
    <d v="2009-01-27T00:00:00"/>
    <n v="2009"/>
    <x v="235"/>
    <x v="0"/>
    <x v="0"/>
    <n v="1200"/>
    <x v="1"/>
    <s v="Cleo"/>
    <s v="Pacific Palisades"/>
    <x v="0"/>
    <x v="3"/>
  </r>
  <r>
    <x v="21"/>
    <d v="2009-01-22T00:00:00"/>
    <n v="2009"/>
    <x v="236"/>
    <x v="0"/>
    <x v="0"/>
    <n v="1200"/>
    <x v="0"/>
    <s v="Claire"/>
    <s v="Trumansburg"/>
    <x v="0"/>
    <x v="4"/>
  </r>
  <r>
    <x v="23"/>
    <d v="2009-01-25T00:00:00"/>
    <n v="2009"/>
    <x v="237"/>
    <x v="1"/>
    <x v="0"/>
    <n v="1200"/>
    <x v="0"/>
    <s v="Lindsey"/>
    <s v="Kennett Square"/>
    <x v="0"/>
    <x v="1"/>
  </r>
  <r>
    <x v="9"/>
    <d v="2009-01-10T00:00:00"/>
    <n v="2009"/>
    <x v="238"/>
    <x v="0"/>
    <x v="1"/>
    <n v="3600"/>
    <x v="0"/>
    <s v="Nicola"/>
    <s v="San Jose"/>
    <x v="0"/>
    <x v="6"/>
  </r>
  <r>
    <x v="6"/>
    <d v="2009-01-08T00:00:00"/>
    <n v="2009"/>
    <x v="69"/>
    <x v="1"/>
    <x v="0"/>
    <n v="1200"/>
    <x v="0"/>
    <s v="jennifer"/>
    <s v="Morro Bay"/>
    <x v="0"/>
    <x v="4"/>
  </r>
  <r>
    <x v="7"/>
    <d v="2009-01-03T00:00:00"/>
    <n v="2009"/>
    <x v="239"/>
    <x v="0"/>
    <x v="0"/>
    <n v="1200"/>
    <x v="0"/>
    <s v="sherry"/>
    <s v="Las Vegas"/>
    <x v="0"/>
    <x v="6"/>
  </r>
  <r>
    <x v="21"/>
    <d v="2009-01-22T00:00:00"/>
    <n v="2009"/>
    <x v="62"/>
    <x v="1"/>
    <x v="1"/>
    <n v="3600"/>
    <x v="2"/>
    <s v="Laura"/>
    <s v="San Anselmo"/>
    <x v="0"/>
    <x v="4"/>
  </r>
  <r>
    <x v="3"/>
    <d v="2009-01-06T00:00:00"/>
    <n v="2009"/>
    <x v="240"/>
    <x v="0"/>
    <x v="0"/>
    <n v="1200"/>
    <x v="0"/>
    <s v="Matt"/>
    <s v="N Woodmere"/>
    <x v="0"/>
    <x v="3"/>
  </r>
  <r>
    <x v="10"/>
    <d v="2009-01-12T00:00:00"/>
    <n v="2009"/>
    <x v="123"/>
    <x v="0"/>
    <x v="0"/>
    <n v="1200"/>
    <x v="0"/>
    <s v="Stephanie"/>
    <s v="Fairfax"/>
    <x v="0"/>
    <x v="2"/>
  </r>
  <r>
    <x v="29"/>
    <d v="2009-01-30T00:00:00"/>
    <n v="2009"/>
    <x v="241"/>
    <x v="0"/>
    <x v="0"/>
    <n v="1200"/>
    <x v="0"/>
    <s v="Hurst"/>
    <s v="Chandler"/>
    <x v="0"/>
    <x v="0"/>
  </r>
  <r>
    <x v="21"/>
    <d v="2009-01-22T00:00:00"/>
    <n v="2009"/>
    <x v="226"/>
    <x v="0"/>
    <x v="0"/>
    <n v="1200"/>
    <x v="0"/>
    <s v="Liza"/>
    <s v="Dammeron Valley"/>
    <x v="0"/>
    <x v="4"/>
  </r>
  <r>
    <x v="26"/>
    <d v="2009-01-27T00:00:00"/>
    <n v="2009"/>
    <x v="242"/>
    <x v="0"/>
    <x v="0"/>
    <n v="1200"/>
    <x v="1"/>
    <s v="Michele"/>
    <s v="Buffalo"/>
    <x v="0"/>
    <x v="3"/>
  </r>
  <r>
    <x v="14"/>
    <d v="2009-01-15T00:00:00"/>
    <n v="2009"/>
    <x v="173"/>
    <x v="0"/>
    <x v="2"/>
    <n v="7500"/>
    <x v="0"/>
    <s v="Karin"/>
    <s v="Olive Branch"/>
    <x v="0"/>
    <x v="4"/>
  </r>
  <r>
    <x v="18"/>
    <d v="2009-01-19T00:00:00"/>
    <n v="2009"/>
    <x v="243"/>
    <x v="0"/>
    <x v="0"/>
    <n v="1200"/>
    <x v="2"/>
    <s v="cath"/>
    <s v="Warwick"/>
    <x v="0"/>
    <x v="2"/>
  </r>
  <r>
    <x v="4"/>
    <d v="2009-01-01T00:00:00"/>
    <n v="2009"/>
    <x v="72"/>
    <x v="0"/>
    <x v="0"/>
    <n v="1200"/>
    <x v="2"/>
    <s v="Andrea"/>
    <s v="San Mateo"/>
    <x v="0"/>
    <x v="4"/>
  </r>
  <r>
    <x v="25"/>
    <d v="2009-01-24T00:00:00"/>
    <n v="2009"/>
    <x v="244"/>
    <x v="0"/>
    <x v="0"/>
    <n v="1200"/>
    <x v="0"/>
    <s v="Helen"/>
    <s v="Aloma"/>
    <x v="0"/>
    <x v="6"/>
  </r>
  <r>
    <x v="5"/>
    <d v="2009-01-07T00:00:00"/>
    <n v="2009"/>
    <x v="245"/>
    <x v="0"/>
    <x v="0"/>
    <n v="1200"/>
    <x v="0"/>
    <s v="C"/>
    <s v="Chandler"/>
    <x v="0"/>
    <x v="5"/>
  </r>
  <r>
    <x v="23"/>
    <d v="2009-01-25T00:00:00"/>
    <n v="2009"/>
    <x v="246"/>
    <x v="0"/>
    <x v="0"/>
    <n v="1200"/>
    <x v="2"/>
    <s v="Mareike"/>
    <s v="Cumming"/>
    <x v="0"/>
    <x v="1"/>
  </r>
  <r>
    <x v="14"/>
    <d v="2009-01-15T00:00:00"/>
    <n v="2009"/>
    <x v="247"/>
    <x v="0"/>
    <x v="0"/>
    <n v="1200"/>
    <x v="0"/>
    <s v="lamia"/>
    <s v="Little Compton"/>
    <x v="0"/>
    <x v="4"/>
  </r>
  <r>
    <x v="19"/>
    <d v="2009-01-20T00:00:00"/>
    <n v="2009"/>
    <x v="149"/>
    <x v="0"/>
    <x v="0"/>
    <n v="1200"/>
    <x v="0"/>
    <s v="Madhu"/>
    <s v="Centennial"/>
    <x v="0"/>
    <x v="3"/>
  </r>
  <r>
    <x v="27"/>
    <d v="2009-01-28T00:00:00"/>
    <n v="2009"/>
    <x v="248"/>
    <x v="0"/>
    <x v="0"/>
    <n v="13000"/>
    <x v="0"/>
    <s v="sandhya"/>
    <s v="Centennial"/>
    <x v="0"/>
    <x v="5"/>
  </r>
  <r>
    <x v="28"/>
    <d v="2009-01-29T00:00:00"/>
    <n v="2009"/>
    <x v="249"/>
    <x v="0"/>
    <x v="0"/>
    <n v="1200"/>
    <x v="2"/>
    <s v="Kimberly"/>
    <s v="Herndon"/>
    <x v="0"/>
    <x v="4"/>
  </r>
  <r>
    <x v="3"/>
    <d v="2009-01-06T00:00:00"/>
    <n v="2009"/>
    <x v="177"/>
    <x v="0"/>
    <x v="0"/>
    <n v="1200"/>
    <x v="0"/>
    <s v="Tania"/>
    <s v="Vista"/>
    <x v="0"/>
    <x v="3"/>
  </r>
  <r>
    <x v="20"/>
    <d v="2009-01-21T00:00:00"/>
    <n v="2009"/>
    <x v="250"/>
    <x v="0"/>
    <x v="0"/>
    <n v="1200"/>
    <x v="0"/>
    <s v="andrea"/>
    <s v="Oostburg"/>
    <x v="0"/>
    <x v="5"/>
  </r>
  <r>
    <x v="23"/>
    <d v="2009-01-25T00:00:00"/>
    <n v="2009"/>
    <x v="203"/>
    <x v="0"/>
    <x v="1"/>
    <n v="3600"/>
    <x v="0"/>
    <s v="carol"/>
    <s v="Ann Arbor"/>
    <x v="0"/>
    <x v="1"/>
  </r>
  <r>
    <x v="8"/>
    <d v="2009-01-09T00:00:00"/>
    <n v="2009"/>
    <x v="230"/>
    <x v="0"/>
    <x v="0"/>
    <n v="1200"/>
    <x v="0"/>
    <s v="Nona"/>
    <s v="South Jordan"/>
    <x v="0"/>
    <x v="0"/>
  </r>
  <r>
    <x v="24"/>
    <d v="2009-01-26T00:00:00"/>
    <n v="2009"/>
    <x v="251"/>
    <x v="0"/>
    <x v="0"/>
    <n v="1200"/>
    <x v="1"/>
    <s v="Alicia"/>
    <s v="Lincoln"/>
    <x v="0"/>
    <x v="2"/>
  </r>
  <r>
    <x v="17"/>
    <d v="2009-01-18T00:00:00"/>
    <n v="2009"/>
    <x v="26"/>
    <x v="1"/>
    <x v="0"/>
    <n v="1200"/>
    <x v="1"/>
    <s v="sandra"/>
    <s v="Burr Oak"/>
    <x v="0"/>
    <x v="1"/>
  </r>
  <r>
    <x v="25"/>
    <d v="2009-01-24T00:00:00"/>
    <n v="2009"/>
    <x v="252"/>
    <x v="0"/>
    <x v="0"/>
    <n v="1200"/>
    <x v="0"/>
    <s v="Olivia"/>
    <s v="Wheaton"/>
    <x v="0"/>
    <x v="6"/>
  </r>
  <r>
    <x v="24"/>
    <d v="2009-01-26T00:00:00"/>
    <n v="2009"/>
    <x v="253"/>
    <x v="1"/>
    <x v="1"/>
    <n v="3600"/>
    <x v="1"/>
    <s v="Tom"/>
    <s v="Killeen"/>
    <x v="0"/>
    <x v="2"/>
  </r>
  <r>
    <x v="2"/>
    <d v="2009-01-05T00:00:00"/>
    <n v="2009"/>
    <x v="81"/>
    <x v="0"/>
    <x v="0"/>
    <n v="1200"/>
    <x v="0"/>
    <s v="Annette"/>
    <s v="Manhattan"/>
    <x v="0"/>
    <x v="2"/>
  </r>
  <r>
    <x v="17"/>
    <d v="2009-01-18T00:00:00"/>
    <n v="2009"/>
    <x v="254"/>
    <x v="0"/>
    <x v="0"/>
    <n v="1200"/>
    <x v="0"/>
    <s v="Richard"/>
    <s v="Jamestown"/>
    <x v="0"/>
    <x v="1"/>
  </r>
  <r>
    <x v="8"/>
    <d v="2009-01-09T00:00:00"/>
    <n v="2009"/>
    <x v="183"/>
    <x v="0"/>
    <x v="0"/>
    <n v="1200"/>
    <x v="0"/>
    <s v="Jasinta Jeanne"/>
    <s v="Owings Mills"/>
    <x v="0"/>
    <x v="0"/>
  </r>
  <r>
    <x v="5"/>
    <d v="2009-01-07T00:00:00"/>
    <n v="2009"/>
    <x v="238"/>
    <x v="0"/>
    <x v="0"/>
    <n v="1200"/>
    <x v="2"/>
    <s v="Cherish"/>
    <s v="Anchorage"/>
    <x v="0"/>
    <x v="5"/>
  </r>
  <r>
    <x v="29"/>
    <d v="2009-01-30T00:00:00"/>
    <n v="2009"/>
    <x v="255"/>
    <x v="1"/>
    <x v="0"/>
    <n v="1200"/>
    <x v="1"/>
    <s v="Abikay"/>
    <s v="Fullerton"/>
    <x v="0"/>
    <x v="0"/>
  </r>
  <r>
    <x v="3"/>
    <d v="2009-01-06T00:00:00"/>
    <n v="2009"/>
    <x v="256"/>
    <x v="0"/>
    <x v="0"/>
    <n v="1200"/>
    <x v="2"/>
    <s v="Abikay"/>
    <s v="Atlanta"/>
    <x v="0"/>
    <x v="3"/>
  </r>
  <r>
    <x v="18"/>
    <d v="2009-01-19T00:00:00"/>
    <n v="2009"/>
    <x v="257"/>
    <x v="0"/>
    <x v="0"/>
    <n v="1200"/>
    <x v="2"/>
    <s v="amanda"/>
    <s v="Las Vegas"/>
    <x v="0"/>
    <x v="2"/>
  </r>
  <r>
    <x v="8"/>
    <d v="2009-01-09T00:00:00"/>
    <n v="2009"/>
    <x v="153"/>
    <x v="0"/>
    <x v="0"/>
    <n v="1200"/>
    <x v="0"/>
    <s v="Stacy"/>
    <s v="Rochester Hills"/>
    <x v="0"/>
    <x v="0"/>
  </r>
  <r>
    <x v="13"/>
    <d v="2009-01-14T00:00:00"/>
    <n v="2009"/>
    <x v="258"/>
    <x v="0"/>
    <x v="0"/>
    <n v="1200"/>
    <x v="0"/>
    <s v="eugenia"/>
    <s v="Wisconsin Rapids"/>
    <x v="0"/>
    <x v="5"/>
  </r>
  <r>
    <x v="5"/>
    <d v="2009-01-07T00:00:00"/>
    <n v="2009"/>
    <x v="259"/>
    <x v="0"/>
    <x v="0"/>
    <n v="1200"/>
    <x v="0"/>
    <s v="Karen"/>
    <s v="Austin"/>
    <x v="0"/>
    <x v="5"/>
  </r>
  <r>
    <x v="19"/>
    <d v="2009-01-20T00:00:00"/>
    <n v="2009"/>
    <x v="260"/>
    <x v="1"/>
    <x v="0"/>
    <n v="1200"/>
    <x v="0"/>
    <s v="Bea"/>
    <s v="Chicago"/>
    <x v="0"/>
    <x v="3"/>
  </r>
  <r>
    <x v="3"/>
    <d v="2009-01-06T00:00:00"/>
    <n v="2009"/>
    <x v="261"/>
    <x v="0"/>
    <x v="0"/>
    <n v="1200"/>
    <x v="0"/>
    <s v="Hilde Karin"/>
    <s v="Las Vegas"/>
    <x v="0"/>
    <x v="3"/>
  </r>
  <r>
    <x v="2"/>
    <d v="2009-01-05T00:00:00"/>
    <n v="2009"/>
    <x v="262"/>
    <x v="0"/>
    <x v="1"/>
    <n v="3600"/>
    <x v="0"/>
    <s v="Emillie"/>
    <s v="Eagan"/>
    <x v="0"/>
    <x v="2"/>
  </r>
  <r>
    <x v="20"/>
    <d v="2009-01-21T00:00:00"/>
    <n v="2009"/>
    <x v="194"/>
    <x v="0"/>
    <x v="0"/>
    <n v="1200"/>
    <x v="1"/>
    <s v="Ailsa"/>
    <s v="Lindenhurst"/>
    <x v="0"/>
    <x v="5"/>
  </r>
  <r>
    <x v="2"/>
    <d v="2009-01-05T00:00:00"/>
    <n v="2009"/>
    <x v="263"/>
    <x v="0"/>
    <x v="0"/>
    <n v="1200"/>
    <x v="0"/>
    <s v="Sophie"/>
    <s v="Bloomfield"/>
    <x v="0"/>
    <x v="2"/>
  </r>
  <r>
    <x v="26"/>
    <d v="2009-01-27T00:00:00"/>
    <n v="2009"/>
    <x v="264"/>
    <x v="0"/>
    <x v="1"/>
    <n v="3600"/>
    <x v="2"/>
    <s v="Michael"/>
    <s v="Los Angeles"/>
    <x v="0"/>
    <x v="3"/>
  </r>
  <r>
    <x v="29"/>
    <d v="2009-01-30T00:00:00"/>
    <n v="2009"/>
    <x v="265"/>
    <x v="0"/>
    <x v="0"/>
    <n v="1200"/>
    <x v="1"/>
    <s v="Nicole"/>
    <s v="Fayetteville"/>
    <x v="0"/>
    <x v="0"/>
  </r>
  <r>
    <x v="21"/>
    <d v="2009-01-22T00:00:00"/>
    <n v="2009"/>
    <x v="266"/>
    <x v="0"/>
    <x v="0"/>
    <n v="1200"/>
    <x v="0"/>
    <s v="Ryan"/>
    <s v="Simpsonville"/>
    <x v="0"/>
    <x v="4"/>
  </r>
  <r>
    <x v="18"/>
    <d v="2009-01-19T00:00:00"/>
    <n v="2009"/>
    <x v="188"/>
    <x v="0"/>
    <x v="0"/>
    <n v="1200"/>
    <x v="0"/>
    <s v="Bertrand"/>
    <s v="North Caldwell"/>
    <x v="0"/>
    <x v="2"/>
  </r>
  <r>
    <x v="28"/>
    <d v="2009-01-29T00:00:00"/>
    <n v="2009"/>
    <x v="267"/>
    <x v="0"/>
    <x v="0"/>
    <n v="1200"/>
    <x v="0"/>
    <s v="John"/>
    <s v="San Jose"/>
    <x v="0"/>
    <x v="4"/>
  </r>
  <r>
    <x v="15"/>
    <d v="2009-01-16T00:00:00"/>
    <n v="2009"/>
    <x v="268"/>
    <x v="0"/>
    <x v="0"/>
    <n v="1200"/>
    <x v="0"/>
    <s v="Ashley"/>
    <s v="Rancho Cordova"/>
    <x v="0"/>
    <x v="0"/>
  </r>
  <r>
    <x v="24"/>
    <d v="2009-01-26T00:00:00"/>
    <n v="2009"/>
    <x v="269"/>
    <x v="0"/>
    <x v="0"/>
    <n v="1200"/>
    <x v="0"/>
    <s v="Tori"/>
    <s v="Minneapolis"/>
    <x v="0"/>
    <x v="2"/>
  </r>
  <r>
    <x v="30"/>
    <d v="2009-01-31T00:00:00"/>
    <n v="2009"/>
    <x v="76"/>
    <x v="0"/>
    <x v="1"/>
    <n v="3600"/>
    <x v="1"/>
    <s v="Hanne"/>
    <s v="Phoenix"/>
    <x v="0"/>
    <x v="6"/>
  </r>
  <r>
    <x v="24"/>
    <d v="2009-01-26T00:00:00"/>
    <n v="2009"/>
    <x v="270"/>
    <x v="0"/>
    <x v="0"/>
    <n v="1200"/>
    <x v="0"/>
    <s v="Paula"/>
    <s v="Larchmont"/>
    <x v="0"/>
    <x v="2"/>
  </r>
  <r>
    <x v="22"/>
    <d v="2009-01-23T00:00:00"/>
    <n v="2009"/>
    <x v="271"/>
    <x v="0"/>
    <x v="0"/>
    <n v="1200"/>
    <x v="0"/>
    <s v="Stephanie"/>
    <s v="Saint Charles"/>
    <x v="0"/>
    <x v="0"/>
  </r>
  <r>
    <x v="27"/>
    <d v="2009-01-28T00:00:00"/>
    <n v="2009"/>
    <x v="272"/>
    <x v="0"/>
    <x v="0"/>
    <n v="1200"/>
    <x v="0"/>
    <s v="kemp"/>
    <s v="Brentwood"/>
    <x v="0"/>
    <x v="5"/>
  </r>
  <r>
    <x v="14"/>
    <d v="2009-01-15T00:00:00"/>
    <n v="2009"/>
    <x v="273"/>
    <x v="0"/>
    <x v="1"/>
    <n v="3600"/>
    <x v="0"/>
    <s v="Therese"/>
    <s v="Pensacola"/>
    <x v="0"/>
    <x v="4"/>
  </r>
  <r>
    <x v="11"/>
    <d v="2009-01-11T00:00:00"/>
    <n v="2009"/>
    <x v="186"/>
    <x v="0"/>
    <x v="0"/>
    <n v="1200"/>
    <x v="2"/>
    <s v="A"/>
    <s v="Saint Petersburg"/>
    <x v="0"/>
    <x v="1"/>
  </r>
  <r>
    <x v="2"/>
    <d v="2009-01-05T00:00:00"/>
    <n v="2009"/>
    <x v="250"/>
    <x v="0"/>
    <x v="0"/>
    <n v="1200"/>
    <x v="0"/>
    <s v="Nicole"/>
    <s v="Mc Lean"/>
    <x v="0"/>
    <x v="2"/>
  </r>
  <r>
    <x v="0"/>
    <d v="2009-01-02T00:00:00"/>
    <n v="2009"/>
    <x v="243"/>
    <x v="0"/>
    <x v="0"/>
    <n v="1200"/>
    <x v="1"/>
    <s v="Kelly"/>
    <s v="Hendersonville"/>
    <x v="0"/>
    <x v="0"/>
  </r>
  <r>
    <x v="21"/>
    <d v="2009-01-22T00:00:00"/>
    <n v="2009"/>
    <x v="274"/>
    <x v="0"/>
    <x v="0"/>
    <n v="1200"/>
    <x v="0"/>
    <s v="Kate"/>
    <s v="Rochester Hills"/>
    <x v="0"/>
    <x v="4"/>
  </r>
  <r>
    <x v="9"/>
    <d v="2009-01-10T00:00:00"/>
    <n v="2009"/>
    <x v="275"/>
    <x v="0"/>
    <x v="0"/>
    <n v="1200"/>
    <x v="2"/>
    <s v="Maricel"/>
    <s v="Malibu"/>
    <x v="0"/>
    <x v="6"/>
  </r>
  <r>
    <x v="24"/>
    <d v="2009-01-26T00:00:00"/>
    <n v="2009"/>
    <x v="276"/>
    <x v="0"/>
    <x v="0"/>
    <n v="1200"/>
    <x v="0"/>
    <s v="Patricia"/>
    <s v="Allen"/>
    <x v="0"/>
    <x v="2"/>
  </r>
  <r>
    <x v="18"/>
    <d v="2009-01-19T00:00:00"/>
    <n v="2009"/>
    <x v="153"/>
    <x v="0"/>
    <x v="0"/>
    <n v="1200"/>
    <x v="2"/>
    <s v="Maki"/>
    <s v="Miami Beach"/>
    <x v="0"/>
    <x v="2"/>
  </r>
  <r>
    <x v="3"/>
    <d v="2009-01-06T00:00:00"/>
    <n v="2009"/>
    <x v="277"/>
    <x v="0"/>
    <x v="0"/>
    <n v="1200"/>
    <x v="1"/>
    <s v="Anja"/>
    <s v="New York"/>
    <x v="0"/>
    <x v="3"/>
  </r>
  <r>
    <x v="13"/>
    <d v="2009-01-14T00:00:00"/>
    <n v="2009"/>
    <x v="278"/>
    <x v="0"/>
    <x v="0"/>
    <n v="1200"/>
    <x v="1"/>
    <s v="Jessica"/>
    <s v="Woodland Hills"/>
    <x v="0"/>
    <x v="5"/>
  </r>
  <r>
    <x v="13"/>
    <d v="2009-01-14T00:00:00"/>
    <n v="2009"/>
    <x v="279"/>
    <x v="0"/>
    <x v="0"/>
    <n v="1200"/>
    <x v="0"/>
    <s v="Wouter and Andrea"/>
    <s v="Anchorage"/>
    <x v="0"/>
    <x v="5"/>
  </r>
  <r>
    <x v="6"/>
    <d v="2009-01-08T00:00:00"/>
    <n v="2009"/>
    <x v="195"/>
    <x v="0"/>
    <x v="0"/>
    <n v="1200"/>
    <x v="0"/>
    <s v="Pam and Rob"/>
    <s v="Yorba Linda"/>
    <x v="0"/>
    <x v="4"/>
  </r>
  <r>
    <x v="23"/>
    <d v="2009-01-25T00:00:00"/>
    <n v="2009"/>
    <x v="277"/>
    <x v="0"/>
    <x v="0"/>
    <n v="1200"/>
    <x v="2"/>
    <s v="kathleen kane"/>
    <s v="Jamaica Plain"/>
    <x v="0"/>
    <x v="1"/>
  </r>
  <r>
    <x v="28"/>
    <d v="2009-01-29T00:00:00"/>
    <n v="2009"/>
    <x v="280"/>
    <x v="0"/>
    <x v="0"/>
    <n v="1200"/>
    <x v="0"/>
    <s v="cheryl"/>
    <s v="Beverly Hills"/>
    <x v="0"/>
    <x v="4"/>
  </r>
  <r>
    <x v="23"/>
    <d v="2009-01-25T00:00:00"/>
    <n v="2009"/>
    <x v="281"/>
    <x v="1"/>
    <x v="1"/>
    <n v="3600"/>
    <x v="0"/>
    <s v="Charlene"/>
    <s v="Sebastopol"/>
    <x v="0"/>
    <x v="1"/>
  </r>
  <r>
    <x v="7"/>
    <d v="2009-01-03T00:00:00"/>
    <n v="2009"/>
    <x v="282"/>
    <x v="0"/>
    <x v="0"/>
    <n v="1200"/>
    <x v="0"/>
    <s v="Cindy"/>
    <s v="Glendora"/>
    <x v="0"/>
    <x v="6"/>
  </r>
  <r>
    <x v="23"/>
    <d v="2009-01-25T00:00:00"/>
    <n v="2009"/>
    <x v="283"/>
    <x v="0"/>
    <x v="0"/>
    <n v="1200"/>
    <x v="0"/>
    <s v="Maria Macarena"/>
    <s v="Billings"/>
    <x v="0"/>
    <x v="1"/>
  </r>
  <r>
    <x v="14"/>
    <d v="2009-01-15T00:00:00"/>
    <n v="2009"/>
    <x v="284"/>
    <x v="0"/>
    <x v="0"/>
    <n v="1200"/>
    <x v="0"/>
    <s v="Maggie"/>
    <s v="Libertyville"/>
    <x v="0"/>
    <x v="4"/>
  </r>
  <r>
    <x v="22"/>
    <d v="2009-01-23T00:00:00"/>
    <n v="2009"/>
    <x v="140"/>
    <x v="0"/>
    <x v="1"/>
    <n v="3600"/>
    <x v="2"/>
    <s v="Christophe"/>
    <s v="Temecula"/>
    <x v="0"/>
    <x v="0"/>
  </r>
  <r>
    <x v="2"/>
    <d v="2009-01-05T00:00:00"/>
    <n v="2009"/>
    <x v="26"/>
    <x v="1"/>
    <x v="0"/>
    <n v="1200"/>
    <x v="0"/>
    <s v="Manoj"/>
    <s v="Boise"/>
    <x v="0"/>
    <x v="2"/>
  </r>
  <r>
    <x v="28"/>
    <d v="2009-01-29T00:00:00"/>
    <n v="2009"/>
    <x v="285"/>
    <x v="0"/>
    <x v="0"/>
    <n v="1200"/>
    <x v="0"/>
    <s v="Brenda"/>
    <s v="Rock Hill"/>
    <x v="0"/>
    <x v="4"/>
  </r>
  <r>
    <x v="9"/>
    <d v="2009-01-10T00:00:00"/>
    <n v="2009"/>
    <x v="69"/>
    <x v="1"/>
    <x v="0"/>
    <n v="1200"/>
    <x v="1"/>
    <s v="Lizelle"/>
    <s v="Mililani"/>
    <x v="0"/>
    <x v="6"/>
  </r>
  <r>
    <x v="23"/>
    <d v="2009-01-25T00:00:00"/>
    <n v="2009"/>
    <x v="286"/>
    <x v="0"/>
    <x v="0"/>
    <n v="1200"/>
    <x v="0"/>
    <s v="olla"/>
    <s v="Westminster"/>
    <x v="0"/>
    <x v="1"/>
  </r>
  <r>
    <x v="17"/>
    <d v="2009-01-18T00:00:00"/>
    <n v="2009"/>
    <x v="27"/>
    <x v="1"/>
    <x v="1"/>
    <n v="3600"/>
    <x v="0"/>
    <s v="Keri"/>
    <s v="Issaquah"/>
    <x v="0"/>
    <x v="1"/>
  </r>
  <r>
    <x v="19"/>
    <d v="2009-01-20T00:00:00"/>
    <n v="2009"/>
    <x v="111"/>
    <x v="0"/>
    <x v="0"/>
    <n v="1200"/>
    <x v="1"/>
    <s v="Attie"/>
    <s v="Cypress"/>
    <x v="0"/>
    <x v="3"/>
  </r>
  <r>
    <x v="0"/>
    <d v="2009-01-02T00:00:00"/>
    <n v="2009"/>
    <x v="114"/>
    <x v="0"/>
    <x v="0"/>
    <n v="1200"/>
    <x v="0"/>
    <s v="odile"/>
    <s v="Lititz"/>
    <x v="0"/>
    <x v="0"/>
  </r>
  <r>
    <x v="20"/>
    <d v="2009-01-21T00:00:00"/>
    <n v="2009"/>
    <x v="287"/>
    <x v="0"/>
    <x v="0"/>
    <n v="1200"/>
    <x v="0"/>
    <s v="Niki"/>
    <s v="Chadds Ford"/>
    <x v="0"/>
    <x v="5"/>
  </r>
  <r>
    <x v="11"/>
    <d v="2009-01-11T00:00:00"/>
    <n v="2009"/>
    <x v="288"/>
    <x v="0"/>
    <x v="1"/>
    <n v="3600"/>
    <x v="0"/>
    <s v="Danny"/>
    <s v="St Thomas"/>
    <x v="0"/>
    <x v="1"/>
  </r>
  <r>
    <x v="15"/>
    <d v="2009-01-16T00:00:00"/>
    <n v="2009"/>
    <x v="289"/>
    <x v="0"/>
    <x v="0"/>
    <n v="1200"/>
    <x v="1"/>
    <s v="Sarah"/>
    <s v="Coppell"/>
    <x v="0"/>
    <x v="0"/>
  </r>
  <r>
    <x v="8"/>
    <d v="2009-01-09T00:00:00"/>
    <n v="2009"/>
    <x v="290"/>
    <x v="0"/>
    <x v="0"/>
    <n v="1200"/>
    <x v="0"/>
    <s v="Beckie"/>
    <s v="Ladera Ranch"/>
    <x v="0"/>
    <x v="0"/>
  </r>
  <r>
    <x v="23"/>
    <d v="2009-01-25T00:00:00"/>
    <n v="2009"/>
    <x v="158"/>
    <x v="1"/>
    <x v="0"/>
    <n v="1200"/>
    <x v="2"/>
    <s v="ann"/>
    <s v="Boca Raton"/>
    <x v="0"/>
    <x v="1"/>
  </r>
  <r>
    <x v="25"/>
    <d v="2009-01-24T00:00:00"/>
    <n v="2009"/>
    <x v="291"/>
    <x v="0"/>
    <x v="0"/>
    <n v="1200"/>
    <x v="0"/>
    <s v="Renee"/>
    <s v="Chaska"/>
    <x v="0"/>
    <x v="6"/>
  </r>
  <r>
    <x v="27"/>
    <d v="2009-01-28T00:00:00"/>
    <n v="2009"/>
    <x v="292"/>
    <x v="0"/>
    <x v="0"/>
    <n v="1200"/>
    <x v="0"/>
    <s v="Catherine"/>
    <s v="Hghlnds Ranch"/>
    <x v="0"/>
    <x v="5"/>
  </r>
  <r>
    <x v="19"/>
    <d v="2009-01-20T00:00:00"/>
    <n v="2009"/>
    <x v="146"/>
    <x v="0"/>
    <x v="0"/>
    <n v="1200"/>
    <x v="2"/>
    <s v="Rhonda"/>
    <s v="Atlanta"/>
    <x v="0"/>
    <x v="3"/>
  </r>
  <r>
    <x v="28"/>
    <d v="2009-01-29T00:00:00"/>
    <n v="2009"/>
    <x v="293"/>
    <x v="0"/>
    <x v="0"/>
    <n v="1200"/>
    <x v="2"/>
    <s v="alix"/>
    <s v="Tenafly"/>
    <x v="0"/>
    <x v="4"/>
  </r>
  <r>
    <x v="12"/>
    <d v="2009-01-13T00:00:00"/>
    <n v="2009"/>
    <x v="5"/>
    <x v="0"/>
    <x v="0"/>
    <n v="1200"/>
    <x v="0"/>
    <s v="Sigrun"/>
    <s v="Nashville"/>
    <x v="0"/>
    <x v="3"/>
  </r>
  <r>
    <x v="21"/>
    <d v="2009-01-22T00:00:00"/>
    <n v="2009"/>
    <x v="294"/>
    <x v="0"/>
    <x v="0"/>
    <n v="1200"/>
    <x v="0"/>
    <s v="Maria"/>
    <s v="Boyceville"/>
    <x v="0"/>
    <x v="4"/>
  </r>
  <r>
    <x v="25"/>
    <d v="2009-01-24T00:00:00"/>
    <n v="2009"/>
    <x v="270"/>
    <x v="0"/>
    <x v="0"/>
    <n v="1200"/>
    <x v="0"/>
    <s v="Elizabeth"/>
    <s v="Cos Cob"/>
    <x v="0"/>
    <x v="6"/>
  </r>
  <r>
    <x v="25"/>
    <d v="2009-01-24T00:00:00"/>
    <n v="2009"/>
    <x v="295"/>
    <x v="0"/>
    <x v="1"/>
    <n v="3600"/>
    <x v="0"/>
    <s v="Charlotte"/>
    <s v="Sterling"/>
    <x v="0"/>
    <x v="6"/>
  </r>
  <r>
    <x v="28"/>
    <d v="2009-01-29T00:00:00"/>
    <n v="2009"/>
    <x v="103"/>
    <x v="0"/>
    <x v="0"/>
    <n v="1200"/>
    <x v="1"/>
    <s v="Sarah"/>
    <s v="Ridgefield"/>
    <x v="0"/>
    <x v="4"/>
  </r>
  <r>
    <x v="22"/>
    <d v="2009-01-23T00:00:00"/>
    <n v="2009"/>
    <x v="296"/>
    <x v="0"/>
    <x v="0"/>
    <n v="1200"/>
    <x v="0"/>
    <s v="Ronja"/>
    <s v="Manhattan"/>
    <x v="0"/>
    <x v="0"/>
  </r>
  <r>
    <x v="16"/>
    <d v="2009-01-17T00:00:00"/>
    <n v="2009"/>
    <x v="100"/>
    <x v="0"/>
    <x v="0"/>
    <n v="1200"/>
    <x v="2"/>
    <s v="BURCAK"/>
    <s v="Alpharetta"/>
    <x v="0"/>
    <x v="6"/>
  </r>
  <r>
    <x v="19"/>
    <d v="2009-01-20T00:00:00"/>
    <n v="2009"/>
    <x v="142"/>
    <x v="0"/>
    <x v="0"/>
    <n v="1200"/>
    <x v="1"/>
    <s v="christy"/>
    <s v="Germantown"/>
    <x v="0"/>
    <x v="3"/>
  </r>
  <r>
    <x v="14"/>
    <d v="2009-01-15T00:00:00"/>
    <n v="2009"/>
    <x v="297"/>
    <x v="0"/>
    <x v="0"/>
    <n v="1200"/>
    <x v="1"/>
    <s v="Mandy"/>
    <s v="Hono"/>
    <x v="0"/>
    <x v="4"/>
  </r>
  <r>
    <x v="22"/>
    <d v="2009-01-23T00:00:00"/>
    <n v="2009"/>
    <x v="298"/>
    <x v="0"/>
    <x v="0"/>
    <n v="1200"/>
    <x v="1"/>
    <s v="Elena"/>
    <s v="New Rochelle"/>
    <x v="0"/>
    <x v="0"/>
  </r>
  <r>
    <x v="10"/>
    <d v="2009-01-12T00:00:00"/>
    <n v="2009"/>
    <x v="299"/>
    <x v="0"/>
    <x v="0"/>
    <n v="1200"/>
    <x v="1"/>
    <s v="Lisa"/>
    <s v="South Waterford"/>
    <x v="0"/>
    <x v="2"/>
  </r>
  <r>
    <x v="28"/>
    <d v="2009-01-29T00:00:00"/>
    <n v="2009"/>
    <x v="300"/>
    <x v="0"/>
    <x v="0"/>
    <n v="1200"/>
    <x v="1"/>
    <s v="Nita and Trebor"/>
    <s v="Washington Township"/>
    <x v="0"/>
    <x v="4"/>
  </r>
  <r>
    <x v="18"/>
    <d v="2009-01-19T00:00:00"/>
    <n v="2009"/>
    <x v="106"/>
    <x v="0"/>
    <x v="0"/>
    <n v="1200"/>
    <x v="1"/>
    <s v="Elisabeth"/>
    <s v="Wilmington"/>
    <x v="0"/>
    <x v="2"/>
  </r>
  <r>
    <x v="8"/>
    <d v="2009-01-09T00:00:00"/>
    <n v="2009"/>
    <x v="37"/>
    <x v="0"/>
    <x v="0"/>
    <n v="1200"/>
    <x v="0"/>
    <s v="Reto"/>
    <s v="Seattle"/>
    <x v="0"/>
    <x v="0"/>
  </r>
  <r>
    <x v="22"/>
    <d v="2009-01-23T00:00:00"/>
    <n v="2009"/>
    <x v="301"/>
    <x v="0"/>
    <x v="0"/>
    <n v="1200"/>
    <x v="2"/>
    <s v="Joelle"/>
    <s v="Rowayton"/>
    <x v="0"/>
    <x v="0"/>
  </r>
  <r>
    <x v="18"/>
    <d v="2009-01-19T00:00:00"/>
    <n v="2009"/>
    <x v="302"/>
    <x v="0"/>
    <x v="0"/>
    <n v="1200"/>
    <x v="1"/>
    <s v="Alexandria"/>
    <s v="Lebanon"/>
    <x v="0"/>
    <x v="2"/>
  </r>
  <r>
    <x v="14"/>
    <d v="2009-01-15T00:00:00"/>
    <n v="2009"/>
    <x v="168"/>
    <x v="0"/>
    <x v="1"/>
    <n v="3600"/>
    <x v="2"/>
    <s v="Monica"/>
    <s v="Villanova"/>
    <x v="0"/>
    <x v="4"/>
  </r>
  <r>
    <x v="10"/>
    <d v="2009-01-12T00:00:00"/>
    <n v="2009"/>
    <x v="216"/>
    <x v="0"/>
    <x v="0"/>
    <n v="1200"/>
    <x v="2"/>
    <s v="Alfredo A"/>
    <s v="Las Vegas"/>
    <x v="0"/>
    <x v="2"/>
  </r>
  <r>
    <x v="25"/>
    <d v="2009-01-24T00:00:00"/>
    <n v="2009"/>
    <x v="303"/>
    <x v="1"/>
    <x v="0"/>
    <n v="1200"/>
    <x v="0"/>
    <s v="Saeko"/>
    <s v="Warwick"/>
    <x v="0"/>
    <x v="6"/>
  </r>
  <r>
    <x v="5"/>
    <d v="2009-01-07T00:00:00"/>
    <n v="2009"/>
    <x v="162"/>
    <x v="0"/>
    <x v="1"/>
    <n v="3600"/>
    <x v="0"/>
    <s v="VIOLETA"/>
    <s v="Silver Spring"/>
    <x v="0"/>
    <x v="5"/>
  </r>
  <r>
    <x v="11"/>
    <d v="2009-01-11T00:00:00"/>
    <n v="2009"/>
    <x v="249"/>
    <x v="0"/>
    <x v="0"/>
    <n v="1200"/>
    <x v="0"/>
    <s v="Antje"/>
    <s v="Sacramento"/>
    <x v="0"/>
    <x v="1"/>
  </r>
  <r>
    <x v="26"/>
    <d v="2009-01-27T00:00:00"/>
    <n v="2009"/>
    <x v="304"/>
    <x v="0"/>
    <x v="0"/>
    <n v="1200"/>
    <x v="1"/>
    <s v="Nathalie"/>
    <s v="Haymarket"/>
    <x v="0"/>
    <x v="3"/>
  </r>
  <r>
    <x v="1"/>
    <d v="2009-01-04T00:00:00"/>
    <n v="2009"/>
    <x v="305"/>
    <x v="0"/>
    <x v="0"/>
    <n v="1200"/>
    <x v="0"/>
    <s v="Judith L."/>
    <s v="Scottsdale"/>
    <x v="0"/>
    <x v="1"/>
  </r>
  <r>
    <x v="3"/>
    <d v="2009-01-06T00:00:00"/>
    <n v="2009"/>
    <x v="253"/>
    <x v="1"/>
    <x v="0"/>
    <n v="1200"/>
    <x v="0"/>
    <s v="Audinet"/>
    <s v="Cambridge"/>
    <x v="0"/>
    <x v="3"/>
  </r>
  <r>
    <x v="24"/>
    <d v="2009-01-26T00:00:00"/>
    <n v="2009"/>
    <x v="306"/>
    <x v="0"/>
    <x v="0"/>
    <n v="1200"/>
    <x v="0"/>
    <s v="Jo"/>
    <s v="Pembroke Pines"/>
    <x v="0"/>
    <x v="2"/>
  </r>
  <r>
    <x v="17"/>
    <d v="2009-01-18T00:00:00"/>
    <n v="2009"/>
    <x v="307"/>
    <x v="0"/>
    <x v="0"/>
    <n v="1200"/>
    <x v="0"/>
    <s v="Melissa"/>
    <s v="Chester"/>
    <x v="0"/>
    <x v="1"/>
  </r>
  <r>
    <x v="17"/>
    <d v="2009-01-18T00:00:00"/>
    <n v="2009"/>
    <x v="308"/>
    <x v="0"/>
    <x v="0"/>
    <n v="1200"/>
    <x v="1"/>
    <s v="isabela"/>
    <s v="Reston"/>
    <x v="0"/>
    <x v="1"/>
  </r>
  <r>
    <x v="15"/>
    <d v="2009-01-16T00:00:00"/>
    <n v="2009"/>
    <x v="309"/>
    <x v="0"/>
    <x v="0"/>
    <n v="1200"/>
    <x v="1"/>
    <s v="Mary"/>
    <s v="Alpharetta"/>
    <x v="0"/>
    <x v="0"/>
  </r>
  <r>
    <x v="30"/>
    <d v="2009-01-31T00:00:00"/>
    <n v="2009"/>
    <x v="32"/>
    <x v="0"/>
    <x v="0"/>
    <n v="1200"/>
    <x v="0"/>
    <s v="Lisa"/>
    <s v="Ringgold"/>
    <x v="0"/>
    <x v="6"/>
  </r>
  <r>
    <x v="8"/>
    <d v="2009-01-09T00:00:00"/>
    <n v="2009"/>
    <x v="310"/>
    <x v="0"/>
    <x v="0"/>
    <n v="1200"/>
    <x v="1"/>
    <s v="Debora"/>
    <s v="Wall"/>
    <x v="0"/>
    <x v="0"/>
  </r>
  <r>
    <x v="9"/>
    <d v="2009-01-10T00:00:00"/>
    <n v="2009"/>
    <x v="131"/>
    <x v="0"/>
    <x v="1"/>
    <n v="3600"/>
    <x v="1"/>
    <s v="Jo"/>
    <s v="Huntington Beach"/>
    <x v="0"/>
    <x v="6"/>
  </r>
  <r>
    <x v="15"/>
    <d v="2009-01-16T00:00:00"/>
    <n v="2009"/>
    <x v="98"/>
    <x v="0"/>
    <x v="0"/>
    <n v="1200"/>
    <x v="2"/>
    <s v="Kristen"/>
    <s v="Los Gatos"/>
    <x v="0"/>
    <x v="0"/>
  </r>
  <r>
    <x v="16"/>
    <d v="2009-01-17T00:00:00"/>
    <n v="2009"/>
    <x v="311"/>
    <x v="0"/>
    <x v="0"/>
    <n v="1200"/>
    <x v="2"/>
    <s v="Sylvia"/>
    <s v="Alexandria"/>
    <x v="0"/>
    <x v="6"/>
  </r>
  <r>
    <x v="26"/>
    <d v="2009-01-27T00:00:00"/>
    <n v="2009"/>
    <x v="312"/>
    <x v="0"/>
    <x v="0"/>
    <n v="1200"/>
    <x v="0"/>
    <s v="Aniko"/>
    <s v="Random Lake"/>
    <x v="0"/>
    <x v="3"/>
  </r>
  <r>
    <x v="23"/>
    <d v="2009-01-25T00:00:00"/>
    <n v="2009"/>
    <x v="313"/>
    <x v="0"/>
    <x v="0"/>
    <n v="1200"/>
    <x v="1"/>
    <s v="Petra"/>
    <s v="San Francisco"/>
    <x v="0"/>
    <x v="1"/>
  </r>
  <r>
    <x v="16"/>
    <d v="2009-01-17T00:00:00"/>
    <n v="2009"/>
    <x v="106"/>
    <x v="0"/>
    <x v="0"/>
    <n v="1200"/>
    <x v="2"/>
    <s v="Ruby"/>
    <s v="Bedford Corners"/>
    <x v="0"/>
    <x v="6"/>
  </r>
  <r>
    <x v="10"/>
    <d v="2009-01-12T00:00:00"/>
    <n v="2009"/>
    <x v="314"/>
    <x v="1"/>
    <x v="0"/>
    <n v="1200"/>
    <x v="1"/>
    <s v="Tammy"/>
    <s v="Milford"/>
    <x v="0"/>
    <x v="2"/>
  </r>
  <r>
    <x v="23"/>
    <d v="2009-01-25T00:00:00"/>
    <n v="2009"/>
    <x v="24"/>
    <x v="0"/>
    <x v="0"/>
    <n v="1200"/>
    <x v="0"/>
    <s v="Brian"/>
    <s v="Croton On Hudson"/>
    <x v="0"/>
    <x v="1"/>
  </r>
  <r>
    <x v="29"/>
    <d v="2009-01-30T00:00:00"/>
    <n v="2009"/>
    <x v="236"/>
    <x v="0"/>
    <x v="0"/>
    <n v="1200"/>
    <x v="1"/>
    <s v="james"/>
    <s v="Nashville"/>
    <x v="0"/>
    <x v="0"/>
  </r>
  <r>
    <x v="1"/>
    <d v="2009-01-04T00:00:00"/>
    <n v="2009"/>
    <x v="315"/>
    <x v="0"/>
    <x v="0"/>
    <n v="1200"/>
    <x v="1"/>
    <s v="Allison"/>
    <s v="Naples"/>
    <x v="0"/>
    <x v="1"/>
  </r>
  <r>
    <x v="22"/>
    <d v="2009-01-23T00:00:00"/>
    <n v="2009"/>
    <x v="316"/>
    <x v="0"/>
    <x v="0"/>
    <n v="1200"/>
    <x v="1"/>
    <s v="Surat"/>
    <s v="Bridgewater"/>
    <x v="0"/>
    <x v="0"/>
  </r>
  <r>
    <x v="10"/>
    <d v="2009-01-12T00:00:00"/>
    <n v="2009"/>
    <x v="6"/>
    <x v="0"/>
    <x v="1"/>
    <n v="3600"/>
    <x v="1"/>
    <s v="Judy"/>
    <s v="Washington"/>
    <x v="0"/>
    <x v="2"/>
  </r>
  <r>
    <x v="24"/>
    <d v="2009-01-26T00:00:00"/>
    <n v="2009"/>
    <x v="15"/>
    <x v="0"/>
    <x v="0"/>
    <n v="1200"/>
    <x v="0"/>
    <s v="Megan"/>
    <s v="Huntersville"/>
    <x v="0"/>
    <x v="2"/>
  </r>
  <r>
    <x v="14"/>
    <d v="2009-01-15T00:00:00"/>
    <n v="2009"/>
    <x v="14"/>
    <x v="0"/>
    <x v="1"/>
    <n v="3600"/>
    <x v="0"/>
    <s v="Charmain"/>
    <s v="Cartersburg"/>
    <x v="0"/>
    <x v="4"/>
  </r>
  <r>
    <x v="0"/>
    <d v="2009-01-02T00:00:00"/>
    <n v="2009"/>
    <x v="251"/>
    <x v="0"/>
    <x v="0"/>
    <n v="1200"/>
    <x v="0"/>
    <s v="Katharina"/>
    <s v="Flower Mound"/>
    <x v="0"/>
    <x v="0"/>
  </r>
  <r>
    <x v="23"/>
    <d v="2009-01-25T00:00:00"/>
    <n v="2009"/>
    <x v="198"/>
    <x v="0"/>
    <x v="0"/>
    <n v="1200"/>
    <x v="0"/>
    <s v="Zaneta"/>
    <s v="Rochester"/>
    <x v="0"/>
    <x v="1"/>
  </r>
  <r>
    <x v="3"/>
    <d v="2009-01-06T00:00:00"/>
    <n v="2009"/>
    <x v="317"/>
    <x v="0"/>
    <x v="0"/>
    <n v="1200"/>
    <x v="0"/>
    <s v="Cherie"/>
    <s v="Columbus"/>
    <x v="0"/>
    <x v="3"/>
  </r>
  <r>
    <x v="30"/>
    <d v="2009-01-31T00:00:00"/>
    <n v="2009"/>
    <x v="318"/>
    <x v="0"/>
    <x v="0"/>
    <n v="1200"/>
    <x v="1"/>
    <s v="Scott"/>
    <s v="Sag Harbor"/>
    <x v="0"/>
    <x v="6"/>
  </r>
  <r>
    <x v="3"/>
    <d v="2009-01-06T00:00:00"/>
    <n v="2009"/>
    <x v="175"/>
    <x v="0"/>
    <x v="0"/>
    <n v="1200"/>
    <x v="0"/>
    <s v="Frances"/>
    <s v="San Diego"/>
    <x v="0"/>
    <x v="3"/>
  </r>
  <r>
    <x v="20"/>
    <d v="2009-01-21T00:00:00"/>
    <n v="2009"/>
    <x v="152"/>
    <x v="0"/>
    <x v="0"/>
    <n v="1200"/>
    <x v="1"/>
    <s v="Beatrice"/>
    <s v="Wilmington"/>
    <x v="0"/>
    <x v="5"/>
  </r>
  <r>
    <x v="28"/>
    <d v="2009-01-29T00:00:00"/>
    <n v="2009"/>
    <x v="319"/>
    <x v="1"/>
    <x v="0"/>
    <n v="1200"/>
    <x v="2"/>
    <s v="Alison"/>
    <s v="Issaquah"/>
    <x v="0"/>
    <x v="4"/>
  </r>
  <r>
    <x v="6"/>
    <d v="2009-01-08T00:00:00"/>
    <n v="2009"/>
    <x v="320"/>
    <x v="0"/>
    <x v="1"/>
    <n v="3600"/>
    <x v="0"/>
    <s v="Christian"/>
    <s v="Mableton"/>
    <x v="0"/>
    <x v="4"/>
  </r>
  <r>
    <x v="9"/>
    <d v="2009-01-10T00:00:00"/>
    <n v="2009"/>
    <x v="278"/>
    <x v="0"/>
    <x v="0"/>
    <n v="1200"/>
    <x v="0"/>
    <s v="Hollie"/>
    <s v="San Diego"/>
    <x v="0"/>
    <x v="6"/>
  </r>
  <r>
    <x v="22"/>
    <d v="2009-01-23T00:00:00"/>
    <n v="2009"/>
    <x v="220"/>
    <x v="0"/>
    <x v="0"/>
    <n v="1200"/>
    <x v="1"/>
    <s v="Malahat"/>
    <s v="Minneapolis"/>
    <x v="0"/>
    <x v="0"/>
  </r>
  <r>
    <x v="26"/>
    <d v="2009-01-27T00:00:00"/>
    <n v="2009"/>
    <x v="4"/>
    <x v="0"/>
    <x v="1"/>
    <n v="3600"/>
    <x v="1"/>
    <s v="Jean"/>
    <s v="Arlington"/>
    <x v="0"/>
    <x v="3"/>
  </r>
  <r>
    <x v="28"/>
    <d v="2009-01-29T00:00:00"/>
    <n v="2009"/>
    <x v="155"/>
    <x v="1"/>
    <x v="0"/>
    <n v="1200"/>
    <x v="1"/>
    <s v="Jessica"/>
    <s v="Chiefland"/>
    <x v="0"/>
    <x v="4"/>
  </r>
  <r>
    <x v="18"/>
    <d v="2009-01-19T00:00:00"/>
    <n v="2009"/>
    <x v="321"/>
    <x v="0"/>
    <x v="0"/>
    <n v="1200"/>
    <x v="0"/>
    <s v="Riche Lou"/>
    <s v="Newton"/>
    <x v="0"/>
    <x v="2"/>
  </r>
  <r>
    <x v="29"/>
    <d v="2009-01-30T00:00:00"/>
    <n v="2009"/>
    <x v="322"/>
    <x v="0"/>
    <x v="0"/>
    <n v="1200"/>
    <x v="1"/>
    <s v="lorna"/>
    <s v="Castle Rock"/>
    <x v="0"/>
    <x v="0"/>
  </r>
  <r>
    <x v="4"/>
    <d v="2009-01-01T00:00:00"/>
    <n v="2009"/>
    <x v="323"/>
    <x v="0"/>
    <x v="0"/>
    <n v="1200"/>
    <x v="2"/>
    <s v="Julie"/>
    <s v="Rockville"/>
    <x v="0"/>
    <x v="4"/>
  </r>
  <r>
    <x v="23"/>
    <d v="2009-01-25T00:00:00"/>
    <n v="2009"/>
    <x v="52"/>
    <x v="0"/>
    <x v="2"/>
    <n v="7500"/>
    <x v="1"/>
    <s v="Anita"/>
    <s v="Fresno"/>
    <x v="0"/>
    <x v="1"/>
  </r>
  <r>
    <x v="24"/>
    <d v="2009-01-26T00:00:00"/>
    <n v="2009"/>
    <x v="126"/>
    <x v="0"/>
    <x v="0"/>
    <n v="1200"/>
    <x v="1"/>
    <s v="Veronique"/>
    <s v="Fresno"/>
    <x v="0"/>
    <x v="2"/>
  </r>
  <r>
    <x v="15"/>
    <d v="2009-01-16T00:00:00"/>
    <n v="2009"/>
    <x v="324"/>
    <x v="0"/>
    <x v="0"/>
    <n v="1200"/>
    <x v="1"/>
    <s v="Maki"/>
    <s v="Montgomery"/>
    <x v="0"/>
    <x v="0"/>
  </r>
  <r>
    <x v="23"/>
    <d v="2009-01-25T00:00:00"/>
    <n v="2009"/>
    <x v="283"/>
    <x v="0"/>
    <x v="0"/>
    <n v="1200"/>
    <x v="1"/>
    <s v="Sarah"/>
    <s v="Manteno"/>
    <x v="0"/>
    <x v="1"/>
  </r>
  <r>
    <x v="10"/>
    <d v="2009-01-12T00:00:00"/>
    <n v="2009"/>
    <x v="325"/>
    <x v="0"/>
    <x v="1"/>
    <n v="3600"/>
    <x v="1"/>
    <s v="elizabeth r"/>
    <s v="Winter Haven"/>
    <x v="0"/>
    <x v="2"/>
  </r>
  <r>
    <x v="14"/>
    <d v="2009-01-15T00:00:00"/>
    <n v="2009"/>
    <x v="207"/>
    <x v="0"/>
    <x v="0"/>
    <n v="1200"/>
    <x v="0"/>
    <s v="Sara"/>
    <s v="Fort Lauderdale"/>
    <x v="0"/>
    <x v="4"/>
  </r>
  <r>
    <x v="24"/>
    <d v="2009-01-26T00:00:00"/>
    <n v="2009"/>
    <x v="326"/>
    <x v="0"/>
    <x v="1"/>
    <n v="3600"/>
    <x v="2"/>
    <s v="Tulin"/>
    <s v="Cranberry Twp"/>
    <x v="0"/>
    <x v="2"/>
  </r>
  <r>
    <x v="25"/>
    <d v="2009-01-24T00:00:00"/>
    <n v="2009"/>
    <x v="217"/>
    <x v="0"/>
    <x v="0"/>
    <n v="1200"/>
    <x v="0"/>
    <s v="Kenneth"/>
    <s v="Arlington"/>
    <x v="0"/>
    <x v="6"/>
  </r>
  <r>
    <x v="0"/>
    <d v="2009-01-02T00:00:00"/>
    <n v="2009"/>
    <x v="327"/>
    <x v="0"/>
    <x v="0"/>
    <n v="1200"/>
    <x v="1"/>
    <s v="Fiona"/>
    <s v="Lake Ronkonkoma"/>
    <x v="0"/>
    <x v="0"/>
  </r>
  <r>
    <x v="24"/>
    <d v="2009-01-26T00:00:00"/>
    <n v="2009"/>
    <x v="306"/>
    <x v="0"/>
    <x v="0"/>
    <n v="1200"/>
    <x v="0"/>
    <s v="Christian"/>
    <s v="Alexandria"/>
    <x v="0"/>
    <x v="2"/>
  </r>
  <r>
    <x v="24"/>
    <d v="2009-01-26T00:00:00"/>
    <n v="2009"/>
    <x v="290"/>
    <x v="0"/>
    <x v="0"/>
    <n v="1200"/>
    <x v="2"/>
    <s v="Elizabeth"/>
    <s v="Bluffton"/>
    <x v="0"/>
    <x v="2"/>
  </r>
  <r>
    <x v="11"/>
    <d v="2009-01-11T00:00:00"/>
    <n v="2009"/>
    <x v="328"/>
    <x v="0"/>
    <x v="0"/>
    <n v="1200"/>
    <x v="2"/>
    <s v="Juliann"/>
    <s v="Winter Spgs"/>
    <x v="0"/>
    <x v="1"/>
  </r>
  <r>
    <x v="20"/>
    <d v="2009-01-21T00:00:00"/>
    <n v="2009"/>
    <x v="176"/>
    <x v="0"/>
    <x v="0"/>
    <n v="1200"/>
    <x v="1"/>
    <s v="Julie"/>
    <s v="Chelmsford"/>
    <x v="0"/>
    <x v="5"/>
  </r>
  <r>
    <x v="30"/>
    <d v="2009-01-31T00:00:00"/>
    <n v="2009"/>
    <x v="297"/>
    <x v="0"/>
    <x v="0"/>
    <n v="1200"/>
    <x v="0"/>
    <s v="matthew"/>
    <s v="Cincinnati"/>
    <x v="0"/>
    <x v="6"/>
  </r>
  <r>
    <x v="21"/>
    <d v="2009-01-22T00:00:00"/>
    <n v="2009"/>
    <x v="329"/>
    <x v="0"/>
    <x v="0"/>
    <n v="1200"/>
    <x v="0"/>
    <s v="Steven"/>
    <s v="Houston"/>
    <x v="0"/>
    <x v="4"/>
  </r>
  <r>
    <x v="2"/>
    <d v="2009-01-05T00:00:00"/>
    <n v="2009"/>
    <x v="330"/>
    <x v="0"/>
    <x v="0"/>
    <n v="1200"/>
    <x v="2"/>
    <s v="Angie"/>
    <s v="Rodeo"/>
    <x v="0"/>
    <x v="2"/>
  </r>
  <r>
    <x v="22"/>
    <d v="2009-01-23T00:00:00"/>
    <n v="2009"/>
    <x v="331"/>
    <x v="0"/>
    <x v="0"/>
    <n v="1200"/>
    <x v="1"/>
    <s v="Lauren"/>
    <s v="Poughkeepsie"/>
    <x v="0"/>
    <x v="0"/>
  </r>
  <r>
    <x v="5"/>
    <d v="2009-01-07T00:00:00"/>
    <n v="2009"/>
    <x v="332"/>
    <x v="0"/>
    <x v="0"/>
    <n v="1200"/>
    <x v="1"/>
    <s v="Esther"/>
    <s v="Cincinnati"/>
    <x v="0"/>
    <x v="5"/>
  </r>
  <r>
    <x v="12"/>
    <d v="2009-01-13T00:00:00"/>
    <n v="2009"/>
    <x v="333"/>
    <x v="0"/>
    <x v="0"/>
    <n v="1200"/>
    <x v="0"/>
    <s v="Elizabeth"/>
    <s v="North Eastham"/>
    <x v="0"/>
    <x v="3"/>
  </r>
  <r>
    <x v="23"/>
    <d v="2009-01-25T00:00:00"/>
    <n v="2009"/>
    <x v="131"/>
    <x v="0"/>
    <x v="1"/>
    <n v="3600"/>
    <x v="0"/>
    <s v="marie-louise"/>
    <s v="Sitka"/>
    <x v="0"/>
    <x v="1"/>
  </r>
  <r>
    <x v="12"/>
    <d v="2009-01-13T00:00:00"/>
    <n v="2009"/>
    <x v="110"/>
    <x v="0"/>
    <x v="1"/>
    <n v="3600"/>
    <x v="2"/>
    <s v="John"/>
    <s v="Chicago"/>
    <x v="0"/>
    <x v="3"/>
  </r>
  <r>
    <x v="7"/>
    <d v="2009-01-03T00:00:00"/>
    <n v="2009"/>
    <x v="334"/>
    <x v="0"/>
    <x v="0"/>
    <n v="1200"/>
    <x v="1"/>
    <s v="paula"/>
    <s v="Sammamish"/>
    <x v="0"/>
    <x v="6"/>
  </r>
  <r>
    <x v="2"/>
    <d v="2009-01-05T00:00:00"/>
    <n v="2009"/>
    <x v="335"/>
    <x v="0"/>
    <x v="0"/>
    <n v="1200"/>
    <x v="1"/>
    <s v="Isabelle"/>
    <s v="Ewa Beach"/>
    <x v="0"/>
    <x v="2"/>
  </r>
  <r>
    <x v="23"/>
    <d v="2009-01-25T00:00:00"/>
    <n v="2009"/>
    <x v="44"/>
    <x v="0"/>
    <x v="0"/>
    <n v="1200"/>
    <x v="0"/>
    <s v="Maureen"/>
    <s v="Statesville"/>
    <x v="0"/>
    <x v="1"/>
  </r>
  <r>
    <x v="23"/>
    <d v="2009-01-25T00:00:00"/>
    <n v="2009"/>
    <x v="336"/>
    <x v="0"/>
    <x v="0"/>
    <n v="1200"/>
    <x v="0"/>
    <s v="David"/>
    <s v="Kapaa"/>
    <x v="0"/>
    <x v="1"/>
  </r>
  <r>
    <x v="7"/>
    <d v="2009-01-03T00:00:00"/>
    <n v="2009"/>
    <x v="337"/>
    <x v="1"/>
    <x v="0"/>
    <n v="1200"/>
    <x v="1"/>
    <s v="caterina"/>
    <s v="Burbank"/>
    <x v="0"/>
    <x v="6"/>
  </r>
  <r>
    <x v="9"/>
    <d v="2009-01-10T00:00:00"/>
    <n v="2009"/>
    <x v="338"/>
    <x v="0"/>
    <x v="1"/>
    <n v="3600"/>
    <x v="1"/>
    <s v="Cheryl"/>
    <s v="Hilton Head"/>
    <x v="0"/>
    <x v="6"/>
  </r>
  <r>
    <x v="21"/>
    <d v="2009-01-22T00:00:00"/>
    <n v="2009"/>
    <x v="102"/>
    <x v="1"/>
    <x v="2"/>
    <n v="7500"/>
    <x v="0"/>
    <s v="Frank and Christelle"/>
    <s v="Valley Center"/>
    <x v="0"/>
    <x v="4"/>
  </r>
  <r>
    <x v="3"/>
    <d v="2009-01-06T00:00:00"/>
    <n v="2009"/>
    <x v="339"/>
    <x v="0"/>
    <x v="1"/>
    <n v="100000"/>
    <x v="1"/>
    <s v="Triona"/>
    <s v="Swampscott"/>
    <x v="0"/>
    <x v="3"/>
  </r>
  <r>
    <x v="23"/>
    <d v="2009-01-25T00:00:00"/>
    <n v="2009"/>
    <x v="340"/>
    <x v="0"/>
    <x v="0"/>
    <n v="1200"/>
    <x v="1"/>
    <s v="Phillip"/>
    <s v="San Antonio"/>
    <x v="0"/>
    <x v="1"/>
  </r>
  <r>
    <x v="13"/>
    <d v="2009-01-14T00:00:00"/>
    <n v="2009"/>
    <x v="341"/>
    <x v="0"/>
    <x v="0"/>
    <n v="1200"/>
    <x v="0"/>
    <s v="jingyan"/>
    <s v="Bristol"/>
    <x v="0"/>
    <x v="5"/>
  </r>
  <r>
    <x v="5"/>
    <d v="2009-01-07T00:00:00"/>
    <n v="2009"/>
    <x v="342"/>
    <x v="0"/>
    <x v="0"/>
    <n v="1200"/>
    <x v="1"/>
    <s v="Selma"/>
    <s v="Greenville"/>
    <x v="0"/>
    <x v="5"/>
  </r>
  <r>
    <x v="7"/>
    <d v="2009-01-03T00:00:00"/>
    <n v="2009"/>
    <x v="343"/>
    <x v="0"/>
    <x v="0"/>
    <n v="1200"/>
    <x v="0"/>
    <s v="Doug and Tina"/>
    <s v="Pls Vrds Est"/>
    <x v="0"/>
    <x v="6"/>
  </r>
  <r>
    <x v="28"/>
    <d v="2009-01-29T00:00:00"/>
    <n v="2009"/>
    <x v="307"/>
    <x v="0"/>
    <x v="0"/>
    <n v="1200"/>
    <x v="1"/>
    <s v="Hale"/>
    <s v="Morrison"/>
    <x v="0"/>
    <x v="4"/>
  </r>
  <r>
    <x v="22"/>
    <d v="2009-01-23T00:00:00"/>
    <n v="2009"/>
    <x v="344"/>
    <x v="0"/>
    <x v="0"/>
    <n v="1200"/>
    <x v="1"/>
    <s v="Kevin"/>
    <s v="Hollywood"/>
    <x v="0"/>
    <x v="0"/>
  </r>
  <r>
    <x v="27"/>
    <d v="2009-01-28T00:00:00"/>
    <n v="2009"/>
    <x v="225"/>
    <x v="0"/>
    <x v="0"/>
    <n v="1200"/>
    <x v="0"/>
    <s v="christal"/>
    <s v="Morrison"/>
    <x v="0"/>
    <x v="5"/>
  </r>
  <r>
    <x v="5"/>
    <d v="2009-01-07T00:00:00"/>
    <n v="2009"/>
    <x v="286"/>
    <x v="0"/>
    <x v="0"/>
    <n v="1200"/>
    <x v="1"/>
    <s v="Alex"/>
    <s v="Augusta"/>
    <x v="0"/>
    <x v="5"/>
  </r>
  <r>
    <x v="4"/>
    <d v="2009-01-01T00:00:00"/>
    <n v="2009"/>
    <x v="18"/>
    <x v="0"/>
    <x v="2"/>
    <n v="100000"/>
    <x v="2"/>
    <s v="Pamela"/>
    <s v="Skaneateles"/>
    <x v="0"/>
    <x v="4"/>
  </r>
  <r>
    <x v="10"/>
    <d v="2009-01-12T00:00:00"/>
    <n v="2009"/>
    <x v="345"/>
    <x v="0"/>
    <x v="0"/>
    <n v="1200"/>
    <x v="0"/>
    <s v="Julia"/>
    <s v="Madison"/>
    <x v="0"/>
    <x v="2"/>
  </r>
  <r>
    <x v="0"/>
    <d v="2009-01-02T00:00:00"/>
    <n v="2009"/>
    <x v="346"/>
    <x v="0"/>
    <x v="0"/>
    <n v="1200"/>
    <x v="1"/>
    <s v="carolina"/>
    <s v="Basildon"/>
    <x v="1"/>
    <x v="0"/>
  </r>
  <r>
    <x v="3"/>
    <d v="2009-01-06T00:00:00"/>
    <n v="2009"/>
    <x v="347"/>
    <x v="0"/>
    <x v="1"/>
    <n v="100000"/>
    <x v="0"/>
    <s v="Sabine"/>
    <s v="London"/>
    <x v="1"/>
    <x v="3"/>
  </r>
  <r>
    <x v="3"/>
    <d v="2009-01-06T00:00:00"/>
    <n v="2009"/>
    <x v="2"/>
    <x v="1"/>
    <x v="0"/>
    <n v="1200"/>
    <x v="0"/>
    <s v="Jeremy"/>
    <s v="Manchester"/>
    <x v="1"/>
    <x v="3"/>
  </r>
  <r>
    <x v="0"/>
    <d v="2009-01-02T00:00:00"/>
    <n v="2009"/>
    <x v="316"/>
    <x v="0"/>
    <x v="0"/>
    <n v="1200"/>
    <x v="0"/>
    <s v="chris"/>
    <s v="London"/>
    <x v="1"/>
    <x v="0"/>
  </r>
  <r>
    <x v="8"/>
    <d v="2009-01-09T00:00:00"/>
    <n v="2009"/>
    <x v="348"/>
    <x v="0"/>
    <x v="0"/>
    <n v="1200"/>
    <x v="1"/>
    <s v="Sari"/>
    <s v="Newbury"/>
    <x v="1"/>
    <x v="0"/>
  </r>
  <r>
    <x v="0"/>
    <d v="2009-01-02T00:00:00"/>
    <n v="2009"/>
    <x v="266"/>
    <x v="0"/>
    <x v="0"/>
    <n v="1200"/>
    <x v="0"/>
    <s v="Cindy"/>
    <s v="Kemble"/>
    <x v="1"/>
    <x v="0"/>
  </r>
  <r>
    <x v="1"/>
    <d v="2009-01-04T00:00:00"/>
    <n v="2009"/>
    <x v="40"/>
    <x v="0"/>
    <x v="0"/>
    <n v="1200"/>
    <x v="1"/>
    <s v="Tamar"/>
    <s v="Headley"/>
    <x v="1"/>
    <x v="1"/>
  </r>
  <r>
    <x v="10"/>
    <d v="2009-01-12T00:00:00"/>
    <n v="2009"/>
    <x v="295"/>
    <x v="0"/>
    <x v="0"/>
    <n v="1200"/>
    <x v="1"/>
    <s v="Bernadett"/>
    <s v="Southampton"/>
    <x v="1"/>
    <x v="2"/>
  </r>
  <r>
    <x v="11"/>
    <d v="2009-01-11T00:00:00"/>
    <n v="2009"/>
    <x v="217"/>
    <x v="0"/>
    <x v="0"/>
    <n v="1200"/>
    <x v="1"/>
    <s v="AnaPaula"/>
    <s v="Helens Bay"/>
    <x v="1"/>
    <x v="1"/>
  </r>
  <r>
    <x v="9"/>
    <d v="2009-01-10T00:00:00"/>
    <n v="2009"/>
    <x v="61"/>
    <x v="0"/>
    <x v="0"/>
    <n v="1200"/>
    <x v="1"/>
    <s v="Kevin"/>
    <s v="Cheltenham"/>
    <x v="1"/>
    <x v="6"/>
  </r>
  <r>
    <x v="6"/>
    <d v="2009-01-08T00:00:00"/>
    <n v="2009"/>
    <x v="320"/>
    <x v="0"/>
    <x v="0"/>
    <n v="1200"/>
    <x v="1"/>
    <s v="anne"/>
    <s v="Bournemouth"/>
    <x v="1"/>
    <x v="4"/>
  </r>
  <r>
    <x v="14"/>
    <d v="2009-01-15T00:00:00"/>
    <n v="2009"/>
    <x v="349"/>
    <x v="0"/>
    <x v="0"/>
    <n v="1200"/>
    <x v="0"/>
    <s v="Grace"/>
    <s v="York"/>
    <x v="1"/>
    <x v="4"/>
  </r>
  <r>
    <x v="8"/>
    <d v="2009-01-09T00:00:00"/>
    <n v="2009"/>
    <x v="350"/>
    <x v="0"/>
    <x v="0"/>
    <n v="1200"/>
    <x v="1"/>
    <s v="Nicole"/>
    <s v="Basingstoke"/>
    <x v="1"/>
    <x v="0"/>
  </r>
  <r>
    <x v="17"/>
    <d v="2009-01-18T00:00:00"/>
    <n v="2009"/>
    <x v="351"/>
    <x v="0"/>
    <x v="1"/>
    <n v="100000"/>
    <x v="0"/>
    <s v="Cheryl"/>
    <s v="New Malden"/>
    <x v="1"/>
    <x v="1"/>
  </r>
  <r>
    <x v="17"/>
    <d v="2009-01-18T00:00:00"/>
    <n v="2009"/>
    <x v="352"/>
    <x v="0"/>
    <x v="0"/>
    <n v="1200"/>
    <x v="0"/>
    <s v="Doug"/>
    <s v="Bishop Auckland"/>
    <x v="1"/>
    <x v="1"/>
  </r>
  <r>
    <x v="18"/>
    <d v="2009-01-19T00:00:00"/>
    <n v="2009"/>
    <x v="353"/>
    <x v="0"/>
    <x v="0"/>
    <n v="1200"/>
    <x v="0"/>
    <s v="Melissa"/>
    <s v="Aberdeen"/>
    <x v="1"/>
    <x v="2"/>
  </r>
  <r>
    <x v="19"/>
    <d v="2009-01-20T00:00:00"/>
    <n v="2009"/>
    <x v="354"/>
    <x v="0"/>
    <x v="0"/>
    <n v="1200"/>
    <x v="0"/>
    <s v="Randy"/>
    <s v="Wigan"/>
    <x v="1"/>
    <x v="3"/>
  </r>
  <r>
    <x v="19"/>
    <d v="2009-01-20T00:00:00"/>
    <n v="2009"/>
    <x v="355"/>
    <x v="0"/>
    <x v="0"/>
    <n v="1200"/>
    <x v="0"/>
    <s v="Jessica"/>
    <s v="Abbey Town"/>
    <x v="1"/>
    <x v="3"/>
  </r>
  <r>
    <x v="7"/>
    <d v="2009-01-03T00:00:00"/>
    <n v="2009"/>
    <x v="356"/>
    <x v="0"/>
    <x v="0"/>
    <n v="1200"/>
    <x v="0"/>
    <s v="Genevieve"/>
    <s v="Milton Keynes"/>
    <x v="1"/>
    <x v="6"/>
  </r>
  <r>
    <x v="20"/>
    <d v="2009-01-21T00:00:00"/>
    <n v="2009"/>
    <x v="104"/>
    <x v="0"/>
    <x v="0"/>
    <n v="1200"/>
    <x v="0"/>
    <s v="Kevin"/>
    <s v="London"/>
    <x v="1"/>
    <x v="5"/>
  </r>
  <r>
    <x v="3"/>
    <d v="2009-01-06T00:00:00"/>
    <n v="2009"/>
    <x v="357"/>
    <x v="0"/>
    <x v="0"/>
    <n v="1200"/>
    <x v="0"/>
    <s v="Lina"/>
    <s v="Edinburgh"/>
    <x v="1"/>
    <x v="3"/>
  </r>
  <r>
    <x v="13"/>
    <d v="2009-01-14T00:00:00"/>
    <n v="2009"/>
    <x v="312"/>
    <x v="0"/>
    <x v="0"/>
    <n v="1200"/>
    <x v="1"/>
    <s v="Angela"/>
    <s v="Newburgh"/>
    <x v="1"/>
    <x v="5"/>
  </r>
  <r>
    <x v="25"/>
    <d v="2009-01-24T00:00:00"/>
    <n v="2009"/>
    <x v="358"/>
    <x v="0"/>
    <x v="1"/>
    <n v="100000"/>
    <x v="0"/>
    <s v="Barbara"/>
    <s v="Kirriemuir"/>
    <x v="1"/>
    <x v="6"/>
  </r>
  <r>
    <x v="11"/>
    <d v="2009-01-11T00:00:00"/>
    <n v="2009"/>
    <x v="273"/>
    <x v="0"/>
    <x v="1"/>
    <n v="100000"/>
    <x v="0"/>
    <s v="LAURIE"/>
    <s v="Guildford"/>
    <x v="1"/>
    <x v="1"/>
  </r>
  <r>
    <x v="11"/>
    <d v="2009-01-11T00:00:00"/>
    <n v="2009"/>
    <x v="359"/>
    <x v="0"/>
    <x v="0"/>
    <n v="1200"/>
    <x v="0"/>
    <s v="kirsten"/>
    <s v="Bishops Stortford"/>
    <x v="1"/>
    <x v="1"/>
  </r>
  <r>
    <x v="4"/>
    <d v="2009-01-01T00:00:00"/>
    <n v="2009"/>
    <x v="360"/>
    <x v="0"/>
    <x v="0"/>
    <n v="1200"/>
    <x v="1"/>
    <s v="Babs"/>
    <s v="Blackpool"/>
    <x v="1"/>
    <x v="4"/>
  </r>
  <r>
    <x v="11"/>
    <d v="2009-01-11T00:00:00"/>
    <n v="2009"/>
    <x v="361"/>
    <x v="0"/>
    <x v="0"/>
    <n v="1200"/>
    <x v="1"/>
    <s v="Hollyn"/>
    <s v="London"/>
    <x v="1"/>
    <x v="1"/>
  </r>
  <r>
    <x v="5"/>
    <d v="2009-01-07T00:00:00"/>
    <n v="2009"/>
    <x v="362"/>
    <x v="0"/>
    <x v="0"/>
    <n v="1200"/>
    <x v="2"/>
    <s v="Jeremy"/>
    <s v="London"/>
    <x v="1"/>
    <x v="5"/>
  </r>
  <r>
    <x v="24"/>
    <d v="2009-01-26T00:00:00"/>
    <n v="2009"/>
    <x v="134"/>
    <x v="0"/>
    <x v="0"/>
    <n v="1200"/>
    <x v="1"/>
    <s v="Miss"/>
    <s v="London"/>
    <x v="1"/>
    <x v="2"/>
  </r>
  <r>
    <x v="2"/>
    <d v="2009-01-05T00:00:00"/>
    <n v="2009"/>
    <x v="58"/>
    <x v="0"/>
    <x v="0"/>
    <n v="1200"/>
    <x v="1"/>
    <s v="Kim"/>
    <s v="London"/>
    <x v="1"/>
    <x v="2"/>
  </r>
  <r>
    <x v="26"/>
    <d v="2009-01-27T00:00:00"/>
    <n v="2009"/>
    <x v="363"/>
    <x v="0"/>
    <x v="0"/>
    <n v="1200"/>
    <x v="0"/>
    <s v="anissa"/>
    <s v="Slough"/>
    <x v="1"/>
    <x v="3"/>
  </r>
  <r>
    <x v="0"/>
    <d v="2009-01-02T00:00:00"/>
    <n v="2009"/>
    <x v="131"/>
    <x v="0"/>
    <x v="0"/>
    <n v="1200"/>
    <x v="1"/>
    <s v="Brenda"/>
    <s v="Saffron Walden"/>
    <x v="1"/>
    <x v="0"/>
  </r>
  <r>
    <x v="27"/>
    <d v="2009-01-28T00:00:00"/>
    <n v="2009"/>
    <x v="107"/>
    <x v="0"/>
    <x v="0"/>
    <n v="1200"/>
    <x v="0"/>
    <s v="Kevin"/>
    <s v="Berkeswell"/>
    <x v="1"/>
    <x v="5"/>
  </r>
  <r>
    <x v="25"/>
    <d v="2009-01-24T00:00:00"/>
    <n v="2009"/>
    <x v="164"/>
    <x v="0"/>
    <x v="0"/>
    <n v="1200"/>
    <x v="0"/>
    <s v="breon"/>
    <s v="Leighton Buzzard"/>
    <x v="1"/>
    <x v="6"/>
  </r>
  <r>
    <x v="0"/>
    <d v="2009-01-02T00:00:00"/>
    <n v="2009"/>
    <x v="364"/>
    <x v="0"/>
    <x v="0"/>
    <n v="1200"/>
    <x v="0"/>
    <s v="Dr. Donald"/>
    <s v="Stockton-on-Tees"/>
    <x v="1"/>
    <x v="0"/>
  </r>
  <r>
    <x v="12"/>
    <d v="2009-01-13T00:00:00"/>
    <n v="2009"/>
    <x v="365"/>
    <x v="0"/>
    <x v="0"/>
    <n v="1200"/>
    <x v="1"/>
    <s v="Zane"/>
    <s v="Warlingham"/>
    <x v="1"/>
    <x v="3"/>
  </r>
  <r>
    <x v="12"/>
    <d v="2009-01-13T00:00:00"/>
    <n v="2009"/>
    <x v="366"/>
    <x v="0"/>
    <x v="0"/>
    <n v="1200"/>
    <x v="0"/>
    <s v="Anett"/>
    <s v="Gosport"/>
    <x v="1"/>
    <x v="3"/>
  </r>
  <r>
    <x v="2"/>
    <d v="2009-01-05T00:00:00"/>
    <n v="2009"/>
    <x v="235"/>
    <x v="0"/>
    <x v="0"/>
    <n v="1200"/>
    <x v="0"/>
    <s v="pirunkit"/>
    <s v="Petworth"/>
    <x v="1"/>
    <x v="2"/>
  </r>
  <r>
    <x v="30"/>
    <d v="2009-01-31T00:00:00"/>
    <n v="2009"/>
    <x v="311"/>
    <x v="0"/>
    <x v="0"/>
    <n v="1200"/>
    <x v="0"/>
    <s v="Nanci"/>
    <s v="Reading"/>
    <x v="1"/>
    <x v="6"/>
  </r>
  <r>
    <x v="30"/>
    <d v="2009-01-31T00:00:00"/>
    <n v="2009"/>
    <x v="236"/>
    <x v="0"/>
    <x v="0"/>
    <n v="1200"/>
    <x v="0"/>
    <s v="ciara and mike"/>
    <s v="London"/>
    <x v="1"/>
    <x v="6"/>
  </r>
  <r>
    <x v="21"/>
    <d v="2009-01-22T00:00:00"/>
    <n v="2009"/>
    <x v="260"/>
    <x v="1"/>
    <x v="0"/>
    <n v="1200"/>
    <x v="1"/>
    <s v="Tejal"/>
    <s v="London"/>
    <x v="1"/>
    <x v="4"/>
  </r>
  <r>
    <x v="24"/>
    <d v="2009-01-26T00:00:00"/>
    <n v="2009"/>
    <x v="0"/>
    <x v="0"/>
    <x v="0"/>
    <n v="1200"/>
    <x v="0"/>
    <s v="Gerardo"/>
    <s v="London"/>
    <x v="1"/>
    <x v="2"/>
  </r>
  <r>
    <x v="8"/>
    <d v="2009-01-09T00:00:00"/>
    <n v="2009"/>
    <x v="296"/>
    <x v="0"/>
    <x v="0"/>
    <n v="1200"/>
    <x v="0"/>
    <s v="Ravinder"/>
    <s v="Lurgan"/>
    <x v="1"/>
    <x v="0"/>
  </r>
  <r>
    <x v="2"/>
    <d v="2009-01-05T00:00:00"/>
    <n v="2009"/>
    <x v="165"/>
    <x v="0"/>
    <x v="0"/>
    <n v="1200"/>
    <x v="0"/>
    <s v="Amanda"/>
    <s v="Shenfield"/>
    <x v="1"/>
    <x v="2"/>
  </r>
  <r>
    <x v="14"/>
    <d v="2009-01-15T00:00:00"/>
    <n v="2009"/>
    <x v="367"/>
    <x v="0"/>
    <x v="0"/>
    <n v="1200"/>
    <x v="0"/>
    <s v="Sarah"/>
    <s v="Bolton"/>
    <x v="1"/>
    <x v="4"/>
  </r>
  <r>
    <x v="6"/>
    <d v="2009-01-08T00:00:00"/>
    <n v="2009"/>
    <x v="148"/>
    <x v="0"/>
    <x v="0"/>
    <n v="1200"/>
    <x v="1"/>
    <s v="Karin"/>
    <s v="High Wycombe"/>
    <x v="1"/>
    <x v="4"/>
  </r>
  <r>
    <x v="25"/>
    <d v="2009-01-24T00:00:00"/>
    <n v="2009"/>
    <x v="368"/>
    <x v="0"/>
    <x v="0"/>
    <n v="1200"/>
    <x v="0"/>
    <s v="DD"/>
    <s v="York"/>
    <x v="1"/>
    <x v="6"/>
  </r>
  <r>
    <x v="4"/>
    <d v="2009-01-01T00:00:00"/>
    <n v="2009"/>
    <x v="369"/>
    <x v="0"/>
    <x v="0"/>
    <n v="1200"/>
    <x v="0"/>
    <s v="Toni"/>
    <s v="Bolton"/>
    <x v="1"/>
    <x v="4"/>
  </r>
  <r>
    <x v="15"/>
    <d v="2009-01-16T00:00:00"/>
    <n v="2009"/>
    <x v="370"/>
    <x v="1"/>
    <x v="0"/>
    <n v="1200"/>
    <x v="0"/>
    <s v="Luc1nda"/>
    <s v="London"/>
    <x v="1"/>
    <x v="0"/>
  </r>
  <r>
    <x v="0"/>
    <d v="2009-01-02T00:00:00"/>
    <n v="2009"/>
    <x v="98"/>
    <x v="0"/>
    <x v="0"/>
    <n v="1200"/>
    <x v="1"/>
    <s v="Naseer"/>
    <s v="London"/>
    <x v="1"/>
    <x v="0"/>
  </r>
  <r>
    <x v="9"/>
    <d v="2009-01-10T00:00:00"/>
    <n v="2009"/>
    <x v="103"/>
    <x v="0"/>
    <x v="0"/>
    <n v="1200"/>
    <x v="1"/>
    <s v="Eleanor"/>
    <s v="Edinburgh"/>
    <x v="1"/>
    <x v="6"/>
  </r>
  <r>
    <x v="26"/>
    <d v="2009-01-27T00:00:00"/>
    <n v="2009"/>
    <x v="371"/>
    <x v="0"/>
    <x v="0"/>
    <n v="1200"/>
    <x v="0"/>
    <s v="Glenn"/>
    <s v="Perth"/>
    <x v="1"/>
    <x v="3"/>
  </r>
  <r>
    <x v="17"/>
    <d v="2009-01-18T00:00:00"/>
    <n v="2009"/>
    <x v="372"/>
    <x v="0"/>
    <x v="0"/>
    <n v="1200"/>
    <x v="2"/>
    <s v="Family in"/>
    <s v="London"/>
    <x v="1"/>
    <x v="1"/>
  </r>
  <r>
    <x v="17"/>
    <d v="2009-01-18T00:00:00"/>
    <n v="2009"/>
    <x v="373"/>
    <x v="0"/>
    <x v="0"/>
    <n v="1200"/>
    <x v="0"/>
    <s v="Jodi"/>
    <s v="Sutton Valence"/>
    <x v="1"/>
    <x v="1"/>
  </r>
  <r>
    <x v="29"/>
    <d v="2009-01-30T00:00:00"/>
    <n v="2009"/>
    <x v="41"/>
    <x v="0"/>
    <x v="0"/>
    <n v="1200"/>
    <x v="1"/>
    <s v="Whitney"/>
    <s v="Dumbleton"/>
    <x v="1"/>
    <x v="0"/>
  </r>
  <r>
    <x v="13"/>
    <d v="2009-01-14T00:00:00"/>
    <n v="2009"/>
    <x v="374"/>
    <x v="0"/>
    <x v="0"/>
    <n v="1200"/>
    <x v="1"/>
    <s v="Sabine"/>
    <s v="Milton Keynes"/>
    <x v="1"/>
    <x v="5"/>
  </r>
  <r>
    <x v="2"/>
    <d v="2009-01-05T00:00:00"/>
    <n v="2009"/>
    <x v="375"/>
    <x v="0"/>
    <x v="0"/>
    <n v="1200"/>
    <x v="0"/>
    <s v="maggie"/>
    <s v="Stockton"/>
    <x v="1"/>
    <x v="2"/>
  </r>
  <r>
    <x v="25"/>
    <d v="2009-01-24T00:00:00"/>
    <n v="2009"/>
    <x v="9"/>
    <x v="0"/>
    <x v="1"/>
    <n v="100000"/>
    <x v="0"/>
    <s v="Kathryn"/>
    <s v="Kirriemuir"/>
    <x v="1"/>
    <x v="6"/>
  </r>
  <r>
    <x v="13"/>
    <d v="2009-01-14T00:00:00"/>
    <n v="2009"/>
    <x v="51"/>
    <x v="1"/>
    <x v="0"/>
    <n v="1200"/>
    <x v="0"/>
    <s v="SUSAN"/>
    <s v="Oxford"/>
    <x v="1"/>
    <x v="5"/>
  </r>
  <r>
    <x v="4"/>
    <d v="2009-01-01T00:00:00"/>
    <n v="2009"/>
    <x v="13"/>
    <x v="1"/>
    <x v="0"/>
    <n v="1200"/>
    <x v="0"/>
    <s v="ashton"/>
    <s v="Exeter"/>
    <x v="1"/>
    <x v="4"/>
  </r>
  <r>
    <x v="14"/>
    <d v="2009-01-15T00:00:00"/>
    <n v="2009"/>
    <x v="376"/>
    <x v="0"/>
    <x v="1"/>
    <n v="100000"/>
    <x v="0"/>
    <s v="Pam"/>
    <s v="London"/>
    <x v="1"/>
    <x v="4"/>
  </r>
  <r>
    <x v="18"/>
    <d v="2009-01-19T00:00:00"/>
    <n v="2009"/>
    <x v="377"/>
    <x v="0"/>
    <x v="1"/>
    <n v="100000"/>
    <x v="1"/>
    <s v="Pavel"/>
    <s v="London"/>
    <x v="1"/>
    <x v="2"/>
  </r>
  <r>
    <x v="6"/>
    <d v="2009-01-08T00:00:00"/>
    <n v="2009"/>
    <x v="378"/>
    <x v="0"/>
    <x v="0"/>
    <n v="1200"/>
    <x v="0"/>
    <s v="amanda"/>
    <s v="Liverpool"/>
    <x v="1"/>
    <x v="4"/>
  </r>
  <r>
    <x v="5"/>
    <d v="2009-01-07T00:00:00"/>
    <n v="2009"/>
    <x v="374"/>
    <x v="0"/>
    <x v="0"/>
    <n v="1200"/>
    <x v="0"/>
    <s v="Elizabeth"/>
    <s v="Calne"/>
    <x v="1"/>
    <x v="5"/>
  </r>
  <r>
    <x v="0"/>
    <d v="2009-01-02T00:00:00"/>
    <n v="2009"/>
    <x v="239"/>
    <x v="0"/>
    <x v="0"/>
    <n v="1200"/>
    <x v="1"/>
    <s v="Aaron"/>
    <s v="Reading"/>
    <x v="1"/>
    <x v="0"/>
  </r>
  <r>
    <x v="27"/>
    <d v="2009-01-28T00:00:00"/>
    <n v="2009"/>
    <x v="246"/>
    <x v="0"/>
    <x v="0"/>
    <n v="1200"/>
    <x v="1"/>
    <s v="Zoe"/>
    <s v="Coventry"/>
    <x v="1"/>
    <x v="5"/>
  </r>
  <r>
    <x v="1"/>
    <d v="2009-01-04T00:00:00"/>
    <n v="2009"/>
    <x v="379"/>
    <x v="1"/>
    <x v="0"/>
    <n v="1200"/>
    <x v="1"/>
    <s v="Kayla"/>
    <s v="Leamington Spa"/>
    <x v="1"/>
    <x v="1"/>
  </r>
  <r>
    <x v="6"/>
    <d v="2009-01-08T00:00:00"/>
    <n v="2009"/>
    <x v="380"/>
    <x v="0"/>
    <x v="0"/>
    <n v="1200"/>
    <x v="1"/>
    <s v="Ken"/>
    <s v="Sidcup"/>
    <x v="1"/>
    <x v="4"/>
  </r>
  <r>
    <x v="1"/>
    <d v="2009-01-04T00:00:00"/>
    <n v="2009"/>
    <x v="381"/>
    <x v="0"/>
    <x v="0"/>
    <n v="1200"/>
    <x v="1"/>
    <s v="Samantha"/>
    <s v="Watford"/>
    <x v="1"/>
    <x v="1"/>
  </r>
  <r>
    <x v="18"/>
    <d v="2009-01-19T00:00:00"/>
    <n v="2009"/>
    <x v="382"/>
    <x v="0"/>
    <x v="0"/>
    <n v="1200"/>
    <x v="0"/>
    <s v="Erika"/>
    <s v="Redruth"/>
    <x v="1"/>
    <x v="2"/>
  </r>
  <r>
    <x v="12"/>
    <d v="2009-01-13T00:00:00"/>
    <n v="2009"/>
    <x v="372"/>
    <x v="0"/>
    <x v="0"/>
    <n v="1200"/>
    <x v="0"/>
    <s v="Louise"/>
    <s v="London"/>
    <x v="1"/>
    <x v="3"/>
  </r>
  <r>
    <x v="19"/>
    <d v="2009-01-20T00:00:00"/>
    <n v="2009"/>
    <x v="383"/>
    <x v="0"/>
    <x v="0"/>
    <n v="1200"/>
    <x v="1"/>
    <s v="Ashlee"/>
    <s v="Oxford"/>
    <x v="1"/>
    <x v="3"/>
  </r>
  <r>
    <x v="8"/>
    <d v="2009-01-09T00:00:00"/>
    <n v="2009"/>
    <x v="111"/>
    <x v="0"/>
    <x v="0"/>
    <n v="1200"/>
    <x v="0"/>
    <s v="John"/>
    <s v="Banbury"/>
    <x v="1"/>
    <x v="0"/>
  </r>
  <r>
    <x v="26"/>
    <d v="2009-01-27T00:00:00"/>
    <n v="2009"/>
    <x v="384"/>
    <x v="0"/>
    <x v="0"/>
    <n v="1200"/>
    <x v="1"/>
    <s v="Astrid"/>
    <s v="Canterbury"/>
    <x v="1"/>
    <x v="3"/>
  </r>
  <r>
    <x v="21"/>
    <d v="2009-01-22T00:00:00"/>
    <n v="2009"/>
    <x v="76"/>
    <x v="0"/>
    <x v="1"/>
    <n v="100000"/>
    <x v="0"/>
    <s v="Eman"/>
    <s v="Penclawdd"/>
    <x v="1"/>
    <x v="4"/>
  </r>
  <r>
    <x v="21"/>
    <d v="2009-01-22T00:00:00"/>
    <n v="2009"/>
    <x v="385"/>
    <x v="0"/>
    <x v="1"/>
    <n v="100000"/>
    <x v="1"/>
    <s v="Jyoti"/>
    <s v="Tunbridge Wells"/>
    <x v="1"/>
    <x v="4"/>
  </r>
  <r>
    <x v="0"/>
    <d v="2009-01-02T00:00:00"/>
    <n v="2009"/>
    <x v="125"/>
    <x v="0"/>
    <x v="0"/>
    <n v="1200"/>
    <x v="0"/>
    <s v="gail"/>
    <s v="London"/>
    <x v="1"/>
    <x v="0"/>
  </r>
  <r>
    <x v="0"/>
    <d v="2009-01-02T00:00:00"/>
    <n v="2009"/>
    <x v="58"/>
    <x v="0"/>
    <x v="0"/>
    <n v="1200"/>
    <x v="0"/>
    <s v="Mike"/>
    <s v="Aberdeen"/>
    <x v="1"/>
    <x v="0"/>
  </r>
  <r>
    <x v="23"/>
    <d v="2009-01-25T00:00:00"/>
    <n v="2009"/>
    <x v="212"/>
    <x v="0"/>
    <x v="0"/>
    <n v="1200"/>
    <x v="1"/>
    <s v="Howard"/>
    <s v="Worcester"/>
    <x v="1"/>
    <x v="1"/>
  </r>
  <r>
    <x v="28"/>
    <d v="2009-01-29T00:00:00"/>
    <n v="2009"/>
    <x v="299"/>
    <x v="0"/>
    <x v="0"/>
    <n v="1200"/>
    <x v="0"/>
    <s v="Matt"/>
    <s v="Leicester"/>
    <x v="1"/>
    <x v="4"/>
  </r>
  <r>
    <x v="11"/>
    <d v="2009-01-11T00:00:00"/>
    <n v="2009"/>
    <x v="386"/>
    <x v="0"/>
    <x v="0"/>
    <n v="1200"/>
    <x v="0"/>
    <s v="William"/>
    <s v="Chalfont Saint Peter"/>
    <x v="1"/>
    <x v="1"/>
  </r>
  <r>
    <x v="16"/>
    <d v="2009-01-17T00:00:00"/>
    <n v="2009"/>
    <x v="19"/>
    <x v="0"/>
    <x v="0"/>
    <n v="1200"/>
    <x v="1"/>
    <s v="Tatjana and Martin"/>
    <s v="Birmingham"/>
    <x v="1"/>
    <x v="6"/>
  </r>
  <r>
    <x v="23"/>
    <d v="2009-01-25T00:00:00"/>
    <n v="2009"/>
    <x v="387"/>
    <x v="0"/>
    <x v="0"/>
    <n v="1200"/>
    <x v="1"/>
    <s v="Malinda"/>
    <s v="Oxford"/>
    <x v="1"/>
    <x v="1"/>
  </r>
  <r>
    <x v="25"/>
    <d v="2009-01-24T00:00:00"/>
    <n v="2009"/>
    <x v="388"/>
    <x v="0"/>
    <x v="0"/>
    <n v="1200"/>
    <x v="1"/>
    <s v="Cathy"/>
    <s v="Kidderminster"/>
    <x v="1"/>
    <x v="6"/>
  </r>
  <r>
    <x v="10"/>
    <d v="2009-01-12T00:00:00"/>
    <n v="2009"/>
    <x v="267"/>
    <x v="0"/>
    <x v="0"/>
    <n v="1200"/>
    <x v="2"/>
    <s v="dia"/>
    <s v="Claygate"/>
    <x v="1"/>
    <x v="2"/>
  </r>
  <r>
    <x v="30"/>
    <d v="2009-01-31T00:00:00"/>
    <n v="2009"/>
    <x v="309"/>
    <x v="0"/>
    <x v="0"/>
    <n v="1200"/>
    <x v="2"/>
    <s v="Sean"/>
    <s v="London"/>
    <x v="1"/>
    <x v="6"/>
  </r>
  <r>
    <x v="20"/>
    <d v="2009-01-21T00:00:00"/>
    <n v="2009"/>
    <x v="182"/>
    <x v="0"/>
    <x v="0"/>
    <n v="1200"/>
    <x v="1"/>
    <s v="Caroline and Jonathan"/>
    <s v="Chichester"/>
    <x v="1"/>
    <x v="5"/>
  </r>
  <r>
    <x v="1"/>
    <d v="2009-01-04T00:00:00"/>
    <n v="2009"/>
    <x v="389"/>
    <x v="0"/>
    <x v="0"/>
    <n v="1200"/>
    <x v="0"/>
    <s v="Carole"/>
    <s v="Cardiff"/>
    <x v="1"/>
    <x v="1"/>
  </r>
  <r>
    <x v="2"/>
    <d v="2009-01-05T00:00:00"/>
    <n v="2009"/>
    <x v="390"/>
    <x v="0"/>
    <x v="0"/>
    <n v="1200"/>
    <x v="2"/>
    <s v="Amy"/>
    <s v="Ashford"/>
    <x v="1"/>
    <x v="2"/>
  </r>
  <r>
    <x v="23"/>
    <d v="2009-01-25T00:00:00"/>
    <n v="2009"/>
    <x v="391"/>
    <x v="0"/>
    <x v="0"/>
    <n v="1200"/>
    <x v="0"/>
    <s v="erin"/>
    <s v="London"/>
    <x v="1"/>
    <x v="1"/>
  </r>
  <r>
    <x v="5"/>
    <d v="2009-01-07T00:00:00"/>
    <n v="2009"/>
    <x v="135"/>
    <x v="0"/>
    <x v="0"/>
    <n v="1200"/>
    <x v="0"/>
    <s v="Julie"/>
    <s v="Ashford"/>
    <x v="1"/>
    <x v="5"/>
  </r>
  <r>
    <x v="14"/>
    <d v="2009-01-15T00:00:00"/>
    <n v="2009"/>
    <x v="392"/>
    <x v="0"/>
    <x v="0"/>
    <n v="1200"/>
    <x v="1"/>
    <s v="Simone"/>
    <s v="Watford"/>
    <x v="1"/>
    <x v="4"/>
  </r>
  <r>
    <x v="18"/>
    <d v="2009-01-19T00:00:00"/>
    <n v="2009"/>
    <x v="289"/>
    <x v="0"/>
    <x v="0"/>
    <n v="1200"/>
    <x v="0"/>
    <s v="Allison"/>
    <s v="Edinburgh"/>
    <x v="1"/>
    <x v="2"/>
  </r>
  <r>
    <x v="1"/>
    <d v="2009-01-04T00:00:00"/>
    <n v="2009"/>
    <x v="393"/>
    <x v="0"/>
    <x v="0"/>
    <n v="1200"/>
    <x v="0"/>
    <s v="Jen"/>
    <s v="Maidstone"/>
    <x v="1"/>
    <x v="1"/>
  </r>
  <r>
    <x v="0"/>
    <d v="2009-01-02T00:00:00"/>
    <n v="2009"/>
    <x v="386"/>
    <x v="0"/>
    <x v="0"/>
    <n v="1200"/>
    <x v="0"/>
    <s v="gladys"/>
    <s v="Saint Albans"/>
    <x v="1"/>
    <x v="0"/>
  </r>
  <r>
    <x v="26"/>
    <d v="2009-01-27T00:00:00"/>
    <n v="2009"/>
    <x v="316"/>
    <x v="0"/>
    <x v="0"/>
    <n v="1200"/>
    <x v="0"/>
    <s v="Rosemary"/>
    <s v="Cobham"/>
    <x v="1"/>
    <x v="3"/>
  </r>
  <r>
    <x v="18"/>
    <d v="2009-01-19T00:00:00"/>
    <n v="2009"/>
    <x v="88"/>
    <x v="0"/>
    <x v="0"/>
    <n v="1200"/>
    <x v="0"/>
    <s v="Alyssa"/>
    <s v="Brighton"/>
    <x v="1"/>
    <x v="2"/>
  </r>
  <r>
    <x v="19"/>
    <d v="2009-01-20T00:00:00"/>
    <n v="2009"/>
    <x v="96"/>
    <x v="0"/>
    <x v="1"/>
    <n v="100000"/>
    <x v="1"/>
    <s v="esther"/>
    <s v="Huddersfield"/>
    <x v="1"/>
    <x v="3"/>
  </r>
  <r>
    <x v="21"/>
    <d v="2009-01-22T00:00:00"/>
    <n v="2009"/>
    <x v="394"/>
    <x v="0"/>
    <x v="0"/>
    <n v="1200"/>
    <x v="0"/>
    <s v="Hans-Joerg"/>
    <s v="Belfast"/>
    <x v="1"/>
    <x v="4"/>
  </r>
  <r>
    <x v="6"/>
    <d v="2009-01-08T00:00:00"/>
    <n v="2009"/>
    <x v="395"/>
    <x v="0"/>
    <x v="0"/>
    <n v="1200"/>
    <x v="1"/>
    <s v="julie"/>
    <s v="Haverhill"/>
    <x v="1"/>
    <x v="4"/>
  </r>
  <r>
    <x v="13"/>
    <d v="2009-01-14T00:00:00"/>
    <n v="2009"/>
    <x v="225"/>
    <x v="0"/>
    <x v="0"/>
    <n v="1200"/>
    <x v="0"/>
    <s v="Jennifer"/>
    <s v="Jumeira"/>
    <x v="2"/>
    <x v="5"/>
  </r>
  <r>
    <x v="16"/>
    <d v="2009-01-17T00:00:00"/>
    <n v="2009"/>
    <x v="313"/>
    <x v="0"/>
    <x v="0"/>
    <n v="1200"/>
    <x v="1"/>
    <s v="Kathrin"/>
    <s v="Abu Dhabi"/>
    <x v="2"/>
    <x v="6"/>
  </r>
  <r>
    <x v="9"/>
    <d v="2009-01-10T00:00:00"/>
    <n v="2009"/>
    <x v="335"/>
    <x v="0"/>
    <x v="0"/>
    <n v="1200"/>
    <x v="0"/>
    <s v="Laura"/>
    <s v="Jumeira"/>
    <x v="2"/>
    <x v="6"/>
  </r>
  <r>
    <x v="23"/>
    <d v="2009-01-25T00:00:00"/>
    <n v="2009"/>
    <x v="380"/>
    <x v="0"/>
    <x v="1"/>
    <n v="100000"/>
    <x v="0"/>
    <s v="Family"/>
    <s v="Dubai"/>
    <x v="2"/>
    <x v="1"/>
  </r>
  <r>
    <x v="16"/>
    <d v="2009-01-17T00:00:00"/>
    <n v="2009"/>
    <x v="396"/>
    <x v="0"/>
    <x v="1"/>
    <n v="100000"/>
    <x v="0"/>
    <s v="Michelle"/>
    <s v="Dubai"/>
    <x v="2"/>
    <x v="6"/>
  </r>
  <r>
    <x v="19"/>
    <d v="2009-01-20T00:00:00"/>
    <n v="2009"/>
    <x v="3"/>
    <x v="0"/>
    <x v="0"/>
    <n v="1200"/>
    <x v="0"/>
    <s v="Jeannette"/>
    <s v="Dubai"/>
    <x v="2"/>
    <x v="3"/>
  </r>
  <r>
    <x v="11"/>
    <d v="2009-01-11T00:00:00"/>
    <n v="2009"/>
    <x v="274"/>
    <x v="0"/>
    <x v="0"/>
    <n v="1200"/>
    <x v="0"/>
    <s v="Aziz"/>
    <s v="Irpin'"/>
    <x v="3"/>
    <x v="1"/>
  </r>
  <r>
    <x v="0"/>
    <d v="2009-01-02T00:00:00"/>
    <n v="2009"/>
    <x v="397"/>
    <x v="1"/>
    <x v="0"/>
    <n v="1200"/>
    <x v="0"/>
    <s v="Sam"/>
    <s v="Tesvikiye"/>
    <x v="4"/>
    <x v="0"/>
  </r>
  <r>
    <x v="7"/>
    <d v="2009-01-03T00:00:00"/>
    <n v="2009"/>
    <x v="135"/>
    <x v="0"/>
    <x v="0"/>
    <n v="1200"/>
    <x v="0"/>
    <s v="Sylvia"/>
    <s v="Zekeriyakoy"/>
    <x v="4"/>
    <x v="6"/>
  </r>
  <r>
    <x v="6"/>
    <d v="2009-01-08T00:00:00"/>
    <n v="2009"/>
    <x v="21"/>
    <x v="0"/>
    <x v="0"/>
    <n v="1200"/>
    <x v="0"/>
    <s v="Dickson"/>
    <s v="Kemerburgaz"/>
    <x v="4"/>
    <x v="4"/>
  </r>
  <r>
    <x v="21"/>
    <d v="2009-01-22T00:00:00"/>
    <n v="2009"/>
    <x v="67"/>
    <x v="0"/>
    <x v="0"/>
    <n v="1200"/>
    <x v="0"/>
    <s v="Costanza"/>
    <s v="Beykoz"/>
    <x v="4"/>
    <x v="4"/>
  </r>
  <r>
    <x v="20"/>
    <d v="2009-01-21T00:00:00"/>
    <n v="2009"/>
    <x v="398"/>
    <x v="1"/>
    <x v="0"/>
    <n v="1200"/>
    <x v="0"/>
    <s v="Novy"/>
    <s v="Istanbul"/>
    <x v="4"/>
    <x v="5"/>
  </r>
  <r>
    <x v="5"/>
    <d v="2009-01-07T00:00:00"/>
    <n v="2009"/>
    <x v="179"/>
    <x v="0"/>
    <x v="0"/>
    <n v="1200"/>
    <x v="0"/>
    <s v="Darian"/>
    <s v="Izmir"/>
    <x v="4"/>
    <x v="5"/>
  </r>
  <r>
    <x v="26"/>
    <d v="2009-01-27T00:00:00"/>
    <n v="2009"/>
    <x v="399"/>
    <x v="0"/>
    <x v="0"/>
    <n v="1200"/>
    <x v="0"/>
    <s v="Emily"/>
    <s v="Killarney"/>
    <x v="5"/>
    <x v="3"/>
  </r>
  <r>
    <x v="14"/>
    <d v="2009-01-15T00:00:00"/>
    <n v="2009"/>
    <x v="236"/>
    <x v="0"/>
    <x v="0"/>
    <n v="1200"/>
    <x v="0"/>
    <s v="Cormac"/>
    <s v="Freeport City"/>
    <x v="5"/>
    <x v="4"/>
  </r>
  <r>
    <x v="6"/>
    <d v="2009-01-08T00:00:00"/>
    <n v="2009"/>
    <x v="212"/>
    <x v="0"/>
    <x v="1"/>
    <n v="100000"/>
    <x v="1"/>
    <s v="PATRICK"/>
    <s v="Ban Khlong Sip"/>
    <x v="6"/>
    <x v="4"/>
  </r>
  <r>
    <x v="25"/>
    <d v="2009-01-24T00:00:00"/>
    <n v="2009"/>
    <x v="235"/>
    <x v="0"/>
    <x v="0"/>
    <n v="1200"/>
    <x v="0"/>
    <s v="elaine"/>
    <s v="Phuket"/>
    <x v="6"/>
    <x v="6"/>
  </r>
  <r>
    <x v="6"/>
    <d v="2009-01-08T00:00:00"/>
    <n v="2009"/>
    <x v="400"/>
    <x v="0"/>
    <x v="0"/>
    <n v="1200"/>
    <x v="1"/>
    <s v="SYLVIA"/>
    <s v="Vesenaz"/>
    <x v="7"/>
    <x v="4"/>
  </r>
  <r>
    <x v="5"/>
    <d v="2009-01-07T00:00:00"/>
    <n v="2009"/>
    <x v="401"/>
    <x v="1"/>
    <x v="1"/>
    <n v="100000"/>
    <x v="1"/>
    <s v="Deirdre"/>
    <s v="Lausanne"/>
    <x v="7"/>
    <x v="5"/>
  </r>
  <r>
    <x v="2"/>
    <d v="2009-01-05T00:00:00"/>
    <n v="2009"/>
    <x v="402"/>
    <x v="0"/>
    <x v="0"/>
    <n v="1200"/>
    <x v="1"/>
    <s v="Tammy"/>
    <s v="Morges"/>
    <x v="7"/>
    <x v="2"/>
  </r>
  <r>
    <x v="17"/>
    <d v="2009-01-18T00:00:00"/>
    <n v="2009"/>
    <x v="403"/>
    <x v="0"/>
    <x v="0"/>
    <n v="1200"/>
    <x v="0"/>
    <s v="Sherri"/>
    <s v="Freienbach"/>
    <x v="7"/>
    <x v="1"/>
  </r>
  <r>
    <x v="13"/>
    <d v="2009-01-14T00:00:00"/>
    <n v="2009"/>
    <x v="75"/>
    <x v="0"/>
    <x v="1"/>
    <n v="100000"/>
    <x v="0"/>
    <s v="Kristen"/>
    <s v="Binningen"/>
    <x v="7"/>
    <x v="5"/>
  </r>
  <r>
    <x v="2"/>
    <d v="2009-01-05T00:00:00"/>
    <n v="2009"/>
    <x v="320"/>
    <x v="0"/>
    <x v="0"/>
    <n v="1200"/>
    <x v="0"/>
    <s v="katie"/>
    <s v="Ruschlikon"/>
    <x v="7"/>
    <x v="2"/>
  </r>
  <r>
    <x v="4"/>
    <d v="2009-01-01T00:00:00"/>
    <n v="2009"/>
    <x v="404"/>
    <x v="1"/>
    <x v="1"/>
    <n v="100000"/>
    <x v="1"/>
    <s v="Anne-line"/>
    <s v="Zug"/>
    <x v="7"/>
    <x v="4"/>
  </r>
  <r>
    <x v="10"/>
    <d v="2009-01-12T00:00:00"/>
    <n v="2009"/>
    <x v="405"/>
    <x v="0"/>
    <x v="1"/>
    <n v="100000"/>
    <x v="2"/>
    <s v="Pamela"/>
    <s v="Bellinzona"/>
    <x v="7"/>
    <x v="2"/>
  </r>
  <r>
    <x v="2"/>
    <d v="2009-01-05T00:00:00"/>
    <n v="2009"/>
    <x v="268"/>
    <x v="0"/>
    <x v="0"/>
    <n v="1200"/>
    <x v="0"/>
    <s v="isabel"/>
    <s v="Ruti"/>
    <x v="7"/>
    <x v="2"/>
  </r>
  <r>
    <x v="23"/>
    <d v="2009-01-25T00:00:00"/>
    <n v="2009"/>
    <x v="272"/>
    <x v="0"/>
    <x v="0"/>
    <n v="1200"/>
    <x v="1"/>
    <s v="Shane"/>
    <s v="Zurich"/>
    <x v="7"/>
    <x v="1"/>
  </r>
  <r>
    <x v="2"/>
    <d v="2009-01-05T00:00:00"/>
    <n v="2009"/>
    <x v="98"/>
    <x v="0"/>
    <x v="0"/>
    <n v="1200"/>
    <x v="2"/>
    <s v="Claire"/>
    <s v="Versoix"/>
    <x v="7"/>
    <x v="2"/>
  </r>
  <r>
    <x v="5"/>
    <d v="2009-01-07T00:00:00"/>
    <n v="2009"/>
    <x v="406"/>
    <x v="0"/>
    <x v="1"/>
    <n v="100000"/>
    <x v="0"/>
    <s v="Niki"/>
    <s v="Trelex"/>
    <x v="7"/>
    <x v="5"/>
  </r>
  <r>
    <x v="25"/>
    <d v="2009-01-24T00:00:00"/>
    <n v="2009"/>
    <x v="407"/>
    <x v="0"/>
    <x v="1"/>
    <n v="100000"/>
    <x v="1"/>
    <s v="Meredith"/>
    <s v="Kloten"/>
    <x v="7"/>
    <x v="6"/>
  </r>
  <r>
    <x v="13"/>
    <d v="2009-01-14T00:00:00"/>
    <n v="2009"/>
    <x v="158"/>
    <x v="1"/>
    <x v="0"/>
    <n v="1200"/>
    <x v="0"/>
    <s v="Richard and Comfort"/>
    <s v="Regensdorf"/>
    <x v="7"/>
    <x v="5"/>
  </r>
  <r>
    <x v="26"/>
    <d v="2009-01-27T00:00:00"/>
    <n v="2009"/>
    <x v="1"/>
    <x v="0"/>
    <x v="0"/>
    <n v="1200"/>
    <x v="1"/>
    <s v="Melissa"/>
    <s v="Geneve"/>
    <x v="7"/>
    <x v="3"/>
  </r>
  <r>
    <x v="7"/>
    <d v="2009-01-03T00:00:00"/>
    <n v="2009"/>
    <x v="291"/>
    <x v="0"/>
    <x v="0"/>
    <n v="1200"/>
    <x v="1"/>
    <s v="Yvette"/>
    <s v="Aubonne"/>
    <x v="7"/>
    <x v="6"/>
  </r>
  <r>
    <x v="12"/>
    <d v="2009-01-13T00:00:00"/>
    <n v="2009"/>
    <x v="408"/>
    <x v="0"/>
    <x v="1"/>
    <n v="100000"/>
    <x v="0"/>
    <s v="george"/>
    <s v="Zurich"/>
    <x v="7"/>
    <x v="3"/>
  </r>
  <r>
    <x v="25"/>
    <d v="2009-01-24T00:00:00"/>
    <n v="2009"/>
    <x v="345"/>
    <x v="0"/>
    <x v="0"/>
    <n v="1200"/>
    <x v="0"/>
    <s v="Nicole"/>
    <s v="Neuchatel"/>
    <x v="7"/>
    <x v="6"/>
  </r>
  <r>
    <x v="27"/>
    <d v="2009-01-28T00:00:00"/>
    <n v="2009"/>
    <x v="174"/>
    <x v="1"/>
    <x v="0"/>
    <n v="1200"/>
    <x v="0"/>
    <s v="VERBENA"/>
    <s v="Basel"/>
    <x v="7"/>
    <x v="5"/>
  </r>
  <r>
    <x v="20"/>
    <d v="2009-01-21T00:00:00"/>
    <n v="2009"/>
    <x v="409"/>
    <x v="0"/>
    <x v="0"/>
    <n v="1200"/>
    <x v="0"/>
    <s v="Sarah"/>
    <s v="Plan-les-Ouattes"/>
    <x v="7"/>
    <x v="5"/>
  </r>
  <r>
    <x v="28"/>
    <d v="2009-01-29T00:00:00"/>
    <n v="2009"/>
    <x v="406"/>
    <x v="0"/>
    <x v="0"/>
    <n v="1200"/>
    <x v="1"/>
    <s v="Suejean"/>
    <s v="Gingins"/>
    <x v="7"/>
    <x v="4"/>
  </r>
  <r>
    <x v="26"/>
    <d v="2009-01-27T00:00:00"/>
    <n v="2009"/>
    <x v="410"/>
    <x v="0"/>
    <x v="1"/>
    <n v="100000"/>
    <x v="0"/>
    <s v="minjeong"/>
    <s v="Bern"/>
    <x v="7"/>
    <x v="3"/>
  </r>
  <r>
    <x v="10"/>
    <d v="2009-01-12T00:00:00"/>
    <n v="2009"/>
    <x v="235"/>
    <x v="0"/>
    <x v="0"/>
    <n v="1200"/>
    <x v="1"/>
    <s v="Lusell"/>
    <s v="Oberwil"/>
    <x v="7"/>
    <x v="2"/>
  </r>
  <r>
    <x v="20"/>
    <d v="2009-01-21T00:00:00"/>
    <n v="2009"/>
    <x v="41"/>
    <x v="0"/>
    <x v="0"/>
    <n v="1200"/>
    <x v="0"/>
    <s v="Katrin"/>
    <s v="Zumikon"/>
    <x v="7"/>
    <x v="5"/>
  </r>
  <r>
    <x v="29"/>
    <d v="2009-01-30T00:00:00"/>
    <n v="2009"/>
    <x v="31"/>
    <x v="0"/>
    <x v="1"/>
    <n v="100000"/>
    <x v="1"/>
    <s v="Louise"/>
    <s v="Balgach"/>
    <x v="7"/>
    <x v="0"/>
  </r>
  <r>
    <x v="20"/>
    <d v="2009-01-21T00:00:00"/>
    <n v="2009"/>
    <x v="411"/>
    <x v="0"/>
    <x v="1"/>
    <n v="100000"/>
    <x v="0"/>
    <s v="Melissa"/>
    <s v="Carouge"/>
    <x v="7"/>
    <x v="5"/>
  </r>
  <r>
    <x v="23"/>
    <d v="2009-01-25T00:00:00"/>
    <n v="2009"/>
    <x v="412"/>
    <x v="0"/>
    <x v="1"/>
    <n v="100000"/>
    <x v="0"/>
    <s v="Scott"/>
    <s v="Lausanne"/>
    <x v="7"/>
    <x v="1"/>
  </r>
  <r>
    <x v="29"/>
    <d v="2009-01-30T00:00:00"/>
    <n v="2009"/>
    <x v="413"/>
    <x v="0"/>
    <x v="0"/>
    <n v="1200"/>
    <x v="1"/>
    <s v="Tarja"/>
    <s v="Villars"/>
    <x v="7"/>
    <x v="0"/>
  </r>
  <r>
    <x v="6"/>
    <d v="2009-01-08T00:00:00"/>
    <n v="2009"/>
    <x v="183"/>
    <x v="0"/>
    <x v="1"/>
    <n v="100000"/>
    <x v="0"/>
    <s v="Liz"/>
    <s v="Langnau"/>
    <x v="7"/>
    <x v="4"/>
  </r>
  <r>
    <x v="29"/>
    <d v="2009-01-30T00:00:00"/>
    <n v="2009"/>
    <x v="414"/>
    <x v="0"/>
    <x v="0"/>
    <n v="1200"/>
    <x v="0"/>
    <s v="danielle"/>
    <s v="Geneve"/>
    <x v="7"/>
    <x v="0"/>
  </r>
  <r>
    <x v="24"/>
    <d v="2009-01-26T00:00:00"/>
    <n v="2009"/>
    <x v="415"/>
    <x v="0"/>
    <x v="0"/>
    <n v="1200"/>
    <x v="0"/>
    <s v="manuela"/>
    <s v="Massagno"/>
    <x v="7"/>
    <x v="2"/>
  </r>
  <r>
    <x v="6"/>
    <d v="2009-01-08T00:00:00"/>
    <n v="2009"/>
    <x v="416"/>
    <x v="0"/>
    <x v="1"/>
    <n v="100000"/>
    <x v="1"/>
    <s v="Caroline"/>
    <s v="Begnins"/>
    <x v="7"/>
    <x v="4"/>
  </r>
  <r>
    <x v="15"/>
    <d v="2009-01-16T00:00:00"/>
    <n v="2009"/>
    <x v="417"/>
    <x v="0"/>
    <x v="1"/>
    <n v="100000"/>
    <x v="0"/>
    <s v="Karen"/>
    <s v="Berikon"/>
    <x v="7"/>
    <x v="0"/>
  </r>
  <r>
    <x v="22"/>
    <d v="2009-01-23T00:00:00"/>
    <n v="2009"/>
    <x v="288"/>
    <x v="0"/>
    <x v="0"/>
    <n v="1200"/>
    <x v="2"/>
    <s v="Tary"/>
    <s v="Zug"/>
    <x v="7"/>
    <x v="0"/>
  </r>
  <r>
    <x v="12"/>
    <d v="2009-01-13T00:00:00"/>
    <n v="2009"/>
    <x v="252"/>
    <x v="0"/>
    <x v="0"/>
    <n v="1200"/>
    <x v="0"/>
    <s v="Kerry"/>
    <s v="Anieres"/>
    <x v="7"/>
    <x v="3"/>
  </r>
  <r>
    <x v="24"/>
    <d v="2009-01-26T00:00:00"/>
    <n v="2009"/>
    <x v="267"/>
    <x v="0"/>
    <x v="0"/>
    <n v="1200"/>
    <x v="1"/>
    <s v="Lesleigh"/>
    <s v="Baden"/>
    <x v="7"/>
    <x v="2"/>
  </r>
  <r>
    <x v="2"/>
    <d v="2009-01-05T00:00:00"/>
    <n v="2009"/>
    <x v="156"/>
    <x v="1"/>
    <x v="0"/>
    <n v="1200"/>
    <x v="1"/>
    <s v="Bonnie"/>
    <s v="Saltsjobaden"/>
    <x v="8"/>
    <x v="2"/>
  </r>
  <r>
    <x v="7"/>
    <d v="2009-01-03T00:00:00"/>
    <n v="2009"/>
    <x v="114"/>
    <x v="0"/>
    <x v="1"/>
    <n v="100000"/>
    <x v="0"/>
    <s v="ayelet"/>
    <s v="Malmo"/>
    <x v="8"/>
    <x v="6"/>
  </r>
  <r>
    <x v="23"/>
    <d v="2009-01-25T00:00:00"/>
    <n v="2009"/>
    <x v="82"/>
    <x v="0"/>
    <x v="0"/>
    <n v="1200"/>
    <x v="0"/>
    <s v="Marion"/>
    <s v="Umea"/>
    <x v="8"/>
    <x v="1"/>
  </r>
  <r>
    <x v="27"/>
    <d v="2009-01-28T00:00:00"/>
    <n v="2009"/>
    <x v="388"/>
    <x v="0"/>
    <x v="0"/>
    <n v="1200"/>
    <x v="1"/>
    <s v="Kate"/>
    <s v="Stockholm"/>
    <x v="8"/>
    <x v="5"/>
  </r>
  <r>
    <x v="10"/>
    <d v="2009-01-12T00:00:00"/>
    <n v="2009"/>
    <x v="103"/>
    <x v="0"/>
    <x v="0"/>
    <n v="1200"/>
    <x v="2"/>
    <s v="mary"/>
    <s v="Nacka"/>
    <x v="8"/>
    <x v="2"/>
  </r>
  <r>
    <x v="10"/>
    <d v="2009-01-12T00:00:00"/>
    <n v="2009"/>
    <x v="174"/>
    <x v="1"/>
    <x v="0"/>
    <n v="1200"/>
    <x v="1"/>
    <s v="JP"/>
    <s v="Tierp"/>
    <x v="8"/>
    <x v="2"/>
  </r>
  <r>
    <x v="26"/>
    <d v="2009-01-27T00:00:00"/>
    <n v="2009"/>
    <x v="418"/>
    <x v="0"/>
    <x v="0"/>
    <n v="1200"/>
    <x v="2"/>
    <s v="R"/>
    <s v="Danderyd"/>
    <x v="8"/>
    <x v="3"/>
  </r>
  <r>
    <x v="10"/>
    <d v="2009-01-12T00:00:00"/>
    <n v="2009"/>
    <x v="69"/>
    <x v="1"/>
    <x v="0"/>
    <n v="1200"/>
    <x v="0"/>
    <s v="Ed"/>
    <s v="Nacka"/>
    <x v="8"/>
    <x v="2"/>
  </r>
  <r>
    <x v="18"/>
    <d v="2009-01-19T00:00:00"/>
    <n v="2009"/>
    <x v="419"/>
    <x v="0"/>
    <x v="0"/>
    <n v="1200"/>
    <x v="0"/>
    <s v="Esther"/>
    <s v="Stocksund"/>
    <x v="8"/>
    <x v="2"/>
  </r>
  <r>
    <x v="30"/>
    <d v="2009-01-31T00:00:00"/>
    <n v="2009"/>
    <x v="334"/>
    <x v="0"/>
    <x v="0"/>
    <n v="1200"/>
    <x v="0"/>
    <s v="Diane"/>
    <s v="Djurgarden"/>
    <x v="8"/>
    <x v="6"/>
  </r>
  <r>
    <x v="22"/>
    <d v="2009-01-23T00:00:00"/>
    <n v="2009"/>
    <x v="263"/>
    <x v="0"/>
    <x v="1"/>
    <n v="100000"/>
    <x v="2"/>
    <s v="Olympe"/>
    <s v="Lidingo"/>
    <x v="8"/>
    <x v="0"/>
  </r>
  <r>
    <x v="19"/>
    <d v="2009-01-20T00:00:00"/>
    <n v="2009"/>
    <x v="420"/>
    <x v="0"/>
    <x v="1"/>
    <n v="100000"/>
    <x v="0"/>
    <s v="Michael"/>
    <s v="Norrkoping"/>
    <x v="8"/>
    <x v="3"/>
  </r>
  <r>
    <x v="30"/>
    <d v="2009-01-31T00:00:00"/>
    <n v="2009"/>
    <x v="78"/>
    <x v="0"/>
    <x v="0"/>
    <n v="1200"/>
    <x v="1"/>
    <s v="Detlev"/>
    <s v="Taby"/>
    <x v="8"/>
    <x v="6"/>
  </r>
  <r>
    <x v="10"/>
    <d v="2009-01-12T00:00:00"/>
    <n v="2009"/>
    <x v="238"/>
    <x v="0"/>
    <x v="0"/>
    <n v="1200"/>
    <x v="2"/>
    <s v="Megan"/>
    <s v="La Alberca"/>
    <x v="9"/>
    <x v="2"/>
  </r>
  <r>
    <x v="12"/>
    <d v="2009-01-13T00:00:00"/>
    <n v="2009"/>
    <x v="421"/>
    <x v="0"/>
    <x v="0"/>
    <n v="1200"/>
    <x v="2"/>
    <s v="Christof and Heidi"/>
    <s v="Barcelona"/>
    <x v="9"/>
    <x v="3"/>
  </r>
  <r>
    <x v="26"/>
    <d v="2009-01-27T00:00:00"/>
    <n v="2009"/>
    <x v="358"/>
    <x v="0"/>
    <x v="0"/>
    <n v="1200"/>
    <x v="0"/>
    <s v="Jan"/>
    <s v="Barcelona"/>
    <x v="9"/>
    <x v="3"/>
  </r>
  <r>
    <x v="10"/>
    <d v="2009-01-12T00:00:00"/>
    <n v="2009"/>
    <x v="422"/>
    <x v="0"/>
    <x v="0"/>
    <n v="1200"/>
    <x v="0"/>
    <s v="Karen"/>
    <s v="Madrid"/>
    <x v="9"/>
    <x v="2"/>
  </r>
  <r>
    <x v="26"/>
    <d v="2009-01-27T00:00:00"/>
    <n v="2009"/>
    <x v="423"/>
    <x v="0"/>
    <x v="0"/>
    <n v="1200"/>
    <x v="1"/>
    <s v="DOREEN"/>
    <s v="Madrid"/>
    <x v="9"/>
    <x v="3"/>
  </r>
  <r>
    <x v="0"/>
    <d v="2009-01-02T00:00:00"/>
    <n v="2009"/>
    <x v="91"/>
    <x v="0"/>
    <x v="0"/>
    <n v="1200"/>
    <x v="1"/>
    <s v="Andrew"/>
    <s v="Sevilla"/>
    <x v="9"/>
    <x v="0"/>
  </r>
  <r>
    <x v="17"/>
    <d v="2009-01-18T00:00:00"/>
    <n v="2009"/>
    <x v="334"/>
    <x v="0"/>
    <x v="1"/>
    <n v="100000"/>
    <x v="2"/>
    <s v="Katie"/>
    <s v="Gava"/>
    <x v="9"/>
    <x v="1"/>
  </r>
  <r>
    <x v="13"/>
    <d v="2009-01-14T00:00:00"/>
    <n v="2009"/>
    <x v="327"/>
    <x v="0"/>
    <x v="0"/>
    <n v="1200"/>
    <x v="0"/>
    <s v="Bent Erik"/>
    <s v="Basauri"/>
    <x v="9"/>
    <x v="5"/>
  </r>
  <r>
    <x v="24"/>
    <d v="2009-01-26T00:00:00"/>
    <n v="2009"/>
    <x v="424"/>
    <x v="0"/>
    <x v="0"/>
    <n v="1200"/>
    <x v="0"/>
    <s v="beatrice"/>
    <s v="Churra"/>
    <x v="9"/>
    <x v="2"/>
  </r>
  <r>
    <x v="22"/>
    <d v="2009-01-23T00:00:00"/>
    <n v="2009"/>
    <x v="391"/>
    <x v="0"/>
    <x v="0"/>
    <n v="1200"/>
    <x v="1"/>
    <s v="Jerome"/>
    <s v="Madrid"/>
    <x v="9"/>
    <x v="0"/>
  </r>
  <r>
    <x v="8"/>
    <d v="2009-01-09T00:00:00"/>
    <n v="2009"/>
    <x v="425"/>
    <x v="0"/>
    <x v="0"/>
    <n v="1200"/>
    <x v="0"/>
    <s v="Roza"/>
    <s v="Alcobendas"/>
    <x v="9"/>
    <x v="0"/>
  </r>
  <r>
    <x v="25"/>
    <d v="2009-01-24T00:00:00"/>
    <n v="2009"/>
    <x v="314"/>
    <x v="1"/>
    <x v="0"/>
    <n v="1200"/>
    <x v="0"/>
    <s v="T"/>
    <s v="El Escorial"/>
    <x v="9"/>
    <x v="6"/>
  </r>
  <r>
    <x v="1"/>
    <d v="2009-01-04T00:00:00"/>
    <n v="2009"/>
    <x v="417"/>
    <x v="0"/>
    <x v="0"/>
    <n v="1200"/>
    <x v="0"/>
    <s v="DeeDee"/>
    <s v="Songnae-dong"/>
    <x v="10"/>
    <x v="1"/>
  </r>
  <r>
    <x v="2"/>
    <d v="2009-01-05T00:00:00"/>
    <n v="2009"/>
    <x v="87"/>
    <x v="0"/>
    <x v="0"/>
    <n v="1200"/>
    <x v="1"/>
    <s v="Nicola"/>
    <s v="Roodepoort"/>
    <x v="11"/>
    <x v="2"/>
  </r>
  <r>
    <x v="12"/>
    <d v="2009-01-13T00:00:00"/>
    <n v="2009"/>
    <x v="426"/>
    <x v="0"/>
    <x v="0"/>
    <n v="1200"/>
    <x v="0"/>
    <s v="Filip and Teresa"/>
    <s v="Centurion"/>
    <x v="11"/>
    <x v="3"/>
  </r>
  <r>
    <x v="15"/>
    <d v="2009-01-16T00:00:00"/>
    <n v="2009"/>
    <x v="135"/>
    <x v="0"/>
    <x v="0"/>
    <n v="1200"/>
    <x v="1"/>
    <s v="Marian"/>
    <s v="Durban"/>
    <x v="11"/>
    <x v="0"/>
  </r>
  <r>
    <x v="23"/>
    <d v="2009-01-25T00:00:00"/>
    <n v="2009"/>
    <x v="427"/>
    <x v="0"/>
    <x v="2"/>
    <n v="100000"/>
    <x v="0"/>
    <s v="Michael"/>
    <s v="Pietermaritzburg"/>
    <x v="11"/>
    <x v="1"/>
  </r>
  <r>
    <x v="15"/>
    <d v="2009-01-16T00:00:00"/>
    <n v="2009"/>
    <x v="34"/>
    <x v="0"/>
    <x v="0"/>
    <n v="1200"/>
    <x v="1"/>
    <s v="Niamh"/>
    <s v="Benoni"/>
    <x v="11"/>
    <x v="0"/>
  </r>
  <r>
    <x v="24"/>
    <d v="2009-01-26T00:00:00"/>
    <n v="2009"/>
    <x v="139"/>
    <x v="0"/>
    <x v="1"/>
    <n v="100000"/>
    <x v="2"/>
    <s v="ron"/>
    <s v="Tsaritsyno"/>
    <x v="12"/>
    <x v="2"/>
  </r>
  <r>
    <x v="21"/>
    <d v="2009-01-22T00:00:00"/>
    <n v="2009"/>
    <x v="428"/>
    <x v="0"/>
    <x v="0"/>
    <n v="1200"/>
    <x v="1"/>
    <s v="Gustavo"/>
    <s v="Voluntari"/>
    <x v="13"/>
    <x v="4"/>
  </r>
  <r>
    <x v="6"/>
    <d v="2009-01-08T00:00:00"/>
    <n v="2009"/>
    <x v="429"/>
    <x v="0"/>
    <x v="0"/>
    <n v="1200"/>
    <x v="0"/>
    <s v="Elyssa"/>
    <s v="Gdansk"/>
    <x v="14"/>
    <x v="4"/>
  </r>
  <r>
    <x v="27"/>
    <d v="2009-01-28T00:00:00"/>
    <n v="2009"/>
    <x v="430"/>
    <x v="0"/>
    <x v="0"/>
    <n v="1200"/>
    <x v="0"/>
    <s v="giovanna"/>
    <s v="Pruszkow"/>
    <x v="14"/>
    <x v="5"/>
  </r>
  <r>
    <x v="16"/>
    <d v="2009-01-17T00:00:00"/>
    <n v="2009"/>
    <x v="431"/>
    <x v="0"/>
    <x v="0"/>
    <n v="1200"/>
    <x v="0"/>
    <s v="Lisa"/>
    <s v="Borja"/>
    <x v="15"/>
    <x v="6"/>
  </r>
  <r>
    <x v="25"/>
    <d v="2009-01-24T00:00:00"/>
    <n v="2009"/>
    <x v="117"/>
    <x v="0"/>
    <x v="0"/>
    <n v="1200"/>
    <x v="1"/>
    <s v="Heather"/>
    <s v="Baluan"/>
    <x v="15"/>
    <x v="6"/>
  </r>
  <r>
    <x v="11"/>
    <d v="2009-01-11T00:00:00"/>
    <n v="2009"/>
    <x v="214"/>
    <x v="0"/>
    <x v="0"/>
    <n v="1200"/>
    <x v="0"/>
    <s v="Stefan"/>
    <s v="Stavanger"/>
    <x v="16"/>
    <x v="1"/>
  </r>
  <r>
    <x v="6"/>
    <d v="2009-01-08T00:00:00"/>
    <n v="2009"/>
    <x v="424"/>
    <x v="0"/>
    <x v="0"/>
    <n v="1200"/>
    <x v="0"/>
    <s v="Dr. Claudia"/>
    <s v="Oslo"/>
    <x v="16"/>
    <x v="4"/>
  </r>
  <r>
    <x v="5"/>
    <d v="2009-01-07T00:00:00"/>
    <n v="2009"/>
    <x v="12"/>
    <x v="0"/>
    <x v="0"/>
    <n v="1200"/>
    <x v="0"/>
    <s v="Jannik"/>
    <s v="Holmenkollen"/>
    <x v="16"/>
    <x v="5"/>
  </r>
  <r>
    <x v="20"/>
    <d v="2009-01-21T00:00:00"/>
    <n v="2009"/>
    <x v="361"/>
    <x v="0"/>
    <x v="0"/>
    <n v="1200"/>
    <x v="0"/>
    <s v="nicole"/>
    <s v="Oslo"/>
    <x v="16"/>
    <x v="5"/>
  </r>
  <r>
    <x v="4"/>
    <d v="2009-01-01T00:00:00"/>
    <n v="2009"/>
    <x v="432"/>
    <x v="0"/>
    <x v="0"/>
    <n v="1200"/>
    <x v="1"/>
    <s v="Liban"/>
    <s v="Stavanger"/>
    <x v="16"/>
    <x v="4"/>
  </r>
  <r>
    <x v="9"/>
    <d v="2009-01-10T00:00:00"/>
    <n v="2009"/>
    <x v="149"/>
    <x v="0"/>
    <x v="0"/>
    <n v="1200"/>
    <x v="0"/>
    <s v="frauke"/>
    <s v="Horten"/>
    <x v="16"/>
    <x v="6"/>
  </r>
  <r>
    <x v="14"/>
    <d v="2009-01-15T00:00:00"/>
    <n v="2009"/>
    <x v="433"/>
    <x v="0"/>
    <x v="0"/>
    <n v="1200"/>
    <x v="1"/>
    <s v="Pia"/>
    <s v="Sola"/>
    <x v="16"/>
    <x v="4"/>
  </r>
  <r>
    <x v="11"/>
    <d v="2009-01-11T00:00:00"/>
    <n v="2009"/>
    <x v="28"/>
    <x v="0"/>
    <x v="0"/>
    <n v="1200"/>
    <x v="0"/>
    <s v="Nicole"/>
    <s v="Aardal"/>
    <x v="16"/>
    <x v="1"/>
  </r>
  <r>
    <x v="8"/>
    <d v="2009-01-09T00:00:00"/>
    <n v="2009"/>
    <x v="434"/>
    <x v="0"/>
    <x v="0"/>
    <n v="1200"/>
    <x v="1"/>
    <s v="Jennifer"/>
    <s v="Nordstrand"/>
    <x v="16"/>
    <x v="0"/>
  </r>
  <r>
    <x v="3"/>
    <d v="2009-01-06T00:00:00"/>
    <n v="2009"/>
    <x v="45"/>
    <x v="0"/>
    <x v="0"/>
    <n v="1200"/>
    <x v="0"/>
    <s v="Krista"/>
    <s v="Bergen"/>
    <x v="16"/>
    <x v="3"/>
  </r>
  <r>
    <x v="12"/>
    <d v="2009-01-13T00:00:00"/>
    <n v="2009"/>
    <x v="435"/>
    <x v="0"/>
    <x v="0"/>
    <n v="1200"/>
    <x v="0"/>
    <s v="sangeeta"/>
    <s v="Vossevangen"/>
    <x v="16"/>
    <x v="3"/>
  </r>
  <r>
    <x v="27"/>
    <d v="2009-01-28T00:00:00"/>
    <n v="2009"/>
    <x v="434"/>
    <x v="0"/>
    <x v="0"/>
    <n v="1200"/>
    <x v="1"/>
    <s v="Selene"/>
    <s v="Oslo"/>
    <x v="16"/>
    <x v="5"/>
  </r>
  <r>
    <x v="23"/>
    <d v="2009-01-25T00:00:00"/>
    <n v="2009"/>
    <x v="142"/>
    <x v="0"/>
    <x v="1"/>
    <n v="100000"/>
    <x v="0"/>
    <s v="Astrid"/>
    <s v="Oslo"/>
    <x v="16"/>
    <x v="1"/>
  </r>
  <r>
    <x v="18"/>
    <d v="2009-01-19T00:00:00"/>
    <n v="2009"/>
    <x v="436"/>
    <x v="0"/>
    <x v="0"/>
    <n v="1200"/>
    <x v="1"/>
    <s v="David"/>
    <s v="Stavenger"/>
    <x v="16"/>
    <x v="2"/>
  </r>
  <r>
    <x v="21"/>
    <d v="2009-01-22T00:00:00"/>
    <n v="2009"/>
    <x v="2"/>
    <x v="1"/>
    <x v="0"/>
    <n v="1200"/>
    <x v="0"/>
    <s v="Laleh"/>
    <s v="Aasgaardstrand"/>
    <x v="16"/>
    <x v="4"/>
  </r>
  <r>
    <x v="0"/>
    <d v="2009-01-02T00:00:00"/>
    <n v="2009"/>
    <x v="437"/>
    <x v="0"/>
    <x v="0"/>
    <n v="1200"/>
    <x v="0"/>
    <s v="Elaine"/>
    <s v="Tranby"/>
    <x v="16"/>
    <x v="0"/>
  </r>
  <r>
    <x v="6"/>
    <d v="2009-01-08T00:00:00"/>
    <n v="2009"/>
    <x v="69"/>
    <x v="1"/>
    <x v="0"/>
    <n v="1200"/>
    <x v="0"/>
    <s v="ZOE"/>
    <s v="New Plymouth City"/>
    <x v="17"/>
    <x v="4"/>
  </r>
  <r>
    <x v="22"/>
    <d v="2009-01-23T00:00:00"/>
    <n v="2009"/>
    <x v="438"/>
    <x v="0"/>
    <x v="0"/>
    <n v="1200"/>
    <x v="0"/>
    <s v="Madison"/>
    <s v="Torbay"/>
    <x v="17"/>
    <x v="0"/>
  </r>
  <r>
    <x v="28"/>
    <d v="2009-01-29T00:00:00"/>
    <n v="2009"/>
    <x v="37"/>
    <x v="0"/>
    <x v="0"/>
    <n v="1200"/>
    <x v="0"/>
    <s v="Mary"/>
    <s v="Auckland"/>
    <x v="17"/>
    <x v="4"/>
  </r>
  <r>
    <x v="5"/>
    <d v="2009-01-07T00:00:00"/>
    <n v="2009"/>
    <x v="439"/>
    <x v="0"/>
    <x v="0"/>
    <n v="1200"/>
    <x v="0"/>
    <s v="Elsa"/>
    <s v="Waiwera"/>
    <x v="17"/>
    <x v="5"/>
  </r>
  <r>
    <x v="16"/>
    <d v="2009-01-17T00:00:00"/>
    <n v="2009"/>
    <x v="117"/>
    <x v="0"/>
    <x v="0"/>
    <n v="1200"/>
    <x v="0"/>
    <s v="Kathryn"/>
    <s v="Waiau Pa"/>
    <x v="17"/>
    <x v="6"/>
  </r>
  <r>
    <x v="27"/>
    <d v="2009-01-28T00:00:00"/>
    <n v="2009"/>
    <x v="262"/>
    <x v="0"/>
    <x v="0"/>
    <n v="1200"/>
    <x v="0"/>
    <s v="Hale"/>
    <s v="Hawera"/>
    <x v="17"/>
    <x v="5"/>
  </r>
  <r>
    <x v="2"/>
    <d v="2009-01-05T00:00:00"/>
    <n v="2009"/>
    <x v="76"/>
    <x v="0"/>
    <x v="0"/>
    <n v="1200"/>
    <x v="2"/>
    <s v="Heidi"/>
    <s v="Eindhoven"/>
    <x v="18"/>
    <x v="2"/>
  </r>
  <r>
    <x v="2"/>
    <d v="2009-01-05T00:00:00"/>
    <n v="2009"/>
    <x v="440"/>
    <x v="0"/>
    <x v="0"/>
    <n v="1200"/>
    <x v="1"/>
    <s v="Stephanie"/>
    <s v="Badhoevedorp"/>
    <x v="18"/>
    <x v="2"/>
  </r>
  <r>
    <x v="4"/>
    <d v="2009-01-01T00:00:00"/>
    <n v="2009"/>
    <x v="74"/>
    <x v="0"/>
    <x v="0"/>
    <n v="1200"/>
    <x v="1"/>
    <s v="Regina"/>
    <s v="Glimmen"/>
    <x v="18"/>
    <x v="4"/>
  </r>
  <r>
    <x v="16"/>
    <d v="2009-01-17T00:00:00"/>
    <n v="2009"/>
    <x v="237"/>
    <x v="1"/>
    <x v="0"/>
    <n v="1200"/>
    <x v="2"/>
    <s v="Linda"/>
    <s v="Den Haag"/>
    <x v="18"/>
    <x v="6"/>
  </r>
  <r>
    <x v="4"/>
    <d v="2009-01-01T00:00:00"/>
    <n v="2009"/>
    <x v="441"/>
    <x v="0"/>
    <x v="0"/>
    <n v="1200"/>
    <x v="1"/>
    <s v="sunny"/>
    <s v="Amsterdam"/>
    <x v="18"/>
    <x v="4"/>
  </r>
  <r>
    <x v="3"/>
    <d v="2009-01-06T00:00:00"/>
    <n v="2009"/>
    <x v="442"/>
    <x v="1"/>
    <x v="0"/>
    <n v="1200"/>
    <x v="1"/>
    <s v="Antonella"/>
    <s v="Amsterdam"/>
    <x v="18"/>
    <x v="3"/>
  </r>
  <r>
    <x v="20"/>
    <d v="2009-01-21T00:00:00"/>
    <n v="2009"/>
    <x v="394"/>
    <x v="0"/>
    <x v="0"/>
    <n v="1200"/>
    <x v="0"/>
    <s v="Tricia"/>
    <s v="Castricum"/>
    <x v="18"/>
    <x v="5"/>
  </r>
  <r>
    <x v="22"/>
    <d v="2009-01-23T00:00:00"/>
    <n v="2009"/>
    <x v="443"/>
    <x v="0"/>
    <x v="0"/>
    <n v="1200"/>
    <x v="2"/>
    <s v="Larry"/>
    <s v="Naarden"/>
    <x v="18"/>
    <x v="0"/>
  </r>
  <r>
    <x v="3"/>
    <d v="2009-01-06T00:00:00"/>
    <n v="2009"/>
    <x v="444"/>
    <x v="0"/>
    <x v="1"/>
    <n v="100000"/>
    <x v="1"/>
    <s v="Elizabeth"/>
    <s v="Den Haag"/>
    <x v="18"/>
    <x v="3"/>
  </r>
  <r>
    <x v="14"/>
    <d v="2009-01-15T00:00:00"/>
    <n v="2009"/>
    <x v="320"/>
    <x v="0"/>
    <x v="0"/>
    <n v="1200"/>
    <x v="1"/>
    <s v="Celina"/>
    <s v="Den Haag"/>
    <x v="18"/>
    <x v="4"/>
  </r>
  <r>
    <x v="26"/>
    <d v="2009-01-27T00:00:00"/>
    <n v="2009"/>
    <x v="370"/>
    <x v="1"/>
    <x v="0"/>
    <n v="1200"/>
    <x v="0"/>
    <s v="Caterina"/>
    <s v="Amsterdam"/>
    <x v="18"/>
    <x v="3"/>
  </r>
  <r>
    <x v="15"/>
    <d v="2009-01-16T00:00:00"/>
    <n v="2009"/>
    <x v="445"/>
    <x v="0"/>
    <x v="0"/>
    <n v="1200"/>
    <x v="2"/>
    <s v="Darrah"/>
    <s v="Den Haag"/>
    <x v="18"/>
    <x v="0"/>
  </r>
  <r>
    <x v="16"/>
    <d v="2009-01-17T00:00:00"/>
    <n v="2009"/>
    <x v="89"/>
    <x v="0"/>
    <x v="0"/>
    <n v="1200"/>
    <x v="1"/>
    <s v="Angel Marie"/>
    <s v="Den Haag"/>
    <x v="18"/>
    <x v="6"/>
  </r>
  <r>
    <x v="18"/>
    <d v="2009-01-19T00:00:00"/>
    <n v="2009"/>
    <x v="53"/>
    <x v="0"/>
    <x v="1"/>
    <n v="100000"/>
    <x v="0"/>
    <s v="Julia"/>
    <s v="Ede"/>
    <x v="18"/>
    <x v="2"/>
  </r>
  <r>
    <x v="17"/>
    <d v="2009-01-18T00:00:00"/>
    <n v="2009"/>
    <x v="446"/>
    <x v="1"/>
    <x v="1"/>
    <n v="100000"/>
    <x v="1"/>
    <s v="Kelsi"/>
    <s v="Utrecht"/>
    <x v="18"/>
    <x v="1"/>
  </r>
  <r>
    <x v="22"/>
    <d v="2009-01-23T00:00:00"/>
    <n v="2009"/>
    <x v="447"/>
    <x v="1"/>
    <x v="0"/>
    <n v="5000"/>
    <x v="1"/>
    <s v="Nola"/>
    <s v="Den Haag"/>
    <x v="18"/>
    <x v="0"/>
  </r>
  <r>
    <x v="1"/>
    <d v="2009-01-04T00:00:00"/>
    <n v="2009"/>
    <x v="448"/>
    <x v="0"/>
    <x v="0"/>
    <n v="1200"/>
    <x v="1"/>
    <s v="Scott"/>
    <s v="Den Haag"/>
    <x v="18"/>
    <x v="1"/>
  </r>
  <r>
    <x v="10"/>
    <d v="2009-01-12T00:00:00"/>
    <n v="2009"/>
    <x v="355"/>
    <x v="0"/>
    <x v="2"/>
    <n v="100000"/>
    <x v="1"/>
    <s v="Brona"/>
    <s v="Den Haag"/>
    <x v="18"/>
    <x v="2"/>
  </r>
  <r>
    <x v="29"/>
    <d v="2009-01-30T00:00:00"/>
    <n v="2009"/>
    <x v="201"/>
    <x v="0"/>
    <x v="1"/>
    <n v="100000"/>
    <x v="0"/>
    <s v="Stephanie"/>
    <s v="Hilversum"/>
    <x v="18"/>
    <x v="0"/>
  </r>
  <r>
    <x v="23"/>
    <d v="2009-01-25T00:00:00"/>
    <n v="2009"/>
    <x v="386"/>
    <x v="0"/>
    <x v="0"/>
    <n v="1200"/>
    <x v="1"/>
    <s v="Hilde"/>
    <s v="Groningen"/>
    <x v="18"/>
    <x v="1"/>
  </r>
  <r>
    <x v="11"/>
    <d v="2009-01-11T00:00:00"/>
    <n v="2009"/>
    <x v="449"/>
    <x v="1"/>
    <x v="0"/>
    <n v="1200"/>
    <x v="1"/>
    <s v="Chris"/>
    <s v="Den Haag"/>
    <x v="18"/>
    <x v="1"/>
  </r>
  <r>
    <x v="21"/>
    <d v="2009-01-22T00:00:00"/>
    <n v="2009"/>
    <x v="234"/>
    <x v="0"/>
    <x v="1"/>
    <n v="100000"/>
    <x v="1"/>
    <s v="Parth"/>
    <s v="Oegstgeest"/>
    <x v="18"/>
    <x v="4"/>
  </r>
  <r>
    <x v="6"/>
    <d v="2009-01-08T00:00:00"/>
    <n v="2009"/>
    <x v="450"/>
    <x v="0"/>
    <x v="0"/>
    <n v="1200"/>
    <x v="0"/>
    <s v="Mimi"/>
    <s v="Monte-Carlo"/>
    <x v="19"/>
    <x v="4"/>
  </r>
  <r>
    <x v="21"/>
    <d v="2009-01-22T00:00:00"/>
    <n v="2009"/>
    <x v="127"/>
    <x v="1"/>
    <x v="0"/>
    <n v="1200"/>
    <x v="0"/>
    <s v="Liann"/>
    <s v="Monaco"/>
    <x v="19"/>
    <x v="4"/>
  </r>
  <r>
    <x v="3"/>
    <d v="2009-01-06T00:00:00"/>
    <n v="2009"/>
    <x v="425"/>
    <x v="0"/>
    <x v="0"/>
    <n v="1200"/>
    <x v="0"/>
    <s v="Andrea"/>
    <s v="Bubuieci"/>
    <x v="20"/>
    <x v="3"/>
  </r>
  <r>
    <x v="27"/>
    <d v="2009-01-28T00:00:00"/>
    <n v="2009"/>
    <x v="451"/>
    <x v="0"/>
    <x v="1"/>
    <n v="100000"/>
    <x v="0"/>
    <s v="Christiane"/>
    <s v="Black River"/>
    <x v="21"/>
    <x v="5"/>
  </r>
  <r>
    <x v="4"/>
    <d v="2009-01-01T00:00:00"/>
    <n v="2009"/>
    <x v="452"/>
    <x v="1"/>
    <x v="1"/>
    <n v="100000"/>
    <x v="0"/>
    <s v="seemab"/>
    <s v="San Pawl tat-Targa"/>
    <x v="22"/>
    <x v="4"/>
  </r>
  <r>
    <x v="5"/>
    <d v="2009-01-07T00:00:00"/>
    <n v="2009"/>
    <x v="453"/>
    <x v="1"/>
    <x v="0"/>
    <n v="1200"/>
    <x v="0"/>
    <s v="Erica"/>
    <s v="Nadur"/>
    <x v="22"/>
    <x v="5"/>
  </r>
  <r>
    <x v="22"/>
    <d v="2009-01-23T00:00:00"/>
    <n v="2009"/>
    <x v="20"/>
    <x v="0"/>
    <x v="0"/>
    <n v="1200"/>
    <x v="1"/>
    <s v="Diana"/>
    <s v="Kuala Lumpur"/>
    <x v="23"/>
    <x v="0"/>
  </r>
  <r>
    <x v="10"/>
    <d v="2009-01-12T00:00:00"/>
    <n v="2009"/>
    <x v="267"/>
    <x v="0"/>
    <x v="0"/>
    <n v="1200"/>
    <x v="0"/>
    <s v="Eric"/>
    <s v="Gasperich"/>
    <x v="24"/>
    <x v="2"/>
  </r>
  <r>
    <x v="5"/>
    <d v="2009-01-07T00:00:00"/>
    <n v="2009"/>
    <x v="454"/>
    <x v="0"/>
    <x v="0"/>
    <n v="1200"/>
    <x v="1"/>
    <s v="Emily"/>
    <s v="Vecmilgravis"/>
    <x v="25"/>
    <x v="5"/>
  </r>
  <r>
    <x v="16"/>
    <d v="2009-01-17T00:00:00"/>
    <n v="2009"/>
    <x v="258"/>
    <x v="0"/>
    <x v="0"/>
    <n v="1200"/>
    <x v="2"/>
    <s v="Campbell"/>
    <s v="Mushrif"/>
    <x v="26"/>
    <x v="6"/>
  </r>
  <r>
    <x v="9"/>
    <d v="2009-01-10T00:00:00"/>
    <n v="2009"/>
    <x v="455"/>
    <x v="0"/>
    <x v="0"/>
    <n v="1200"/>
    <x v="2"/>
    <s v="luisa"/>
    <s v="Gorey"/>
    <x v="27"/>
    <x v="6"/>
  </r>
  <r>
    <x v="18"/>
    <d v="2009-01-19T00:00:00"/>
    <n v="2009"/>
    <x v="32"/>
    <x v="0"/>
    <x v="0"/>
    <n v="70000"/>
    <x v="0"/>
    <s v="Christy"/>
    <s v="Setagaya"/>
    <x v="28"/>
    <x v="2"/>
  </r>
  <r>
    <x v="24"/>
    <d v="2009-01-26T00:00:00"/>
    <n v="2009"/>
    <x v="271"/>
    <x v="0"/>
    <x v="0"/>
    <n v="1200"/>
    <x v="2"/>
    <s v="Anjan"/>
    <s v="Tokyo"/>
    <x v="28"/>
    <x v="2"/>
  </r>
  <r>
    <x v="12"/>
    <d v="2009-01-13T00:00:00"/>
    <n v="2009"/>
    <x v="456"/>
    <x v="0"/>
    <x v="0"/>
    <n v="1200"/>
    <x v="0"/>
    <s v="Robin"/>
    <s v="Milan"/>
    <x v="29"/>
    <x v="3"/>
  </r>
  <r>
    <x v="4"/>
    <d v="2009-01-01T00:00:00"/>
    <n v="2009"/>
    <x v="457"/>
    <x v="0"/>
    <x v="0"/>
    <n v="1200"/>
    <x v="1"/>
    <s v="Elaine"/>
    <s v="Vicenza"/>
    <x v="29"/>
    <x v="4"/>
  </r>
  <r>
    <x v="10"/>
    <d v="2009-01-12T00:00:00"/>
    <n v="2009"/>
    <x v="258"/>
    <x v="0"/>
    <x v="1"/>
    <n v="100000"/>
    <x v="2"/>
    <s v="Leila"/>
    <s v="Ponte San Nicolo"/>
    <x v="29"/>
    <x v="2"/>
  </r>
  <r>
    <x v="5"/>
    <d v="2009-01-07T00:00:00"/>
    <n v="2009"/>
    <x v="458"/>
    <x v="1"/>
    <x v="1"/>
    <n v="100000"/>
    <x v="0"/>
    <s v="Natasha"/>
    <s v="Milano"/>
    <x v="29"/>
    <x v="5"/>
  </r>
  <r>
    <x v="23"/>
    <d v="2009-01-25T00:00:00"/>
    <n v="2009"/>
    <x v="176"/>
    <x v="0"/>
    <x v="0"/>
    <n v="1200"/>
    <x v="1"/>
    <s v="Pilar"/>
    <s v="Florence"/>
    <x v="29"/>
    <x v="1"/>
  </r>
  <r>
    <x v="18"/>
    <d v="2009-01-19T00:00:00"/>
    <n v="2009"/>
    <x v="305"/>
    <x v="0"/>
    <x v="1"/>
    <n v="100000"/>
    <x v="1"/>
    <s v="don"/>
    <s v="Cagliari"/>
    <x v="29"/>
    <x v="2"/>
  </r>
  <r>
    <x v="20"/>
    <d v="2009-01-21T00:00:00"/>
    <n v="2009"/>
    <x v="386"/>
    <x v="0"/>
    <x v="0"/>
    <n v="1200"/>
    <x v="0"/>
    <s v="Katerina"/>
    <s v="Firenze"/>
    <x v="29"/>
    <x v="5"/>
  </r>
  <r>
    <x v="16"/>
    <d v="2009-01-17T00:00:00"/>
    <n v="2009"/>
    <x v="459"/>
    <x v="0"/>
    <x v="0"/>
    <n v="1200"/>
    <x v="0"/>
    <s v="Fernando"/>
    <s v="Grosseto"/>
    <x v="29"/>
    <x v="6"/>
  </r>
  <r>
    <x v="30"/>
    <d v="2009-01-31T00:00:00"/>
    <n v="2009"/>
    <x v="400"/>
    <x v="0"/>
    <x v="0"/>
    <n v="1200"/>
    <x v="0"/>
    <s v="Nacole"/>
    <s v="Milan"/>
    <x v="29"/>
    <x v="6"/>
  </r>
  <r>
    <x v="25"/>
    <d v="2009-01-24T00:00:00"/>
    <n v="2009"/>
    <x v="460"/>
    <x v="0"/>
    <x v="0"/>
    <n v="1200"/>
    <x v="0"/>
    <s v="Jupiterlina Elika"/>
    <s v="Rome"/>
    <x v="29"/>
    <x v="6"/>
  </r>
  <r>
    <x v="2"/>
    <d v="2009-01-05T00:00:00"/>
    <n v="2009"/>
    <x v="297"/>
    <x v="0"/>
    <x v="0"/>
    <n v="1200"/>
    <x v="2"/>
    <s v="Tracy"/>
    <s v="Lucca"/>
    <x v="29"/>
    <x v="2"/>
  </r>
  <r>
    <x v="15"/>
    <d v="2009-01-16T00:00:00"/>
    <n v="2009"/>
    <x v="291"/>
    <x v="0"/>
    <x v="0"/>
    <n v="1200"/>
    <x v="0"/>
    <s v="Michael"/>
    <s v="Milano"/>
    <x v="29"/>
    <x v="0"/>
  </r>
  <r>
    <x v="16"/>
    <d v="2009-01-17T00:00:00"/>
    <n v="2009"/>
    <x v="461"/>
    <x v="0"/>
    <x v="2"/>
    <n v="100000"/>
    <x v="2"/>
    <s v="Michel"/>
    <s v="Lipari"/>
    <x v="29"/>
    <x v="6"/>
  </r>
  <r>
    <x v="16"/>
    <d v="2009-01-17T00:00:00"/>
    <n v="2009"/>
    <x v="445"/>
    <x v="0"/>
    <x v="2"/>
    <n v="100000"/>
    <x v="2"/>
    <s v="natalie"/>
    <s v="Lipari"/>
    <x v="29"/>
    <x v="6"/>
  </r>
  <r>
    <x v="17"/>
    <d v="2009-01-18T00:00:00"/>
    <n v="2009"/>
    <x v="73"/>
    <x v="0"/>
    <x v="0"/>
    <n v="1200"/>
    <x v="2"/>
    <s v="jure"/>
    <s v="Lipari"/>
    <x v="29"/>
    <x v="1"/>
  </r>
  <r>
    <x v="1"/>
    <d v="2009-01-04T00:00:00"/>
    <n v="2009"/>
    <x v="440"/>
    <x v="0"/>
    <x v="0"/>
    <n v="1200"/>
    <x v="1"/>
    <s v="Renee Elisabeth"/>
    <s v="Tel Aviv"/>
    <x v="30"/>
    <x v="1"/>
  </r>
  <r>
    <x v="1"/>
    <d v="2009-01-04T00:00:00"/>
    <n v="2009"/>
    <x v="462"/>
    <x v="0"/>
    <x v="0"/>
    <n v="1200"/>
    <x v="2"/>
    <s v="Leanne"/>
    <s v="Julianstown"/>
    <x v="31"/>
    <x v="1"/>
  </r>
  <r>
    <x v="4"/>
    <d v="2009-01-01T00:00:00"/>
    <n v="2009"/>
    <x v="188"/>
    <x v="0"/>
    <x v="0"/>
    <n v="1200"/>
    <x v="2"/>
    <s v="Janis"/>
    <s v="Ballynora"/>
    <x v="31"/>
    <x v="4"/>
  </r>
  <r>
    <x v="9"/>
    <d v="2009-01-10T00:00:00"/>
    <n v="2009"/>
    <x v="438"/>
    <x v="0"/>
    <x v="0"/>
    <n v="1200"/>
    <x v="2"/>
    <s v="Anupam"/>
    <s v="Kinsaley"/>
    <x v="31"/>
    <x v="6"/>
  </r>
  <r>
    <x v="3"/>
    <d v="2009-01-06T00:00:00"/>
    <n v="2009"/>
    <x v="390"/>
    <x v="0"/>
    <x v="0"/>
    <n v="1200"/>
    <x v="1"/>
    <s v="Danielle"/>
    <s v="Rathgar"/>
    <x v="31"/>
    <x v="3"/>
  </r>
  <r>
    <x v="17"/>
    <d v="2009-01-18T00:00:00"/>
    <n v="2009"/>
    <x v="425"/>
    <x v="0"/>
    <x v="0"/>
    <n v="1200"/>
    <x v="2"/>
    <s v="Roger"/>
    <s v="Urlingford"/>
    <x v="31"/>
    <x v="1"/>
  </r>
  <r>
    <x v="17"/>
    <d v="2009-01-18T00:00:00"/>
    <n v="2009"/>
    <x v="30"/>
    <x v="0"/>
    <x v="2"/>
    <n v="100000"/>
    <x v="1"/>
    <s v="Julianne"/>
    <s v="Navan"/>
    <x v="31"/>
    <x v="1"/>
  </r>
  <r>
    <x v="15"/>
    <d v="2009-01-16T00:00:00"/>
    <n v="2009"/>
    <x v="165"/>
    <x v="0"/>
    <x v="1"/>
    <n v="100000"/>
    <x v="2"/>
    <s v="Lesley"/>
    <s v="Cork"/>
    <x v="31"/>
    <x v="0"/>
  </r>
  <r>
    <x v="6"/>
    <d v="2009-01-08T00:00:00"/>
    <n v="2009"/>
    <x v="302"/>
    <x v="0"/>
    <x v="0"/>
    <n v="1200"/>
    <x v="0"/>
    <s v="Alan"/>
    <s v="Malahide"/>
    <x v="31"/>
    <x v="4"/>
  </r>
  <r>
    <x v="8"/>
    <d v="2009-01-09T00:00:00"/>
    <n v="2009"/>
    <x v="389"/>
    <x v="0"/>
    <x v="0"/>
    <n v="1200"/>
    <x v="0"/>
    <s v="Leah"/>
    <s v="Castleknock"/>
    <x v="31"/>
    <x v="0"/>
  </r>
  <r>
    <x v="8"/>
    <d v="2009-01-09T00:00:00"/>
    <n v="2009"/>
    <x v="371"/>
    <x v="0"/>
    <x v="0"/>
    <n v="1200"/>
    <x v="0"/>
    <s v="Laine"/>
    <s v="Castleknock"/>
    <x v="31"/>
    <x v="0"/>
  </r>
  <r>
    <x v="21"/>
    <d v="2009-01-22T00:00:00"/>
    <n v="2009"/>
    <x v="350"/>
    <x v="0"/>
    <x v="0"/>
    <n v="1200"/>
    <x v="1"/>
    <s v="Tara"/>
    <s v="Killiney"/>
    <x v="31"/>
    <x v="4"/>
  </r>
  <r>
    <x v="11"/>
    <d v="2009-01-11T00:00:00"/>
    <n v="2009"/>
    <x v="401"/>
    <x v="1"/>
    <x v="0"/>
    <n v="1200"/>
    <x v="0"/>
    <s v="Helga"/>
    <s v="Clontarf"/>
    <x v="31"/>
    <x v="1"/>
  </r>
  <r>
    <x v="0"/>
    <d v="2009-01-02T00:00:00"/>
    <n v="2009"/>
    <x v="143"/>
    <x v="0"/>
    <x v="0"/>
    <n v="1200"/>
    <x v="0"/>
    <s v="Kathryn"/>
    <s v="Cork"/>
    <x v="31"/>
    <x v="0"/>
  </r>
  <r>
    <x v="17"/>
    <d v="2009-01-18T00:00:00"/>
    <n v="2009"/>
    <x v="400"/>
    <x v="0"/>
    <x v="0"/>
    <n v="130000"/>
    <x v="2"/>
    <s v="Nita"/>
    <s v="Sutton"/>
    <x v="31"/>
    <x v="1"/>
  </r>
  <r>
    <x v="17"/>
    <d v="2009-01-18T00:00:00"/>
    <n v="2009"/>
    <x v="260"/>
    <x v="1"/>
    <x v="0"/>
    <n v="130000"/>
    <x v="0"/>
    <s v="Cassandra"/>
    <s v="Santry"/>
    <x v="31"/>
    <x v="1"/>
  </r>
  <r>
    <x v="18"/>
    <d v="2009-01-19T00:00:00"/>
    <n v="2009"/>
    <x v="446"/>
    <x v="1"/>
    <x v="0"/>
    <n v="130000"/>
    <x v="1"/>
    <s v="burt"/>
    <s v="Rathfarnham"/>
    <x v="31"/>
    <x v="2"/>
  </r>
  <r>
    <x v="22"/>
    <d v="2009-01-23T00:00:00"/>
    <n v="2009"/>
    <x v="463"/>
    <x v="0"/>
    <x v="0"/>
    <n v="130000"/>
    <x v="1"/>
    <s v="Sarah"/>
    <s v="Sandymount"/>
    <x v="31"/>
    <x v="0"/>
  </r>
  <r>
    <x v="20"/>
    <d v="2009-01-21T00:00:00"/>
    <n v="2009"/>
    <x v="21"/>
    <x v="0"/>
    <x v="0"/>
    <n v="130000"/>
    <x v="0"/>
    <s v="Costanza"/>
    <s v="Saggart"/>
    <x v="31"/>
    <x v="5"/>
  </r>
  <r>
    <x v="5"/>
    <d v="2009-01-07T00:00:00"/>
    <n v="2009"/>
    <x v="283"/>
    <x v="0"/>
    <x v="0"/>
    <n v="130000"/>
    <x v="2"/>
    <s v="Therese"/>
    <s v="Clontarf"/>
    <x v="31"/>
    <x v="5"/>
  </r>
  <r>
    <x v="2"/>
    <d v="2009-01-05T00:00:00"/>
    <n v="2009"/>
    <x v="6"/>
    <x v="0"/>
    <x v="0"/>
    <n v="130000"/>
    <x v="0"/>
    <s v="Ec"/>
    <s v="Clonmel"/>
    <x v="31"/>
    <x v="2"/>
  </r>
  <r>
    <x v="5"/>
    <d v="2009-01-07T00:00:00"/>
    <n v="2009"/>
    <x v="111"/>
    <x v="0"/>
    <x v="0"/>
    <n v="130000"/>
    <x v="0"/>
    <s v="Jennifer"/>
    <s v="Drogheda"/>
    <x v="31"/>
    <x v="5"/>
  </r>
  <r>
    <x v="0"/>
    <d v="2009-01-02T00:00:00"/>
    <n v="2009"/>
    <x v="190"/>
    <x v="0"/>
    <x v="0"/>
    <n v="130000"/>
    <x v="0"/>
    <s v="Kim"/>
    <s v="Newcastle"/>
    <x v="31"/>
    <x v="0"/>
  </r>
  <r>
    <x v="24"/>
    <d v="2009-01-26T00:00:00"/>
    <n v="2009"/>
    <x v="361"/>
    <x v="0"/>
    <x v="0"/>
    <n v="130000"/>
    <x v="0"/>
    <s v="Judy"/>
    <s v="Dun Laoghaire"/>
    <x v="31"/>
    <x v="2"/>
  </r>
  <r>
    <x v="13"/>
    <d v="2009-01-14T00:00:00"/>
    <n v="2009"/>
    <x v="45"/>
    <x v="0"/>
    <x v="0"/>
    <n v="130000"/>
    <x v="0"/>
    <s v="jo"/>
    <s v="Ballincollig"/>
    <x v="31"/>
    <x v="5"/>
  </r>
  <r>
    <x v="13"/>
    <d v="2009-01-14T00:00:00"/>
    <n v="2009"/>
    <x v="464"/>
    <x v="0"/>
    <x v="0"/>
    <n v="130000"/>
    <x v="0"/>
    <s v="Michelle"/>
    <s v="Ballincollig"/>
    <x v="31"/>
    <x v="5"/>
  </r>
  <r>
    <x v="12"/>
    <d v="2009-01-13T00:00:00"/>
    <n v="2009"/>
    <x v="89"/>
    <x v="0"/>
    <x v="0"/>
    <n v="130000"/>
    <x v="0"/>
    <s v="Joanne"/>
    <s v="Castlebar"/>
    <x v="31"/>
    <x v="3"/>
  </r>
  <r>
    <x v="11"/>
    <d v="2009-01-11T00:00:00"/>
    <n v="2009"/>
    <x v="110"/>
    <x v="0"/>
    <x v="0"/>
    <n v="130000"/>
    <x v="0"/>
    <s v="Oswald"/>
    <s v="Tramore"/>
    <x v="31"/>
    <x v="1"/>
  </r>
  <r>
    <x v="21"/>
    <d v="2009-01-22T00:00:00"/>
    <n v="2009"/>
    <x v="436"/>
    <x v="0"/>
    <x v="0"/>
    <n v="130000"/>
    <x v="0"/>
    <s v="michelle"/>
    <s v="Arklow"/>
    <x v="31"/>
    <x v="4"/>
  </r>
  <r>
    <x v="17"/>
    <d v="2009-01-18T00:00:00"/>
    <n v="2009"/>
    <x v="465"/>
    <x v="0"/>
    <x v="0"/>
    <n v="130000"/>
    <x v="0"/>
    <s v="Shona"/>
    <s v="Mornington"/>
    <x v="31"/>
    <x v="1"/>
  </r>
  <r>
    <x v="1"/>
    <d v="2009-01-04T00:00:00"/>
    <n v="2009"/>
    <x v="274"/>
    <x v="0"/>
    <x v="0"/>
    <n v="130000"/>
    <x v="0"/>
    <s v="Rima"/>
    <s v="Mullingar"/>
    <x v="31"/>
    <x v="1"/>
  </r>
  <r>
    <x v="9"/>
    <d v="2009-01-10T00:00:00"/>
    <n v="2009"/>
    <x v="81"/>
    <x v="0"/>
    <x v="0"/>
    <n v="130000"/>
    <x v="0"/>
    <s v="Peter"/>
    <s v="Shankill"/>
    <x v="31"/>
    <x v="6"/>
  </r>
  <r>
    <x v="26"/>
    <d v="2009-01-27T00:00:00"/>
    <n v="2009"/>
    <x v="444"/>
    <x v="0"/>
    <x v="0"/>
    <n v="60000"/>
    <x v="0"/>
    <s v="Elyse"/>
    <s v="Bandon"/>
    <x v="31"/>
    <x v="3"/>
  </r>
  <r>
    <x v="12"/>
    <d v="2009-01-13T00:00:00"/>
    <n v="2009"/>
    <x v="466"/>
    <x v="0"/>
    <x v="0"/>
    <n v="1200"/>
    <x v="0"/>
    <s v="Maryse"/>
    <s v="Rathfarnham"/>
    <x v="31"/>
    <x v="3"/>
  </r>
  <r>
    <x v="5"/>
    <d v="2009-01-07T00:00:00"/>
    <n v="2009"/>
    <x v="374"/>
    <x v="0"/>
    <x v="0"/>
    <n v="1200"/>
    <x v="1"/>
    <s v="Mary"/>
    <s v="Baile Atha Bui"/>
    <x v="31"/>
    <x v="5"/>
  </r>
  <r>
    <x v="16"/>
    <d v="2009-01-17T00:00:00"/>
    <n v="2009"/>
    <x v="384"/>
    <x v="0"/>
    <x v="0"/>
    <n v="1200"/>
    <x v="0"/>
    <s v="Dana"/>
    <s v="Thurles"/>
    <x v="31"/>
    <x v="6"/>
  </r>
  <r>
    <x v="0"/>
    <d v="2009-01-02T00:00:00"/>
    <n v="2009"/>
    <x v="467"/>
    <x v="0"/>
    <x v="0"/>
    <n v="1200"/>
    <x v="0"/>
    <s v="Rowena"/>
    <s v="Cork"/>
    <x v="31"/>
    <x v="0"/>
  </r>
  <r>
    <x v="24"/>
    <d v="2009-01-26T00:00:00"/>
    <n v="2009"/>
    <x v="438"/>
    <x v="0"/>
    <x v="0"/>
    <n v="1200"/>
    <x v="0"/>
    <s v="Nicola"/>
    <s v="Sneem"/>
    <x v="31"/>
    <x v="2"/>
  </r>
  <r>
    <x v="28"/>
    <d v="2009-01-29T00:00:00"/>
    <n v="2009"/>
    <x v="468"/>
    <x v="1"/>
    <x v="0"/>
    <n v="1200"/>
    <x v="0"/>
    <s v="Lilly"/>
    <s v="Castleknock"/>
    <x v="31"/>
    <x v="4"/>
  </r>
  <r>
    <x v="29"/>
    <d v="2009-01-30T00:00:00"/>
    <n v="2009"/>
    <x v="75"/>
    <x v="0"/>
    <x v="0"/>
    <n v="1200"/>
    <x v="0"/>
    <s v="Simone"/>
    <s v="Kilcornan"/>
    <x v="31"/>
    <x v="0"/>
  </r>
  <r>
    <x v="29"/>
    <d v="2009-01-30T00:00:00"/>
    <n v="2009"/>
    <x v="346"/>
    <x v="0"/>
    <x v="0"/>
    <n v="1200"/>
    <x v="0"/>
    <s v="janet"/>
    <s v="Blarney"/>
    <x v="31"/>
    <x v="0"/>
  </r>
  <r>
    <x v="5"/>
    <d v="2009-01-07T00:00:00"/>
    <n v="2009"/>
    <x v="92"/>
    <x v="0"/>
    <x v="0"/>
    <n v="1200"/>
    <x v="0"/>
    <s v="claire"/>
    <s v="Ballyneety"/>
    <x v="31"/>
    <x v="5"/>
  </r>
  <r>
    <x v="7"/>
    <d v="2009-01-03T00:00:00"/>
    <n v="2009"/>
    <x v="469"/>
    <x v="0"/>
    <x v="0"/>
    <n v="1200"/>
    <x v="1"/>
    <s v="Andree"/>
    <s v="Newmarket"/>
    <x v="31"/>
    <x v="6"/>
  </r>
  <r>
    <x v="11"/>
    <d v="2009-01-11T00:00:00"/>
    <n v="2009"/>
    <x v="465"/>
    <x v="0"/>
    <x v="1"/>
    <n v="100000"/>
    <x v="0"/>
    <s v="Shiree"/>
    <s v="Clondalkin"/>
    <x v="31"/>
    <x v="1"/>
  </r>
  <r>
    <x v="18"/>
    <d v="2009-01-19T00:00:00"/>
    <n v="2009"/>
    <x v="147"/>
    <x v="0"/>
    <x v="0"/>
    <n v="1200"/>
    <x v="1"/>
    <s v="Tracey"/>
    <s v="Harold's Cross"/>
    <x v="31"/>
    <x v="2"/>
  </r>
  <r>
    <x v="26"/>
    <d v="2009-01-27T00:00:00"/>
    <n v="2009"/>
    <x v="470"/>
    <x v="1"/>
    <x v="0"/>
    <n v="1200"/>
    <x v="0"/>
    <s v="Jackie"/>
    <s v="Waterford"/>
    <x v="31"/>
    <x v="3"/>
  </r>
  <r>
    <x v="2"/>
    <d v="2009-01-05T00:00:00"/>
    <n v="2009"/>
    <x v="37"/>
    <x v="0"/>
    <x v="0"/>
    <n v="1200"/>
    <x v="2"/>
    <s v="Elizabeth"/>
    <s v="Cork"/>
    <x v="31"/>
    <x v="2"/>
  </r>
  <r>
    <x v="28"/>
    <d v="2009-01-29T00:00:00"/>
    <n v="2009"/>
    <x v="442"/>
    <x v="1"/>
    <x v="0"/>
    <n v="1200"/>
    <x v="1"/>
    <s v="philippa katherine"/>
    <s v="Cabinteely"/>
    <x v="31"/>
    <x v="4"/>
  </r>
  <r>
    <x v="22"/>
    <d v="2009-01-23T00:00:00"/>
    <n v="2009"/>
    <x v="376"/>
    <x v="0"/>
    <x v="0"/>
    <n v="1200"/>
    <x v="0"/>
    <s v="Alexia"/>
    <s v="Blackrock"/>
    <x v="31"/>
    <x v="0"/>
  </r>
  <r>
    <x v="9"/>
    <d v="2009-01-10T00:00:00"/>
    <n v="2009"/>
    <x v="47"/>
    <x v="0"/>
    <x v="0"/>
    <n v="1200"/>
    <x v="0"/>
    <s v="Gloria Gail"/>
    <s v="Foxrock"/>
    <x v="31"/>
    <x v="6"/>
  </r>
  <r>
    <x v="3"/>
    <d v="2009-01-06T00:00:00"/>
    <n v="2009"/>
    <x v="66"/>
    <x v="0"/>
    <x v="0"/>
    <n v="1200"/>
    <x v="2"/>
    <s v="barbara"/>
    <s v="Hyderabad"/>
    <x v="32"/>
    <x v="3"/>
  </r>
  <r>
    <x v="2"/>
    <d v="2009-01-05T00:00:00"/>
    <n v="2009"/>
    <x v="468"/>
    <x v="1"/>
    <x v="0"/>
    <n v="1200"/>
    <x v="2"/>
    <s v="Lisa"/>
    <s v="Gurgaon"/>
    <x v="32"/>
    <x v="2"/>
  </r>
  <r>
    <x v="10"/>
    <d v="2009-01-12T00:00:00"/>
    <n v="2009"/>
    <x v="15"/>
    <x v="0"/>
    <x v="0"/>
    <n v="1200"/>
    <x v="0"/>
    <s v="Camille and Carmen"/>
    <s v="Thorlakshofn"/>
    <x v="33"/>
    <x v="2"/>
  </r>
  <r>
    <x v="22"/>
    <d v="2009-01-23T00:00:00"/>
    <n v="2009"/>
    <x v="290"/>
    <x v="0"/>
    <x v="0"/>
    <n v="1200"/>
    <x v="2"/>
    <s v="christina"/>
    <s v="Chepel"/>
    <x v="34"/>
    <x v="0"/>
  </r>
  <r>
    <x v="19"/>
    <d v="2009-01-20T00:00:00"/>
    <n v="2009"/>
    <x v="11"/>
    <x v="0"/>
    <x v="0"/>
    <n v="1200"/>
    <x v="1"/>
    <s v="Aideen and Jonathan"/>
    <s v="Kecskemet"/>
    <x v="34"/>
    <x v="3"/>
  </r>
  <r>
    <x v="0"/>
    <d v="2009-01-02T00:00:00"/>
    <n v="2009"/>
    <x v="471"/>
    <x v="0"/>
    <x v="0"/>
    <n v="1200"/>
    <x v="0"/>
    <s v="Line"/>
    <s v="Budaors"/>
    <x v="34"/>
    <x v="0"/>
  </r>
  <r>
    <x v="29"/>
    <d v="2009-01-30T00:00:00"/>
    <n v="2009"/>
    <x v="472"/>
    <x v="0"/>
    <x v="0"/>
    <n v="1200"/>
    <x v="1"/>
    <s v="Ana"/>
    <s v="Hong Kong"/>
    <x v="35"/>
    <x v="0"/>
  </r>
  <r>
    <x v="10"/>
    <d v="2009-01-12T00:00:00"/>
    <n v="2009"/>
    <x v="471"/>
    <x v="0"/>
    <x v="0"/>
    <n v="1200"/>
    <x v="0"/>
    <s v="Glen"/>
    <s v="Atlantida"/>
    <x v="36"/>
    <x v="2"/>
  </r>
  <r>
    <x v="27"/>
    <d v="2009-01-28T00:00:00"/>
    <n v="2009"/>
    <x v="247"/>
    <x v="0"/>
    <x v="0"/>
    <n v="1200"/>
    <x v="0"/>
    <s v="Chevonne"/>
    <s v="Athina"/>
    <x v="37"/>
    <x v="5"/>
  </r>
  <r>
    <x v="2"/>
    <d v="2009-01-05T00:00:00"/>
    <n v="2009"/>
    <x v="134"/>
    <x v="0"/>
    <x v="1"/>
    <n v="100000"/>
    <x v="1"/>
    <s v="Marcia"/>
    <s v="Telgte"/>
    <x v="38"/>
    <x v="2"/>
  </r>
  <r>
    <x v="10"/>
    <d v="2009-01-12T00:00:00"/>
    <n v="2009"/>
    <x v="473"/>
    <x v="0"/>
    <x v="0"/>
    <n v="1200"/>
    <x v="2"/>
    <s v="Petra"/>
    <s v="Bergen"/>
    <x v="38"/>
    <x v="2"/>
  </r>
  <r>
    <x v="11"/>
    <d v="2009-01-11T00:00:00"/>
    <n v="2009"/>
    <x v="433"/>
    <x v="0"/>
    <x v="0"/>
    <n v="1200"/>
    <x v="1"/>
    <s v="Katherine"/>
    <s v="Hofheim am Taunus"/>
    <x v="38"/>
    <x v="1"/>
  </r>
  <r>
    <x v="6"/>
    <d v="2009-01-08T00:00:00"/>
    <n v="2009"/>
    <x v="395"/>
    <x v="0"/>
    <x v="1"/>
    <n v="100000"/>
    <x v="0"/>
    <s v="Caren"/>
    <s v="Braunschweig"/>
    <x v="38"/>
    <x v="4"/>
  </r>
  <r>
    <x v="4"/>
    <d v="2009-01-01T00:00:00"/>
    <n v="2009"/>
    <x v="430"/>
    <x v="0"/>
    <x v="0"/>
    <n v="1200"/>
    <x v="1"/>
    <s v="Saraya"/>
    <s v="Dresden"/>
    <x v="38"/>
    <x v="4"/>
  </r>
  <r>
    <x v="1"/>
    <d v="2009-01-04T00:00:00"/>
    <n v="2009"/>
    <x v="33"/>
    <x v="0"/>
    <x v="1"/>
    <n v="100000"/>
    <x v="2"/>
    <s v="Lucien"/>
    <s v="Wiesbaden"/>
    <x v="38"/>
    <x v="1"/>
  </r>
  <r>
    <x v="9"/>
    <d v="2009-01-10T00:00:00"/>
    <n v="2009"/>
    <x v="474"/>
    <x v="0"/>
    <x v="0"/>
    <n v="1200"/>
    <x v="0"/>
    <s v="Jessica"/>
    <s v="Oldenburg"/>
    <x v="38"/>
    <x v="6"/>
  </r>
  <r>
    <x v="4"/>
    <d v="2009-01-01T00:00:00"/>
    <n v="2009"/>
    <x v="475"/>
    <x v="0"/>
    <x v="1"/>
    <n v="100000"/>
    <x v="1"/>
    <s v="Irene"/>
    <s v="Munich"/>
    <x v="38"/>
    <x v="4"/>
  </r>
  <r>
    <x v="5"/>
    <d v="2009-01-07T00:00:00"/>
    <n v="2009"/>
    <x v="290"/>
    <x v="0"/>
    <x v="0"/>
    <n v="1200"/>
    <x v="1"/>
    <s v="john"/>
    <s v="Glan-Munchweiler"/>
    <x v="38"/>
    <x v="5"/>
  </r>
  <r>
    <x v="1"/>
    <d v="2009-01-04T00:00:00"/>
    <n v="2009"/>
    <x v="173"/>
    <x v="0"/>
    <x v="0"/>
    <n v="1200"/>
    <x v="1"/>
    <s v="Rebecca"/>
    <s v="Berlin"/>
    <x v="38"/>
    <x v="1"/>
  </r>
  <r>
    <x v="10"/>
    <d v="2009-01-12T00:00:00"/>
    <n v="2009"/>
    <x v="454"/>
    <x v="0"/>
    <x v="0"/>
    <n v="1200"/>
    <x v="1"/>
    <s v="Beate"/>
    <s v="Hamburg"/>
    <x v="38"/>
    <x v="2"/>
  </r>
  <r>
    <x v="5"/>
    <d v="2009-01-07T00:00:00"/>
    <n v="2009"/>
    <x v="383"/>
    <x v="0"/>
    <x v="0"/>
    <n v="1200"/>
    <x v="0"/>
    <s v="Lauren"/>
    <s v="Gries"/>
    <x v="38"/>
    <x v="5"/>
  </r>
  <r>
    <x v="28"/>
    <d v="2009-01-29T00:00:00"/>
    <n v="2009"/>
    <x v="476"/>
    <x v="0"/>
    <x v="0"/>
    <n v="1200"/>
    <x v="1"/>
    <s v="Carmela"/>
    <s v="Hannover"/>
    <x v="38"/>
    <x v="4"/>
  </r>
  <r>
    <x v="11"/>
    <d v="2009-01-11T00:00:00"/>
    <n v="2009"/>
    <x v="219"/>
    <x v="0"/>
    <x v="0"/>
    <n v="1200"/>
    <x v="0"/>
    <s v="Bato"/>
    <s v="Munchengosserstadt"/>
    <x v="38"/>
    <x v="1"/>
  </r>
  <r>
    <x v="6"/>
    <d v="2009-01-08T00:00:00"/>
    <n v="2009"/>
    <x v="457"/>
    <x v="0"/>
    <x v="0"/>
    <n v="1200"/>
    <x v="0"/>
    <s v="Rich"/>
    <s v="Ingelheim-Mitte"/>
    <x v="38"/>
    <x v="4"/>
  </r>
  <r>
    <x v="17"/>
    <d v="2009-01-18T00:00:00"/>
    <n v="2009"/>
    <x v="197"/>
    <x v="1"/>
    <x v="1"/>
    <n v="100000"/>
    <x v="0"/>
    <s v="Hanna Agla"/>
    <s v="Donauworth"/>
    <x v="38"/>
    <x v="1"/>
  </r>
  <r>
    <x v="15"/>
    <d v="2009-01-16T00:00:00"/>
    <n v="2009"/>
    <x v="477"/>
    <x v="0"/>
    <x v="0"/>
    <n v="1200"/>
    <x v="1"/>
    <s v="Alexis"/>
    <s v="Ehingen an der Donau"/>
    <x v="38"/>
    <x v="0"/>
  </r>
  <r>
    <x v="9"/>
    <d v="2009-01-10T00:00:00"/>
    <n v="2009"/>
    <x v="68"/>
    <x v="0"/>
    <x v="0"/>
    <n v="1200"/>
    <x v="0"/>
    <s v="Martin"/>
    <s v="Ludwigsburg"/>
    <x v="38"/>
    <x v="6"/>
  </r>
  <r>
    <x v="15"/>
    <d v="2009-01-16T00:00:00"/>
    <n v="2009"/>
    <x v="8"/>
    <x v="0"/>
    <x v="0"/>
    <n v="1200"/>
    <x v="2"/>
    <s v="amy"/>
    <s v="Stuttgart"/>
    <x v="38"/>
    <x v="0"/>
  </r>
  <r>
    <x v="28"/>
    <d v="2009-01-29T00:00:00"/>
    <n v="2009"/>
    <x v="478"/>
    <x v="0"/>
    <x v="0"/>
    <n v="1200"/>
    <x v="2"/>
    <s v="Karen and Andrew"/>
    <s v="Munchen"/>
    <x v="38"/>
    <x v="4"/>
  </r>
  <r>
    <x v="18"/>
    <d v="2009-01-19T00:00:00"/>
    <n v="2009"/>
    <x v="398"/>
    <x v="1"/>
    <x v="0"/>
    <n v="1200"/>
    <x v="0"/>
    <s v="Dania"/>
    <s v="Munich"/>
    <x v="38"/>
    <x v="2"/>
  </r>
  <r>
    <x v="5"/>
    <d v="2009-01-07T00:00:00"/>
    <n v="2009"/>
    <x v="388"/>
    <x v="0"/>
    <x v="0"/>
    <n v="1200"/>
    <x v="1"/>
    <s v="Mary"/>
    <s v="Stuttgart"/>
    <x v="38"/>
    <x v="5"/>
  </r>
  <r>
    <x v="12"/>
    <d v="2009-01-13T00:00:00"/>
    <n v="2009"/>
    <x v="298"/>
    <x v="0"/>
    <x v="0"/>
    <n v="1200"/>
    <x v="1"/>
    <s v="Damian"/>
    <s v="Mettlach"/>
    <x v="38"/>
    <x v="3"/>
  </r>
  <r>
    <x v="27"/>
    <d v="2009-01-28T00:00:00"/>
    <n v="2009"/>
    <x v="361"/>
    <x v="0"/>
    <x v="0"/>
    <n v="1200"/>
    <x v="2"/>
    <s v="Evelyn"/>
    <s v="Grossbodungen"/>
    <x v="38"/>
    <x v="5"/>
  </r>
  <r>
    <x v="9"/>
    <d v="2009-01-10T00:00:00"/>
    <n v="2009"/>
    <x v="137"/>
    <x v="0"/>
    <x v="0"/>
    <n v="1200"/>
    <x v="0"/>
    <s v="stacy"/>
    <s v="Stuttgart"/>
    <x v="38"/>
    <x v="6"/>
  </r>
  <r>
    <x v="1"/>
    <d v="2009-01-04T00:00:00"/>
    <n v="2009"/>
    <x v="479"/>
    <x v="0"/>
    <x v="0"/>
    <n v="1200"/>
    <x v="0"/>
    <s v="Aidan"/>
    <s v="Chatou"/>
    <x v="39"/>
    <x v="1"/>
  </r>
  <r>
    <x v="14"/>
    <d v="2009-01-15T00:00:00"/>
    <n v="2009"/>
    <x v="137"/>
    <x v="0"/>
    <x v="0"/>
    <n v="1200"/>
    <x v="0"/>
    <s v="Stephanie"/>
    <s v="Rouen"/>
    <x v="39"/>
    <x v="4"/>
  </r>
  <r>
    <x v="5"/>
    <d v="2009-01-07T00:00:00"/>
    <n v="2009"/>
    <x v="339"/>
    <x v="0"/>
    <x v="1"/>
    <n v="100000"/>
    <x v="0"/>
    <s v="Tiffany"/>
    <s v="Paris"/>
    <x v="39"/>
    <x v="5"/>
  </r>
  <r>
    <x v="2"/>
    <d v="2009-01-05T00:00:00"/>
    <n v="2009"/>
    <x v="316"/>
    <x v="0"/>
    <x v="2"/>
    <n v="100000"/>
    <x v="0"/>
    <s v="Marion"/>
    <s v="Rennes"/>
    <x v="39"/>
    <x v="2"/>
  </r>
  <r>
    <x v="14"/>
    <d v="2009-01-15T00:00:00"/>
    <n v="2009"/>
    <x v="267"/>
    <x v="0"/>
    <x v="0"/>
    <n v="1200"/>
    <x v="2"/>
    <s v="Karen"/>
    <s v="Roquefort"/>
    <x v="39"/>
    <x v="4"/>
  </r>
  <r>
    <x v="15"/>
    <d v="2009-01-16T00:00:00"/>
    <n v="2009"/>
    <x v="480"/>
    <x v="0"/>
    <x v="0"/>
    <n v="1200"/>
    <x v="2"/>
    <s v="Lisa"/>
    <s v="Brulon"/>
    <x v="39"/>
    <x v="0"/>
  </r>
  <r>
    <x v="24"/>
    <d v="2009-01-26T00:00:00"/>
    <n v="2009"/>
    <x v="481"/>
    <x v="0"/>
    <x v="1"/>
    <n v="100000"/>
    <x v="1"/>
    <s v="Jane"/>
    <s v="Biot"/>
    <x v="39"/>
    <x v="2"/>
  </r>
  <r>
    <x v="8"/>
    <d v="2009-01-09T00:00:00"/>
    <n v="2009"/>
    <x v="394"/>
    <x v="0"/>
    <x v="0"/>
    <n v="1200"/>
    <x v="2"/>
    <s v="James"/>
    <s v="Guer"/>
    <x v="39"/>
    <x v="0"/>
  </r>
  <r>
    <x v="8"/>
    <d v="2009-01-09T00:00:00"/>
    <n v="2009"/>
    <x v="482"/>
    <x v="0"/>
    <x v="0"/>
    <n v="1200"/>
    <x v="0"/>
    <s v="Sabrina"/>
    <s v="Rambouillet"/>
    <x v="39"/>
    <x v="0"/>
  </r>
  <r>
    <x v="2"/>
    <d v="2009-01-05T00:00:00"/>
    <n v="2009"/>
    <x v="318"/>
    <x v="0"/>
    <x v="0"/>
    <n v="1200"/>
    <x v="1"/>
    <s v="T"/>
    <s v="Veigy-Foncenex"/>
    <x v="39"/>
    <x v="2"/>
  </r>
  <r>
    <x v="15"/>
    <d v="2009-01-16T00:00:00"/>
    <n v="2009"/>
    <x v="99"/>
    <x v="0"/>
    <x v="1"/>
    <n v="100000"/>
    <x v="1"/>
    <s v="Jag"/>
    <s v="Saint-Cergues"/>
    <x v="39"/>
    <x v="0"/>
  </r>
  <r>
    <x v="12"/>
    <d v="2009-01-13T00:00:00"/>
    <n v="2009"/>
    <x v="384"/>
    <x v="0"/>
    <x v="1"/>
    <n v="100000"/>
    <x v="0"/>
    <s v="Maggie"/>
    <s v="Paris"/>
    <x v="39"/>
    <x v="3"/>
  </r>
  <r>
    <x v="27"/>
    <d v="2009-01-28T00:00:00"/>
    <n v="2009"/>
    <x v="374"/>
    <x v="0"/>
    <x v="0"/>
    <n v="1200"/>
    <x v="2"/>
    <s v="Adam"/>
    <s v="Besancon"/>
    <x v="39"/>
    <x v="5"/>
  </r>
  <r>
    <x v="21"/>
    <d v="2009-01-22T00:00:00"/>
    <n v="2009"/>
    <x v="158"/>
    <x v="1"/>
    <x v="0"/>
    <n v="1200"/>
    <x v="0"/>
    <s v="Anna"/>
    <s v="Paris"/>
    <x v="39"/>
    <x v="4"/>
  </r>
  <r>
    <x v="26"/>
    <d v="2009-01-27T00:00:00"/>
    <n v="2009"/>
    <x v="261"/>
    <x v="0"/>
    <x v="0"/>
    <n v="1200"/>
    <x v="0"/>
    <s v="Sarah"/>
    <s v="Ornex"/>
    <x v="39"/>
    <x v="3"/>
  </r>
  <r>
    <x v="13"/>
    <d v="2009-01-14T00:00:00"/>
    <n v="2009"/>
    <x v="449"/>
    <x v="1"/>
    <x v="1"/>
    <n v="100000"/>
    <x v="0"/>
    <s v="Michael"/>
    <s v="Paris"/>
    <x v="39"/>
    <x v="5"/>
  </r>
  <r>
    <x v="21"/>
    <d v="2009-01-22T00:00:00"/>
    <n v="2009"/>
    <x v="8"/>
    <x v="0"/>
    <x v="0"/>
    <n v="1200"/>
    <x v="0"/>
    <s v="Anja"/>
    <s v="Ferney-Voltaire"/>
    <x v="39"/>
    <x v="4"/>
  </r>
  <r>
    <x v="28"/>
    <d v="2009-01-29T00:00:00"/>
    <n v="2009"/>
    <x v="193"/>
    <x v="0"/>
    <x v="0"/>
    <n v="1200"/>
    <x v="2"/>
    <s v="Kim"/>
    <s v="Paris"/>
    <x v="39"/>
    <x v="4"/>
  </r>
  <r>
    <x v="10"/>
    <d v="2009-01-12T00:00:00"/>
    <n v="2009"/>
    <x v="230"/>
    <x v="0"/>
    <x v="0"/>
    <n v="100000"/>
    <x v="1"/>
    <s v="steve"/>
    <s v="Evires"/>
    <x v="39"/>
    <x v="2"/>
  </r>
  <r>
    <x v="2"/>
    <d v="2009-01-05T00:00:00"/>
    <n v="2009"/>
    <x v="167"/>
    <x v="0"/>
    <x v="0"/>
    <n v="100000"/>
    <x v="0"/>
    <s v="M George"/>
    <s v="Paris"/>
    <x v="39"/>
    <x v="2"/>
  </r>
  <r>
    <x v="24"/>
    <d v="2009-01-26T00:00:00"/>
    <n v="2009"/>
    <x v="463"/>
    <x v="0"/>
    <x v="0"/>
    <n v="100000"/>
    <x v="0"/>
    <s v="Oscar"/>
    <s v="Chamonix-Mont-Blanc"/>
    <x v="39"/>
    <x v="2"/>
  </r>
  <r>
    <x v="28"/>
    <d v="2009-01-29T00:00:00"/>
    <n v="2009"/>
    <x v="379"/>
    <x v="1"/>
    <x v="0"/>
    <n v="100000"/>
    <x v="0"/>
    <s v="Vanessa"/>
    <s v="Arc-et-Senans"/>
    <x v="39"/>
    <x v="4"/>
  </r>
  <r>
    <x v="6"/>
    <d v="2009-01-08T00:00:00"/>
    <n v="2009"/>
    <x v="473"/>
    <x v="0"/>
    <x v="0"/>
    <n v="100000"/>
    <x v="0"/>
    <s v="Kasey"/>
    <s v="Aix-en-Provence"/>
    <x v="39"/>
    <x v="4"/>
  </r>
  <r>
    <x v="0"/>
    <d v="2009-01-02T00:00:00"/>
    <n v="2009"/>
    <x v="291"/>
    <x v="0"/>
    <x v="0"/>
    <n v="100000"/>
    <x v="0"/>
    <s v="Alyssa"/>
    <s v="Antibes"/>
    <x v="39"/>
    <x v="0"/>
  </r>
  <r>
    <x v="20"/>
    <d v="2009-01-21T00:00:00"/>
    <n v="2009"/>
    <x v="35"/>
    <x v="0"/>
    <x v="0"/>
    <n v="100000"/>
    <x v="0"/>
    <s v="Olga"/>
    <s v="Strasbourg"/>
    <x v="39"/>
    <x v="5"/>
  </r>
  <r>
    <x v="18"/>
    <d v="2009-01-19T00:00:00"/>
    <n v="2009"/>
    <x v="64"/>
    <x v="0"/>
    <x v="0"/>
    <n v="100000"/>
    <x v="2"/>
    <s v="brian"/>
    <s v="Hagen"/>
    <x v="39"/>
    <x v="2"/>
  </r>
  <r>
    <x v="8"/>
    <d v="2009-01-09T00:00:00"/>
    <n v="2009"/>
    <x v="37"/>
    <x v="0"/>
    <x v="1"/>
    <n v="100000"/>
    <x v="2"/>
    <s v="Ghislaine"/>
    <s v="Ferney-Voltaire"/>
    <x v="39"/>
    <x v="0"/>
  </r>
  <r>
    <x v="0"/>
    <d v="2009-01-02T00:00:00"/>
    <n v="2009"/>
    <x v="483"/>
    <x v="0"/>
    <x v="0"/>
    <n v="1200"/>
    <x v="1"/>
    <s v="Lena"/>
    <s v="Kuopio"/>
    <x v="40"/>
    <x v="0"/>
  </r>
  <r>
    <x v="24"/>
    <d v="2009-01-26T00:00:00"/>
    <n v="2009"/>
    <x v="225"/>
    <x v="0"/>
    <x v="0"/>
    <n v="1200"/>
    <x v="1"/>
    <s v="smith"/>
    <s v="Lahti"/>
    <x v="40"/>
    <x v="2"/>
  </r>
  <r>
    <x v="19"/>
    <d v="2009-01-20T00:00:00"/>
    <n v="2009"/>
    <x v="484"/>
    <x v="0"/>
    <x v="0"/>
    <n v="1200"/>
    <x v="2"/>
    <s v="Sarah"/>
    <s v="Santo Domingo City"/>
    <x v="41"/>
    <x v="3"/>
  </r>
  <r>
    <x v="7"/>
    <d v="2009-01-03T00:00:00"/>
    <n v="2009"/>
    <x v="485"/>
    <x v="0"/>
    <x v="0"/>
    <n v="110000"/>
    <x v="0"/>
    <s v="Mehmet Fatih"/>
    <s v="Helsingor"/>
    <x v="42"/>
    <x v="6"/>
  </r>
  <r>
    <x v="7"/>
    <d v="2009-01-03T00:00:00"/>
    <n v="2009"/>
    <x v="483"/>
    <x v="0"/>
    <x v="0"/>
    <n v="110000"/>
    <x v="1"/>
    <s v="simone"/>
    <s v="Kobenhavn"/>
    <x v="42"/>
    <x v="6"/>
  </r>
  <r>
    <x v="0"/>
    <d v="2009-01-02T00:00:00"/>
    <n v="2009"/>
    <x v="255"/>
    <x v="1"/>
    <x v="0"/>
    <n v="110000"/>
    <x v="0"/>
    <s v="Alice"/>
    <s v="Nakskov"/>
    <x v="42"/>
    <x v="0"/>
  </r>
  <r>
    <x v="4"/>
    <d v="2009-01-01T00:00:00"/>
    <n v="2009"/>
    <x v="426"/>
    <x v="0"/>
    <x v="0"/>
    <n v="110000"/>
    <x v="1"/>
    <s v="Si"/>
    <s v="Holte"/>
    <x v="42"/>
    <x v="4"/>
  </r>
  <r>
    <x v="7"/>
    <d v="2009-01-03T00:00:00"/>
    <n v="2009"/>
    <x v="445"/>
    <x v="0"/>
    <x v="0"/>
    <n v="110000"/>
    <x v="1"/>
    <s v="Gerlinde"/>
    <s v="Hellerup"/>
    <x v="42"/>
    <x v="6"/>
  </r>
  <r>
    <x v="2"/>
    <d v="2009-01-05T00:00:00"/>
    <n v="2009"/>
    <x v="170"/>
    <x v="1"/>
    <x v="0"/>
    <n v="110000"/>
    <x v="0"/>
    <s v="Cameron"/>
    <s v="Rungsted"/>
    <x v="42"/>
    <x v="2"/>
  </r>
  <r>
    <x v="15"/>
    <d v="2009-01-16T00:00:00"/>
    <n v="2009"/>
    <x v="486"/>
    <x v="0"/>
    <x v="0"/>
    <n v="110000"/>
    <x v="0"/>
    <s v="GAIA"/>
    <s v="Soro"/>
    <x v="42"/>
    <x v="0"/>
  </r>
  <r>
    <x v="12"/>
    <d v="2009-01-13T00:00:00"/>
    <n v="2009"/>
    <x v="161"/>
    <x v="0"/>
    <x v="0"/>
    <n v="110000"/>
    <x v="1"/>
    <s v="simone"/>
    <s v="Lyngby"/>
    <x v="42"/>
    <x v="3"/>
  </r>
  <r>
    <x v="28"/>
    <d v="2009-01-29T00:00:00"/>
    <n v="2009"/>
    <x v="420"/>
    <x v="0"/>
    <x v="0"/>
    <n v="110000"/>
    <x v="0"/>
    <s v="George"/>
    <s v="Nakskov"/>
    <x v="42"/>
    <x v="4"/>
  </r>
  <r>
    <x v="25"/>
    <d v="2009-01-24T00:00:00"/>
    <n v="2009"/>
    <x v="487"/>
    <x v="0"/>
    <x v="0"/>
    <n v="110000"/>
    <x v="0"/>
    <s v="chris"/>
    <s v="Kjobenhavn"/>
    <x v="42"/>
    <x v="6"/>
  </r>
  <r>
    <x v="3"/>
    <d v="2009-01-06T00:00:00"/>
    <n v="2009"/>
    <x v="266"/>
    <x v="0"/>
    <x v="0"/>
    <n v="110000"/>
    <x v="0"/>
    <s v="Scott"/>
    <s v="Rungsted"/>
    <x v="42"/>
    <x v="3"/>
  </r>
  <r>
    <x v="20"/>
    <d v="2009-01-21T00:00:00"/>
    <n v="2009"/>
    <x v="488"/>
    <x v="0"/>
    <x v="0"/>
    <n v="110000"/>
    <x v="0"/>
    <s v="Tomasz"/>
    <s v="Klampenborg"/>
    <x v="42"/>
    <x v="5"/>
  </r>
  <r>
    <x v="10"/>
    <d v="2009-01-12T00:00:00"/>
    <n v="2009"/>
    <x v="489"/>
    <x v="1"/>
    <x v="0"/>
    <n v="110000"/>
    <x v="1"/>
    <s v="Andrea"/>
    <s v="Brondby Strand"/>
    <x v="42"/>
    <x v="2"/>
  </r>
  <r>
    <x v="12"/>
    <d v="2009-01-13T00:00:00"/>
    <n v="2009"/>
    <x v="490"/>
    <x v="1"/>
    <x v="0"/>
    <n v="110000"/>
    <x v="0"/>
    <s v="Majken"/>
    <s v="Charlottenlund"/>
    <x v="42"/>
    <x v="3"/>
  </r>
  <r>
    <x v="2"/>
    <d v="2009-01-05T00:00:00"/>
    <n v="2009"/>
    <x v="491"/>
    <x v="0"/>
    <x v="0"/>
    <n v="110000"/>
    <x v="0"/>
    <s v="Lauren"/>
    <s v="Laasby"/>
    <x v="42"/>
    <x v="2"/>
  </r>
  <r>
    <x v="20"/>
    <d v="2009-01-21T00:00:00"/>
    <n v="2009"/>
    <x v="233"/>
    <x v="0"/>
    <x v="0"/>
    <n v="110000"/>
    <x v="0"/>
    <s v="Courtney"/>
    <s v="Suchdol"/>
    <x v="43"/>
    <x v="5"/>
  </r>
  <r>
    <x v="28"/>
    <d v="2009-01-29T00:00:00"/>
    <n v="2009"/>
    <x v="223"/>
    <x v="0"/>
    <x v="1"/>
    <n v="100000"/>
    <x v="0"/>
    <s v="Kerry"/>
    <s v="Prague"/>
    <x v="43"/>
    <x v="4"/>
  </r>
  <r>
    <x v="1"/>
    <d v="2009-01-04T00:00:00"/>
    <n v="2009"/>
    <x v="293"/>
    <x v="0"/>
    <x v="0"/>
    <n v="110000"/>
    <x v="0"/>
    <s v="Lauren"/>
    <s v="Hradec Kralove"/>
    <x v="43"/>
    <x v="1"/>
  </r>
  <r>
    <x v="18"/>
    <d v="2009-01-19T00:00:00"/>
    <n v="2009"/>
    <x v="79"/>
    <x v="0"/>
    <x v="0"/>
    <n v="1200"/>
    <x v="2"/>
    <s v="melanie"/>
    <s v="Santa Barbaraa"/>
    <x v="44"/>
    <x v="2"/>
  </r>
  <r>
    <x v="20"/>
    <d v="2009-01-21T00:00:00"/>
    <n v="2009"/>
    <x v="492"/>
    <x v="0"/>
    <x v="0"/>
    <n v="1200"/>
    <x v="0"/>
    <s v="Rachel"/>
    <s v="Taicheng"/>
    <x v="45"/>
    <x v="5"/>
  </r>
  <r>
    <x v="20"/>
    <d v="2009-01-21T00:00:00"/>
    <n v="2009"/>
    <x v="493"/>
    <x v="0"/>
    <x v="0"/>
    <n v="1200"/>
    <x v="1"/>
    <s v="Daria"/>
    <s v="George Town"/>
    <x v="46"/>
    <x v="5"/>
  </r>
  <r>
    <x v="2"/>
    <d v="2009-01-05T00:00:00"/>
    <n v="2009"/>
    <x v="95"/>
    <x v="0"/>
    <x v="0"/>
    <n v="1200"/>
    <x v="0"/>
    <s v="Janet"/>
    <s v="Ottawa"/>
    <x v="47"/>
    <x v="2"/>
  </r>
  <r>
    <x v="9"/>
    <d v="2009-01-10T00:00:00"/>
    <n v="2009"/>
    <x v="494"/>
    <x v="0"/>
    <x v="0"/>
    <n v="1200"/>
    <x v="0"/>
    <s v="Anushka"/>
    <s v="Maple Ridge District Municipality"/>
    <x v="47"/>
    <x v="6"/>
  </r>
  <r>
    <x v="1"/>
    <d v="2009-01-04T00:00:00"/>
    <n v="2009"/>
    <x v="495"/>
    <x v="0"/>
    <x v="1"/>
    <n v="100000"/>
    <x v="2"/>
    <s v="Baybars"/>
    <s v="Prince Albert"/>
    <x v="47"/>
    <x v="1"/>
  </r>
  <r>
    <x v="5"/>
    <d v="2009-01-07T00:00:00"/>
    <n v="2009"/>
    <x v="496"/>
    <x v="0"/>
    <x v="0"/>
    <n v="1200"/>
    <x v="0"/>
    <s v="Gina"/>
    <s v="Red Deer"/>
    <x v="47"/>
    <x v="5"/>
  </r>
  <r>
    <x v="6"/>
    <d v="2009-01-08T00:00:00"/>
    <n v="2009"/>
    <x v="497"/>
    <x v="0"/>
    <x v="0"/>
    <n v="1200"/>
    <x v="0"/>
    <s v="Kim"/>
    <s v="Calgary"/>
    <x v="47"/>
    <x v="4"/>
  </r>
  <r>
    <x v="6"/>
    <d v="2009-01-08T00:00:00"/>
    <n v="2009"/>
    <x v="498"/>
    <x v="0"/>
    <x v="0"/>
    <n v="1200"/>
    <x v="0"/>
    <s v="Bruce"/>
    <s v="Belleville"/>
    <x v="47"/>
    <x v="4"/>
  </r>
  <r>
    <x v="10"/>
    <d v="2009-01-12T00:00:00"/>
    <n v="2009"/>
    <x v="301"/>
    <x v="0"/>
    <x v="0"/>
    <n v="1200"/>
    <x v="0"/>
    <s v="Lydia"/>
    <s v="Comox"/>
    <x v="47"/>
    <x v="2"/>
  </r>
  <r>
    <x v="4"/>
    <d v="2009-01-01T00:00:00"/>
    <n v="2009"/>
    <x v="268"/>
    <x v="0"/>
    <x v="0"/>
    <n v="1200"/>
    <x v="0"/>
    <s v="nathalie"/>
    <s v="Calgary"/>
    <x v="47"/>
    <x v="4"/>
  </r>
  <r>
    <x v="7"/>
    <d v="2009-01-03T00:00:00"/>
    <n v="2009"/>
    <x v="207"/>
    <x v="0"/>
    <x v="0"/>
    <n v="1200"/>
    <x v="1"/>
    <s v="Lindi"/>
    <s v="Vancouver"/>
    <x v="47"/>
    <x v="6"/>
  </r>
  <r>
    <x v="1"/>
    <d v="2009-01-04T00:00:00"/>
    <n v="2009"/>
    <x v="70"/>
    <x v="0"/>
    <x v="0"/>
    <n v="1200"/>
    <x v="0"/>
    <s v="Gerhard"/>
    <s v="Alliston"/>
    <x v="47"/>
    <x v="1"/>
  </r>
  <r>
    <x v="3"/>
    <d v="2009-01-06T00:00:00"/>
    <n v="2009"/>
    <x v="499"/>
    <x v="0"/>
    <x v="0"/>
    <n v="90000"/>
    <x v="0"/>
    <s v="Kofi"/>
    <s v="Vancouver"/>
    <x v="47"/>
    <x v="3"/>
  </r>
  <r>
    <x v="10"/>
    <d v="2009-01-12T00:00:00"/>
    <n v="2009"/>
    <x v="299"/>
    <x v="0"/>
    <x v="0"/>
    <n v="200000"/>
    <x v="0"/>
    <s v="Veronique"/>
    <s v="Tsawwassen"/>
    <x v="47"/>
    <x v="2"/>
  </r>
  <r>
    <x v="3"/>
    <d v="2009-01-06T00:00:00"/>
    <n v="2009"/>
    <x v="123"/>
    <x v="0"/>
    <x v="0"/>
    <n v="60000"/>
    <x v="0"/>
    <s v="Anna"/>
    <s v="Okotoks"/>
    <x v="47"/>
    <x v="3"/>
  </r>
  <r>
    <x v="14"/>
    <d v="2009-01-15T00:00:00"/>
    <n v="2009"/>
    <x v="41"/>
    <x v="0"/>
    <x v="0"/>
    <n v="1200"/>
    <x v="0"/>
    <s v="Heidi"/>
    <s v="Calgary"/>
    <x v="47"/>
    <x v="4"/>
  </r>
  <r>
    <x v="14"/>
    <d v="2009-01-15T00:00:00"/>
    <n v="2009"/>
    <x v="109"/>
    <x v="0"/>
    <x v="0"/>
    <n v="1200"/>
    <x v="0"/>
    <s v="Jessica"/>
    <s v="Kanata"/>
    <x v="47"/>
    <x v="4"/>
  </r>
  <r>
    <x v="14"/>
    <d v="2009-01-15T00:00:00"/>
    <n v="2009"/>
    <x v="337"/>
    <x v="1"/>
    <x v="0"/>
    <n v="90000"/>
    <x v="1"/>
    <s v="Annelies"/>
    <s v="Ile-Perrot"/>
    <x v="47"/>
    <x v="4"/>
  </r>
  <r>
    <x v="1"/>
    <d v="2009-01-04T00:00:00"/>
    <n v="2009"/>
    <x v="299"/>
    <x v="0"/>
    <x v="0"/>
    <n v="200000"/>
    <x v="2"/>
    <s v="Sarka"/>
    <s v="Yellowknife"/>
    <x v="47"/>
    <x v="1"/>
  </r>
  <r>
    <x v="12"/>
    <d v="2009-01-13T00:00:00"/>
    <n v="2009"/>
    <x v="59"/>
    <x v="0"/>
    <x v="0"/>
    <n v="60000"/>
    <x v="1"/>
    <s v="Andrew"/>
    <s v="Winnipeg"/>
    <x v="47"/>
    <x v="3"/>
  </r>
  <r>
    <x v="1"/>
    <d v="2009-01-04T00:00:00"/>
    <n v="2009"/>
    <x v="500"/>
    <x v="1"/>
    <x v="0"/>
    <n v="1200"/>
    <x v="2"/>
    <s v="Denise"/>
    <s v="Montreal"/>
    <x v="47"/>
    <x v="1"/>
  </r>
  <r>
    <x v="2"/>
    <d v="2009-01-05T00:00:00"/>
    <n v="2009"/>
    <x v="88"/>
    <x v="0"/>
    <x v="0"/>
    <n v="1200"/>
    <x v="0"/>
    <s v="Jeffrey"/>
    <s v="Montreal-Nord"/>
    <x v="47"/>
    <x v="2"/>
  </r>
  <r>
    <x v="1"/>
    <d v="2009-01-04T00:00:00"/>
    <n v="2009"/>
    <x v="501"/>
    <x v="0"/>
    <x v="0"/>
    <n v="90000"/>
    <x v="0"/>
    <s v="Charlene"/>
    <s v="Calgary"/>
    <x v="47"/>
    <x v="1"/>
  </r>
  <r>
    <x v="12"/>
    <d v="2009-01-13T00:00:00"/>
    <n v="2009"/>
    <x v="496"/>
    <x v="0"/>
    <x v="0"/>
    <n v="200000"/>
    <x v="0"/>
    <s v="Kim"/>
    <s v="Kelowna"/>
    <x v="47"/>
    <x v="3"/>
  </r>
  <r>
    <x v="4"/>
    <d v="2009-01-01T00:00:00"/>
    <n v="2009"/>
    <x v="502"/>
    <x v="0"/>
    <x v="0"/>
    <n v="60000"/>
    <x v="1"/>
    <s v="Gabriel"/>
    <s v="Three Hills"/>
    <x v="47"/>
    <x v="4"/>
  </r>
  <r>
    <x v="24"/>
    <d v="2009-01-26T00:00:00"/>
    <n v="2009"/>
    <x v="349"/>
    <x v="0"/>
    <x v="0"/>
    <n v="1200"/>
    <x v="0"/>
    <s v="Eleanor"/>
    <s v="Vancouver"/>
    <x v="47"/>
    <x v="2"/>
  </r>
  <r>
    <x v="12"/>
    <d v="2009-01-13T00:00:00"/>
    <n v="2009"/>
    <x v="503"/>
    <x v="0"/>
    <x v="0"/>
    <n v="1200"/>
    <x v="1"/>
    <s v="Priska"/>
    <s v="Calgary"/>
    <x v="47"/>
    <x v="3"/>
  </r>
  <r>
    <x v="10"/>
    <d v="2009-01-12T00:00:00"/>
    <n v="2009"/>
    <x v="475"/>
    <x v="0"/>
    <x v="0"/>
    <n v="90000"/>
    <x v="1"/>
    <s v="Tina"/>
    <s v="Calgary"/>
    <x v="47"/>
    <x v="2"/>
  </r>
  <r>
    <x v="4"/>
    <d v="2009-01-01T00:00:00"/>
    <n v="2009"/>
    <x v="504"/>
    <x v="0"/>
    <x v="0"/>
    <n v="200000"/>
    <x v="2"/>
    <s v="Damali"/>
    <s v="Toronto"/>
    <x v="47"/>
    <x v="4"/>
  </r>
  <r>
    <x v="23"/>
    <d v="2009-01-25T00:00:00"/>
    <n v="2009"/>
    <x v="497"/>
    <x v="0"/>
    <x v="0"/>
    <n v="60000"/>
    <x v="0"/>
    <s v="L"/>
    <s v="Alcona"/>
    <x v="47"/>
    <x v="1"/>
  </r>
  <r>
    <x v="27"/>
    <d v="2009-01-28T00:00:00"/>
    <n v="2009"/>
    <x v="505"/>
    <x v="0"/>
    <x v="0"/>
    <n v="1200"/>
    <x v="0"/>
    <s v="Lisa"/>
    <s v="Anse Comeau"/>
    <x v="47"/>
    <x v="5"/>
  </r>
  <r>
    <x v="22"/>
    <d v="2009-01-23T00:00:00"/>
    <n v="2009"/>
    <x v="313"/>
    <x v="0"/>
    <x v="0"/>
    <n v="1200"/>
    <x v="0"/>
    <s v="Ginger"/>
    <s v="King City"/>
    <x v="47"/>
    <x v="0"/>
  </r>
  <r>
    <x v="3"/>
    <d v="2009-01-06T00:00:00"/>
    <n v="2009"/>
    <x v="506"/>
    <x v="0"/>
    <x v="0"/>
    <n v="90000"/>
    <x v="1"/>
    <s v="Charlene"/>
    <s v="Vancouver"/>
    <x v="47"/>
    <x v="3"/>
  </r>
  <r>
    <x v="25"/>
    <d v="2009-01-24T00:00:00"/>
    <n v="2009"/>
    <x v="249"/>
    <x v="0"/>
    <x v="0"/>
    <n v="200000"/>
    <x v="0"/>
    <s v="Tracey"/>
    <s v="Saint Catharines"/>
    <x v="47"/>
    <x v="6"/>
  </r>
  <r>
    <x v="5"/>
    <d v="2009-01-07T00:00:00"/>
    <n v="2009"/>
    <x v="507"/>
    <x v="0"/>
    <x v="0"/>
    <n v="60000"/>
    <x v="2"/>
    <s v="maria"/>
    <s v="Ottawa"/>
    <x v="47"/>
    <x v="5"/>
  </r>
  <r>
    <x v="1"/>
    <d v="2009-01-04T00:00:00"/>
    <n v="2009"/>
    <x v="508"/>
    <x v="0"/>
    <x v="0"/>
    <n v="1200"/>
    <x v="1"/>
    <s v="Christyna"/>
    <s v="Calgary"/>
    <x v="47"/>
    <x v="1"/>
  </r>
  <r>
    <x v="9"/>
    <d v="2009-01-10T00:00:00"/>
    <n v="2009"/>
    <x v="202"/>
    <x v="0"/>
    <x v="0"/>
    <n v="1200"/>
    <x v="1"/>
    <s v="Sharon"/>
    <s v="Ajax"/>
    <x v="47"/>
    <x v="6"/>
  </r>
  <r>
    <x v="21"/>
    <d v="2009-01-22T00:00:00"/>
    <n v="2009"/>
    <x v="187"/>
    <x v="0"/>
    <x v="0"/>
    <n v="90000"/>
    <x v="0"/>
    <s v="Yana"/>
    <s v="North Bay"/>
    <x v="47"/>
    <x v="4"/>
  </r>
  <r>
    <x v="27"/>
    <d v="2009-01-28T00:00:00"/>
    <n v="2009"/>
    <x v="509"/>
    <x v="0"/>
    <x v="1"/>
    <n v="100000"/>
    <x v="2"/>
    <s v="Elizabeth"/>
    <s v="Okotoks"/>
    <x v="47"/>
    <x v="5"/>
  </r>
  <r>
    <x v="20"/>
    <d v="2009-01-21T00:00:00"/>
    <n v="2009"/>
    <x v="510"/>
    <x v="0"/>
    <x v="0"/>
    <n v="60000"/>
    <x v="2"/>
    <s v="Henrietta"/>
    <s v="Vancouver"/>
    <x v="47"/>
    <x v="5"/>
  </r>
  <r>
    <x v="10"/>
    <d v="2009-01-12T00:00:00"/>
    <n v="2009"/>
    <x v="511"/>
    <x v="0"/>
    <x v="1"/>
    <n v="100000"/>
    <x v="0"/>
    <s v="Debra"/>
    <s v="Toronto"/>
    <x v="47"/>
    <x v="2"/>
  </r>
  <r>
    <x v="13"/>
    <d v="2009-01-14T00:00:00"/>
    <n v="2009"/>
    <x v="142"/>
    <x v="0"/>
    <x v="1"/>
    <n v="100000"/>
    <x v="2"/>
    <s v="Ruth"/>
    <s v="Saskatoon"/>
    <x v="47"/>
    <x v="5"/>
  </r>
  <r>
    <x v="6"/>
    <d v="2009-01-08T00:00:00"/>
    <n v="2009"/>
    <x v="377"/>
    <x v="0"/>
    <x v="0"/>
    <n v="1200"/>
    <x v="2"/>
    <s v="Benoit"/>
    <s v="Fort Saint James"/>
    <x v="47"/>
    <x v="4"/>
  </r>
  <r>
    <x v="9"/>
    <d v="2009-01-10T00:00:00"/>
    <n v="2009"/>
    <x v="454"/>
    <x v="0"/>
    <x v="0"/>
    <n v="1200"/>
    <x v="0"/>
    <s v="Rachel"/>
    <s v="Hamilton"/>
    <x v="47"/>
    <x v="6"/>
  </r>
  <r>
    <x v="0"/>
    <d v="2009-01-02T00:00:00"/>
    <n v="2009"/>
    <x v="486"/>
    <x v="0"/>
    <x v="1"/>
    <n v="100000"/>
    <x v="0"/>
    <s v="Kendra"/>
    <s v="Toronto"/>
    <x v="47"/>
    <x v="0"/>
  </r>
  <r>
    <x v="14"/>
    <d v="2009-01-15T00:00:00"/>
    <n v="2009"/>
    <x v="65"/>
    <x v="0"/>
    <x v="1"/>
    <n v="100000"/>
    <x v="0"/>
    <s v="Derrick"/>
    <s v="North Bay"/>
    <x v="47"/>
    <x v="4"/>
  </r>
  <r>
    <x v="2"/>
    <d v="2009-01-05T00:00:00"/>
    <n v="2009"/>
    <x v="197"/>
    <x v="1"/>
    <x v="0"/>
    <n v="1200"/>
    <x v="0"/>
    <s v="Katrin"/>
    <s v="Calgary"/>
    <x v="47"/>
    <x v="2"/>
  </r>
  <r>
    <x v="27"/>
    <d v="2009-01-28T00:00:00"/>
    <n v="2009"/>
    <x v="337"/>
    <x v="1"/>
    <x v="1"/>
    <n v="100000"/>
    <x v="1"/>
    <s v="Kelly"/>
    <s v="Vancouver"/>
    <x v="47"/>
    <x v="5"/>
  </r>
  <r>
    <x v="6"/>
    <d v="2009-01-08T00:00:00"/>
    <n v="2009"/>
    <x v="468"/>
    <x v="1"/>
    <x v="0"/>
    <n v="1200"/>
    <x v="1"/>
    <s v="Trine Marie"/>
    <s v="Orillia"/>
    <x v="47"/>
    <x v="4"/>
  </r>
  <r>
    <x v="11"/>
    <d v="2009-01-11T00:00:00"/>
    <n v="2009"/>
    <x v="506"/>
    <x v="0"/>
    <x v="0"/>
    <n v="1200"/>
    <x v="0"/>
    <s v="familly"/>
    <s v="Creemore"/>
    <x v="47"/>
    <x v="1"/>
  </r>
  <r>
    <x v="8"/>
    <d v="2009-01-09T00:00:00"/>
    <n v="2009"/>
    <x v="512"/>
    <x v="0"/>
    <x v="0"/>
    <n v="1200"/>
    <x v="2"/>
    <s v="Precious"/>
    <s v="Edmonton"/>
    <x v="47"/>
    <x v="0"/>
  </r>
  <r>
    <x v="8"/>
    <d v="2009-01-09T00:00:00"/>
    <n v="2009"/>
    <x v="513"/>
    <x v="0"/>
    <x v="0"/>
    <n v="1200"/>
    <x v="2"/>
    <s v="Mona"/>
    <s v="Kelowna"/>
    <x v="47"/>
    <x v="0"/>
  </r>
  <r>
    <x v="14"/>
    <d v="2009-01-15T00:00:00"/>
    <n v="2009"/>
    <x v="514"/>
    <x v="0"/>
    <x v="0"/>
    <n v="1200"/>
    <x v="0"/>
    <s v="Caroline"/>
    <s v="Toronto"/>
    <x v="47"/>
    <x v="4"/>
  </r>
  <r>
    <x v="12"/>
    <d v="2009-01-13T00:00:00"/>
    <n v="2009"/>
    <x v="41"/>
    <x v="0"/>
    <x v="0"/>
    <n v="1200"/>
    <x v="2"/>
    <s v="Karen"/>
    <s v="Montreal"/>
    <x v="47"/>
    <x v="3"/>
  </r>
  <r>
    <x v="25"/>
    <d v="2009-01-24T00:00:00"/>
    <n v="2009"/>
    <x v="134"/>
    <x v="0"/>
    <x v="0"/>
    <n v="1200"/>
    <x v="0"/>
    <s v="jacqueline"/>
    <s v="North Vancouver"/>
    <x v="47"/>
    <x v="6"/>
  </r>
  <r>
    <x v="1"/>
    <d v="2009-01-04T00:00:00"/>
    <n v="2009"/>
    <x v="50"/>
    <x v="0"/>
    <x v="0"/>
    <n v="1200"/>
    <x v="2"/>
    <s v="Paul"/>
    <s v="Burnaby"/>
    <x v="47"/>
    <x v="1"/>
  </r>
  <r>
    <x v="7"/>
    <d v="2009-01-03T00:00:00"/>
    <n v="2009"/>
    <x v="143"/>
    <x v="0"/>
    <x v="0"/>
    <n v="1200"/>
    <x v="0"/>
    <s v="Vanessa"/>
    <s v="Cornwall"/>
    <x v="47"/>
    <x v="6"/>
  </r>
  <r>
    <x v="6"/>
    <d v="2009-01-08T00:00:00"/>
    <n v="2009"/>
    <x v="50"/>
    <x v="0"/>
    <x v="0"/>
    <n v="1200"/>
    <x v="0"/>
    <s v="Catherine"/>
    <s v="Mount Forest"/>
    <x v="47"/>
    <x v="4"/>
  </r>
  <r>
    <x v="25"/>
    <d v="2009-01-24T00:00:00"/>
    <n v="2009"/>
    <x v="2"/>
    <x v="1"/>
    <x v="0"/>
    <n v="1200"/>
    <x v="0"/>
    <s v="sorcha"/>
    <s v="Cartierville"/>
    <x v="47"/>
    <x v="6"/>
  </r>
  <r>
    <x v="2"/>
    <d v="2009-01-05T00:00:00"/>
    <n v="2009"/>
    <x v="515"/>
    <x v="0"/>
    <x v="0"/>
    <n v="1200"/>
    <x v="0"/>
    <s v="isabelle"/>
    <s v="Sainte-Therese-de-Blainville"/>
    <x v="47"/>
    <x v="2"/>
  </r>
  <r>
    <x v="24"/>
    <d v="2009-01-26T00:00:00"/>
    <n v="2009"/>
    <x v="516"/>
    <x v="0"/>
    <x v="0"/>
    <n v="1200"/>
    <x v="0"/>
    <s v="Lolarae"/>
    <s v="Calgary"/>
    <x v="47"/>
    <x v="2"/>
  </r>
  <r>
    <x v="27"/>
    <d v="2009-01-28T00:00:00"/>
    <n v="2009"/>
    <x v="320"/>
    <x v="0"/>
    <x v="0"/>
    <n v="1200"/>
    <x v="0"/>
    <s v="Jenevieve"/>
    <s v="Guelph"/>
    <x v="47"/>
    <x v="5"/>
  </r>
  <r>
    <x v="19"/>
    <d v="2009-01-20T00:00:00"/>
    <n v="2009"/>
    <x v="134"/>
    <x v="0"/>
    <x v="0"/>
    <n v="1200"/>
    <x v="0"/>
    <s v="James"/>
    <s v="Edmonton"/>
    <x v="47"/>
    <x v="3"/>
  </r>
  <r>
    <x v="16"/>
    <d v="2009-01-17T00:00:00"/>
    <n v="2009"/>
    <x v="517"/>
    <x v="0"/>
    <x v="0"/>
    <n v="1200"/>
    <x v="1"/>
    <s v="Nicole"/>
    <s v="Simcoe"/>
    <x v="47"/>
    <x v="6"/>
  </r>
  <r>
    <x v="30"/>
    <d v="2009-01-31T00:00:00"/>
    <n v="2009"/>
    <x v="30"/>
    <x v="0"/>
    <x v="0"/>
    <n v="1200"/>
    <x v="0"/>
    <s v="Joern"/>
    <s v="Waterford"/>
    <x v="47"/>
    <x v="6"/>
  </r>
  <r>
    <x v="23"/>
    <d v="2009-01-25T00:00:00"/>
    <n v="2009"/>
    <x v="204"/>
    <x v="0"/>
    <x v="0"/>
    <n v="1200"/>
    <x v="2"/>
    <s v="Jennifer"/>
    <s v="Vancouver"/>
    <x v="47"/>
    <x v="1"/>
  </r>
  <r>
    <x v="1"/>
    <d v="2009-01-04T00:00:00"/>
    <n v="2009"/>
    <x v="315"/>
    <x v="0"/>
    <x v="1"/>
    <n v="100000"/>
    <x v="1"/>
    <s v="Karoline"/>
    <s v="Powell River"/>
    <x v="47"/>
    <x v="1"/>
  </r>
  <r>
    <x v="28"/>
    <d v="2009-01-29T00:00:00"/>
    <n v="2009"/>
    <x v="333"/>
    <x v="0"/>
    <x v="0"/>
    <n v="1200"/>
    <x v="0"/>
    <s v="Alessandra"/>
    <s v="Vancouver"/>
    <x v="47"/>
    <x v="4"/>
  </r>
  <r>
    <x v="5"/>
    <d v="2009-01-07T00:00:00"/>
    <n v="2009"/>
    <x v="9"/>
    <x v="0"/>
    <x v="0"/>
    <n v="1200"/>
    <x v="1"/>
    <s v="loudon"/>
    <s v="Ottawa"/>
    <x v="47"/>
    <x v="5"/>
  </r>
  <r>
    <x v="3"/>
    <d v="2009-01-06T00:00:00"/>
    <n v="2009"/>
    <x v="495"/>
    <x v="0"/>
    <x v="1"/>
    <n v="3600"/>
    <x v="1"/>
    <s v="Christiane"/>
    <s v="Mission"/>
    <x v="47"/>
    <x v="3"/>
  </r>
  <r>
    <x v="19"/>
    <d v="2009-01-20T00:00:00"/>
    <n v="2009"/>
    <x v="518"/>
    <x v="0"/>
    <x v="1"/>
    <n v="200000"/>
    <x v="0"/>
    <s v="Jessica"/>
    <s v="Toronto"/>
    <x v="47"/>
    <x v="3"/>
  </r>
  <r>
    <x v="0"/>
    <d v="2009-01-02T00:00:00"/>
    <n v="2009"/>
    <x v="176"/>
    <x v="0"/>
    <x v="0"/>
    <n v="1200"/>
    <x v="1"/>
    <s v="Brandi"/>
    <s v="Edmonton"/>
    <x v="47"/>
    <x v="0"/>
  </r>
  <r>
    <x v="6"/>
    <d v="2009-01-08T00:00:00"/>
    <n v="2009"/>
    <x v="519"/>
    <x v="1"/>
    <x v="0"/>
    <n v="1200"/>
    <x v="2"/>
    <s v="Andrea"/>
    <s v="Calgary"/>
    <x v="47"/>
    <x v="4"/>
  </r>
  <r>
    <x v="5"/>
    <d v="2009-01-07T00:00:00"/>
    <n v="2009"/>
    <x v="30"/>
    <x v="0"/>
    <x v="0"/>
    <n v="1200"/>
    <x v="0"/>
    <s v="Sarah"/>
    <s v="Warwick"/>
    <x v="47"/>
    <x v="5"/>
  </r>
  <r>
    <x v="21"/>
    <d v="2009-01-22T00:00:00"/>
    <n v="2009"/>
    <x v="359"/>
    <x v="0"/>
    <x v="1"/>
    <n v="200000"/>
    <x v="0"/>
    <s v="Lisa"/>
    <s v="Ottawa"/>
    <x v="47"/>
    <x v="4"/>
  </r>
  <r>
    <x v="12"/>
    <d v="2009-01-13T00:00:00"/>
    <n v="2009"/>
    <x v="179"/>
    <x v="0"/>
    <x v="1"/>
    <n v="200000"/>
    <x v="1"/>
    <s v="Anthony"/>
    <s v="Toronto"/>
    <x v="47"/>
    <x v="3"/>
  </r>
  <r>
    <x v="29"/>
    <d v="2009-01-30T00:00:00"/>
    <n v="2009"/>
    <x v="134"/>
    <x v="0"/>
    <x v="1"/>
    <n v="200000"/>
    <x v="1"/>
    <s v="Tanya"/>
    <s v="Carcross"/>
    <x v="47"/>
    <x v="0"/>
  </r>
  <r>
    <x v="19"/>
    <d v="2009-01-20T00:00:00"/>
    <n v="2009"/>
    <x v="405"/>
    <x v="0"/>
    <x v="1"/>
    <n v="200000"/>
    <x v="0"/>
    <s v="Stephen"/>
    <s v="Calgary"/>
    <x v="47"/>
    <x v="3"/>
  </r>
  <r>
    <x v="18"/>
    <d v="2009-01-19T00:00:00"/>
    <n v="2009"/>
    <x v="384"/>
    <x v="0"/>
    <x v="0"/>
    <n v="1200"/>
    <x v="1"/>
    <s v="TG"/>
    <s v="Zagore"/>
    <x v="48"/>
    <x v="2"/>
  </r>
  <r>
    <x v="16"/>
    <d v="2009-01-17T00:00:00"/>
    <n v="2009"/>
    <x v="520"/>
    <x v="0"/>
    <x v="0"/>
    <n v="1200"/>
    <x v="1"/>
    <s v="Joachim"/>
    <s v="Fortaleza"/>
    <x v="49"/>
    <x v="6"/>
  </r>
  <r>
    <x v="13"/>
    <d v="2009-01-14T00:00:00"/>
    <n v="2009"/>
    <x v="176"/>
    <x v="0"/>
    <x v="2"/>
    <n v="200000"/>
    <x v="1"/>
    <s v="Diana"/>
    <s v="Campinas"/>
    <x v="49"/>
    <x v="5"/>
  </r>
  <r>
    <x v="25"/>
    <d v="2009-01-24T00:00:00"/>
    <n v="2009"/>
    <x v="516"/>
    <x v="0"/>
    <x v="0"/>
    <n v="1200"/>
    <x v="0"/>
    <s v="sorcha"/>
    <s v="Porto Alegre"/>
    <x v="49"/>
    <x v="6"/>
  </r>
  <r>
    <x v="23"/>
    <d v="2009-01-25T00:00:00"/>
    <n v="2009"/>
    <x v="22"/>
    <x v="0"/>
    <x v="0"/>
    <n v="1200"/>
    <x v="1"/>
    <s v="Lesa"/>
    <s v="Vespasiano"/>
    <x v="49"/>
    <x v="1"/>
  </r>
  <r>
    <x v="17"/>
    <d v="2009-01-18T00:00:00"/>
    <n v="2009"/>
    <x v="336"/>
    <x v="0"/>
    <x v="0"/>
    <n v="1200"/>
    <x v="2"/>
    <s v="Michaela"/>
    <s v="Mafra"/>
    <x v="49"/>
    <x v="1"/>
  </r>
  <r>
    <x v="22"/>
    <d v="2009-01-23T00:00:00"/>
    <n v="2009"/>
    <x v="309"/>
    <x v="0"/>
    <x v="0"/>
    <n v="1200"/>
    <x v="0"/>
    <s v="Elizabeth"/>
    <s v="Hamilton"/>
    <x v="50"/>
    <x v="0"/>
  </r>
  <r>
    <x v="11"/>
    <d v="2009-01-11T00:00:00"/>
    <n v="2009"/>
    <x v="484"/>
    <x v="0"/>
    <x v="0"/>
    <n v="1200"/>
    <x v="0"/>
    <s v="Stephanie"/>
    <s v="Brussels"/>
    <x v="51"/>
    <x v="1"/>
  </r>
  <r>
    <x v="5"/>
    <d v="2009-01-07T00:00:00"/>
    <n v="2009"/>
    <x v="287"/>
    <x v="0"/>
    <x v="0"/>
    <n v="1200"/>
    <x v="2"/>
    <s v="Jocelyn"/>
    <s v="Bruxelles"/>
    <x v="51"/>
    <x v="5"/>
  </r>
  <r>
    <x v="29"/>
    <d v="2009-01-30T00:00:00"/>
    <n v="2009"/>
    <x v="293"/>
    <x v="0"/>
    <x v="0"/>
    <n v="1200"/>
    <x v="0"/>
    <s v="Christine"/>
    <s v="Antwerpen"/>
    <x v="51"/>
    <x v="0"/>
  </r>
  <r>
    <x v="24"/>
    <d v="2009-01-26T00:00:00"/>
    <n v="2009"/>
    <x v="521"/>
    <x v="0"/>
    <x v="1"/>
    <n v="200000"/>
    <x v="0"/>
    <s v="Geraldine"/>
    <s v="Brussels"/>
    <x v="51"/>
    <x v="2"/>
  </r>
  <r>
    <x v="25"/>
    <d v="2009-01-24T00:00:00"/>
    <n v="2009"/>
    <x v="200"/>
    <x v="0"/>
    <x v="0"/>
    <n v="1200"/>
    <x v="0"/>
    <s v="Audrey"/>
    <s v="Bruxelles"/>
    <x v="51"/>
    <x v="6"/>
  </r>
  <r>
    <x v="18"/>
    <d v="2009-01-19T00:00:00"/>
    <n v="2009"/>
    <x v="382"/>
    <x v="0"/>
    <x v="0"/>
    <n v="1200"/>
    <x v="2"/>
    <s v="Nicola"/>
    <s v="Bruxelles"/>
    <x v="51"/>
    <x v="2"/>
  </r>
  <r>
    <x v="3"/>
    <d v="2009-01-06T00:00:00"/>
    <n v="2009"/>
    <x v="522"/>
    <x v="0"/>
    <x v="0"/>
    <n v="1200"/>
    <x v="1"/>
    <s v="Kim"/>
    <s v="Brussels"/>
    <x v="51"/>
    <x v="3"/>
  </r>
  <r>
    <x v="3"/>
    <d v="2009-01-06T00:00:00"/>
    <n v="2009"/>
    <x v="523"/>
    <x v="0"/>
    <x v="0"/>
    <n v="1200"/>
    <x v="0"/>
    <s v="mike"/>
    <s v="La Louviere"/>
    <x v="51"/>
    <x v="3"/>
  </r>
  <r>
    <x v="10"/>
    <d v="2009-01-12T00:00:00"/>
    <n v="2009"/>
    <x v="524"/>
    <x v="0"/>
    <x v="0"/>
    <n v="1200"/>
    <x v="0"/>
    <s v="Dez"/>
    <s v="Al 'Adliyah"/>
    <x v="52"/>
    <x v="2"/>
  </r>
  <r>
    <x v="15"/>
    <d v="2009-01-16T00:00:00"/>
    <n v="2009"/>
    <x v="426"/>
    <x v="0"/>
    <x v="0"/>
    <n v="1200"/>
    <x v="0"/>
    <s v="Angela"/>
    <s v="Vienna"/>
    <x v="53"/>
    <x v="0"/>
  </r>
  <r>
    <x v="25"/>
    <d v="2009-01-24T00:00:00"/>
    <n v="2009"/>
    <x v="12"/>
    <x v="0"/>
    <x v="0"/>
    <n v="1200"/>
    <x v="1"/>
    <s v="corina"/>
    <s v="Neustift am Walde"/>
    <x v="53"/>
    <x v="6"/>
  </r>
  <r>
    <x v="25"/>
    <d v="2009-01-24T00:00:00"/>
    <n v="2009"/>
    <x v="513"/>
    <x v="0"/>
    <x v="0"/>
    <n v="1200"/>
    <x v="1"/>
    <s v="manon"/>
    <s v="Neustift am Walde"/>
    <x v="53"/>
    <x v="6"/>
  </r>
  <r>
    <x v="3"/>
    <d v="2009-01-06T00:00:00"/>
    <n v="2009"/>
    <x v="363"/>
    <x v="0"/>
    <x v="0"/>
    <n v="1200"/>
    <x v="0"/>
    <s v="Astrid"/>
    <s v="Altlengbach"/>
    <x v="53"/>
    <x v="3"/>
  </r>
  <r>
    <x v="20"/>
    <d v="2009-01-21T00:00:00"/>
    <n v="2009"/>
    <x v="525"/>
    <x v="0"/>
    <x v="0"/>
    <n v="1200"/>
    <x v="1"/>
    <s v="Tamara"/>
    <s v="Klosterneuburg"/>
    <x v="53"/>
    <x v="5"/>
  </r>
  <r>
    <x v="23"/>
    <d v="2009-01-25T00:00:00"/>
    <n v="2009"/>
    <x v="409"/>
    <x v="0"/>
    <x v="1"/>
    <n v="200000"/>
    <x v="1"/>
    <s v="Gloria Gail"/>
    <s v="WalcProduct3ee"/>
    <x v="53"/>
    <x v="1"/>
  </r>
  <r>
    <x v="2"/>
    <d v="2009-01-05T00:00:00"/>
    <n v="2009"/>
    <x v="258"/>
    <x v="0"/>
    <x v="0"/>
    <n v="1200"/>
    <x v="0"/>
    <s v="Macy"/>
    <s v="Inner City"/>
    <x v="53"/>
    <x v="2"/>
  </r>
  <r>
    <x v="7"/>
    <d v="2009-01-03T00:00:00"/>
    <n v="2009"/>
    <x v="408"/>
    <x v="0"/>
    <x v="0"/>
    <n v="1200"/>
    <x v="0"/>
    <s v="Gouya"/>
    <s v="Echuca"/>
    <x v="54"/>
    <x v="6"/>
  </r>
  <r>
    <x v="2"/>
    <d v="2009-01-05T00:00:00"/>
    <n v="2009"/>
    <x v="290"/>
    <x v="0"/>
    <x v="1"/>
    <n v="200000"/>
    <x v="0"/>
    <s v="James"/>
    <s v="Burpengary"/>
    <x v="54"/>
    <x v="2"/>
  </r>
  <r>
    <x v="3"/>
    <d v="2009-01-06T00:00:00"/>
    <n v="2009"/>
    <x v="185"/>
    <x v="0"/>
    <x v="0"/>
    <n v="1200"/>
    <x v="1"/>
    <s v="Frank"/>
    <s v="Melbourne"/>
    <x v="54"/>
    <x v="3"/>
  </r>
  <r>
    <x v="11"/>
    <d v="2009-01-11T00:00:00"/>
    <n v="2009"/>
    <x v="218"/>
    <x v="0"/>
    <x v="0"/>
    <n v="1200"/>
    <x v="0"/>
    <s v="chris"/>
    <s v="Gold Coast"/>
    <x v="54"/>
    <x v="1"/>
  </r>
  <r>
    <x v="10"/>
    <d v="2009-01-12T00:00:00"/>
    <n v="2009"/>
    <x v="526"/>
    <x v="0"/>
    <x v="0"/>
    <n v="1200"/>
    <x v="0"/>
    <s v="IMAN"/>
    <s v="Brisbane"/>
    <x v="54"/>
    <x v="2"/>
  </r>
  <r>
    <x v="1"/>
    <d v="2009-01-04T00:00:00"/>
    <n v="2009"/>
    <x v="388"/>
    <x v="0"/>
    <x v="0"/>
    <n v="1200"/>
    <x v="2"/>
    <s v="jeremy"/>
    <s v="Charlestown"/>
    <x v="54"/>
    <x v="1"/>
  </r>
  <r>
    <x v="19"/>
    <d v="2009-01-20T00:00:00"/>
    <n v="2009"/>
    <x v="441"/>
    <x v="0"/>
    <x v="0"/>
    <n v="1200"/>
    <x v="0"/>
    <s v="Elizabeth"/>
    <s v="The Grange"/>
    <x v="54"/>
    <x v="3"/>
  </r>
  <r>
    <x v="8"/>
    <d v="2009-01-09T00:00:00"/>
    <n v="2009"/>
    <x v="527"/>
    <x v="0"/>
    <x v="0"/>
    <n v="1200"/>
    <x v="0"/>
    <s v="Bob"/>
    <s v="Sydney"/>
    <x v="54"/>
    <x v="0"/>
  </r>
  <r>
    <x v="15"/>
    <d v="2009-01-16T00:00:00"/>
    <n v="2009"/>
    <x v="528"/>
    <x v="0"/>
    <x v="0"/>
    <n v="1200"/>
    <x v="0"/>
    <s v="Elizabeth"/>
    <s v="Wollongong"/>
    <x v="54"/>
    <x v="0"/>
  </r>
  <r>
    <x v="0"/>
    <d v="2009-01-02T00:00:00"/>
    <n v="2009"/>
    <x v="529"/>
    <x v="0"/>
    <x v="0"/>
    <n v="1200"/>
    <x v="1"/>
    <s v="Morgan"/>
    <s v="Coomera"/>
    <x v="54"/>
    <x v="0"/>
  </r>
  <r>
    <x v="11"/>
    <d v="2009-01-11T00:00:00"/>
    <n v="2009"/>
    <x v="136"/>
    <x v="0"/>
    <x v="1"/>
    <n v="200000"/>
    <x v="0"/>
    <s v="STEPHANIE"/>
    <s v="Mona Vale"/>
    <x v="54"/>
    <x v="1"/>
  </r>
  <r>
    <x v="5"/>
    <d v="2009-01-07T00:00:00"/>
    <n v="2009"/>
    <x v="530"/>
    <x v="0"/>
    <x v="0"/>
    <n v="1200"/>
    <x v="1"/>
    <s v="Emma"/>
    <s v="Sydney"/>
    <x v="54"/>
    <x v="5"/>
  </r>
  <r>
    <x v="17"/>
    <d v="2009-01-18T00:00:00"/>
    <n v="2009"/>
    <x v="531"/>
    <x v="0"/>
    <x v="0"/>
    <n v="1200"/>
    <x v="0"/>
    <s v="Marina"/>
    <s v="Nerang"/>
    <x v="54"/>
    <x v="1"/>
  </r>
  <r>
    <x v="4"/>
    <d v="2009-01-01T00:00:00"/>
    <n v="2009"/>
    <x v="3"/>
    <x v="0"/>
    <x v="0"/>
    <n v="1200"/>
    <x v="1"/>
    <s v="Nicole"/>
    <s v="South Melbourne"/>
    <x v="54"/>
    <x v="4"/>
  </r>
  <r>
    <x v="29"/>
    <d v="2009-01-30T00:00:00"/>
    <n v="2009"/>
    <x v="58"/>
    <x v="0"/>
    <x v="0"/>
    <n v="1200"/>
    <x v="0"/>
    <s v="nina"/>
    <s v="Warwick"/>
    <x v="54"/>
    <x v="0"/>
  </r>
  <r>
    <x v="1"/>
    <d v="2009-01-04T00:00:00"/>
    <n v="2009"/>
    <x v="532"/>
    <x v="0"/>
    <x v="0"/>
    <n v="1200"/>
    <x v="0"/>
    <s v="Amy"/>
    <s v="Parramatta"/>
    <x v="54"/>
    <x v="1"/>
  </r>
  <r>
    <x v="0"/>
    <d v="2009-01-02T00:00:00"/>
    <n v="2009"/>
    <x v="50"/>
    <x v="0"/>
    <x v="1"/>
    <n v="200000"/>
    <x v="0"/>
    <s v="eva"/>
    <s v="Gisborne"/>
    <x v="54"/>
    <x v="0"/>
  </r>
  <r>
    <x v="24"/>
    <d v="2009-01-26T00:00:00"/>
    <n v="2009"/>
    <x v="510"/>
    <x v="0"/>
    <x v="0"/>
    <n v="1200"/>
    <x v="1"/>
    <s v="John"/>
    <s v="Griffith"/>
    <x v="54"/>
    <x v="2"/>
  </r>
  <r>
    <x v="6"/>
    <d v="2009-01-08T00:00:00"/>
    <n v="2009"/>
    <x v="511"/>
    <x v="0"/>
    <x v="0"/>
    <n v="1200"/>
    <x v="0"/>
    <s v="Jacob"/>
    <s v="Lindfield"/>
    <x v="54"/>
    <x v="4"/>
  </r>
  <r>
    <x v="25"/>
    <d v="2009-01-24T00:00:00"/>
    <n v="2009"/>
    <x v="403"/>
    <x v="0"/>
    <x v="0"/>
    <n v="1200"/>
    <x v="0"/>
    <s v="Ruangrote"/>
    <s v="Melbourne"/>
    <x v="54"/>
    <x v="6"/>
  </r>
  <r>
    <x v="13"/>
    <d v="2009-01-14T00:00:00"/>
    <n v="2009"/>
    <x v="224"/>
    <x v="0"/>
    <x v="0"/>
    <n v="1200"/>
    <x v="0"/>
    <s v="Eric"/>
    <s v="Melbourne"/>
    <x v="54"/>
    <x v="5"/>
  </r>
  <r>
    <x v="30"/>
    <d v="2009-01-31T00:00:00"/>
    <n v="2009"/>
    <x v="520"/>
    <x v="0"/>
    <x v="0"/>
    <n v="1200"/>
    <x v="2"/>
    <s v="Dawn"/>
    <s v="Vaucluse"/>
    <x v="54"/>
    <x v="6"/>
  </r>
  <r>
    <x v="25"/>
    <d v="2009-01-24T00:00:00"/>
    <n v="2009"/>
    <x v="32"/>
    <x v="0"/>
    <x v="0"/>
    <n v="1200"/>
    <x v="0"/>
    <s v="Michelle"/>
    <s v="Lyndoch"/>
    <x v="54"/>
    <x v="6"/>
  </r>
  <r>
    <x v="10"/>
    <d v="2009-01-12T00:00:00"/>
    <n v="2009"/>
    <x v="52"/>
    <x v="0"/>
    <x v="0"/>
    <n v="1200"/>
    <x v="0"/>
    <s v="Lisa"/>
    <s v="Perth"/>
    <x v="54"/>
    <x v="2"/>
  </r>
  <r>
    <x v="4"/>
    <d v="2009-01-01T00:00:00"/>
    <n v="2009"/>
    <x v="333"/>
    <x v="0"/>
    <x v="0"/>
    <n v="1200"/>
    <x v="1"/>
    <s v="Tina"/>
    <s v="Anglesea"/>
    <x v="54"/>
    <x v="4"/>
  </r>
  <r>
    <x v="21"/>
    <d v="2009-01-22T00:00:00"/>
    <n v="2009"/>
    <x v="371"/>
    <x v="0"/>
    <x v="0"/>
    <n v="1200"/>
    <x v="0"/>
    <s v="Sara"/>
    <s v="Perth City"/>
    <x v="54"/>
    <x v="4"/>
  </r>
  <r>
    <x v="22"/>
    <d v="2009-01-23T00:00:00"/>
    <n v="2009"/>
    <x v="364"/>
    <x v="0"/>
    <x v="0"/>
    <n v="1200"/>
    <x v="0"/>
    <s v="Ellen Walton"/>
    <s v="Melbourne"/>
    <x v="54"/>
    <x v="0"/>
  </r>
  <r>
    <x v="7"/>
    <d v="2009-01-03T00:00:00"/>
    <n v="2009"/>
    <x v="484"/>
    <x v="0"/>
    <x v="1"/>
    <n v="200000"/>
    <x v="0"/>
    <s v="Kees en Valesca"/>
    <s v="Scamander"/>
    <x v="54"/>
    <x v="6"/>
  </r>
  <r>
    <x v="1"/>
    <d v="2009-01-04T00:00:00"/>
    <n v="2009"/>
    <x v="533"/>
    <x v="0"/>
    <x v="0"/>
    <n v="1200"/>
    <x v="1"/>
    <s v="Dean"/>
    <s v="Rockingham"/>
    <x v="54"/>
    <x v="1"/>
  </r>
  <r>
    <x v="18"/>
    <d v="2009-01-19T00:00:00"/>
    <n v="2009"/>
    <x v="402"/>
    <x v="0"/>
    <x v="0"/>
    <n v="1200"/>
    <x v="2"/>
    <s v="Kirsten"/>
    <s v="Melbourne"/>
    <x v="54"/>
    <x v="2"/>
  </r>
  <r>
    <x v="13"/>
    <d v="2009-01-14T00:00:00"/>
    <n v="2009"/>
    <x v="519"/>
    <x v="1"/>
    <x v="1"/>
    <n v="200000"/>
    <x v="1"/>
    <s v="Piret"/>
    <s v="Bunbury"/>
    <x v="54"/>
    <x v="5"/>
  </r>
  <r>
    <x v="19"/>
    <d v="2009-01-20T00:00:00"/>
    <n v="2009"/>
    <x v="407"/>
    <x v="0"/>
    <x v="0"/>
    <n v="1200"/>
    <x v="1"/>
    <s v="Elisabeth"/>
    <s v="Birkdale"/>
    <x v="54"/>
    <x v="3"/>
  </r>
  <r>
    <x v="22"/>
    <d v="2009-01-23T00:00:00"/>
    <n v="2009"/>
    <x v="202"/>
    <x v="0"/>
    <x v="0"/>
    <n v="1200"/>
    <x v="0"/>
    <s v="Ann"/>
    <s v="Brisbane"/>
    <x v="54"/>
    <x v="0"/>
  </r>
  <r>
    <x v="3"/>
    <d v="2009-01-06T00:00:00"/>
    <n v="2009"/>
    <x v="101"/>
    <x v="0"/>
    <x v="0"/>
    <n v="1200"/>
    <x v="0"/>
    <s v="Polyxene"/>
    <s v="Perth"/>
    <x v="54"/>
    <x v="3"/>
  </r>
  <r>
    <x v="0"/>
    <d v="2009-01-02T00:00:00"/>
    <n v="2009"/>
    <x v="93"/>
    <x v="0"/>
    <x v="1"/>
    <n v="200000"/>
    <x v="2"/>
    <s v="clara"/>
    <s v="Perth"/>
    <x v="54"/>
    <x v="0"/>
  </r>
  <r>
    <x v="1"/>
    <d v="2009-01-04T00:00:00"/>
    <n v="2009"/>
    <x v="308"/>
    <x v="0"/>
    <x v="0"/>
    <n v="1200"/>
    <x v="1"/>
    <s v="KELI"/>
    <s v="Worongary"/>
    <x v="54"/>
    <x v="1"/>
  </r>
  <r>
    <x v="22"/>
    <d v="2009-01-23T00:00:00"/>
    <n v="2009"/>
    <x v="13"/>
    <x v="1"/>
    <x v="1"/>
    <n v="200000"/>
    <x v="1"/>
    <s v="Anke"/>
    <s v="Avalon"/>
    <x v="54"/>
    <x v="0"/>
  </r>
  <r>
    <x v="5"/>
    <d v="2009-01-07T00:00:00"/>
    <n v="2009"/>
    <x v="534"/>
    <x v="0"/>
    <x v="1"/>
    <n v="200000"/>
    <x v="1"/>
    <s v="TRICIA"/>
    <s v="Sydney"/>
    <x v="54"/>
    <x v="5"/>
  </r>
  <r>
    <x v="23"/>
    <d v="2009-01-25T00:00:00"/>
    <n v="2009"/>
    <x v="456"/>
    <x v="0"/>
    <x v="0"/>
    <n v="1200"/>
    <x v="2"/>
    <s v="pamela"/>
    <s v="Ayacucho"/>
    <x v="5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845220-3296-415D-9566-D4B6B2291E3A}"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3:A5" firstHeaderRow="1" firstDataRow="1" firstDataCol="1"/>
  <pivotFields count="14">
    <pivotField compact="0" outline="0" showAll="0"/>
    <pivotField compact="0" numFmtId="165" outline="0" showAll="0"/>
    <pivotField compact="0" outline="0" showAll="0"/>
    <pivotField compact="0" numFmtId="166" outline="0" showAll="0">
      <items count="536">
        <item x="406"/>
        <item x="509"/>
        <item x="462"/>
        <item x="132"/>
        <item x="165"/>
        <item x="1"/>
        <item x="413"/>
        <item x="483"/>
        <item x="482"/>
        <item x="220"/>
        <item x="424"/>
        <item x="419"/>
        <item x="138"/>
        <item x="440"/>
        <item x="179"/>
        <item x="185"/>
        <item x="460"/>
        <item x="258"/>
        <item x="485"/>
        <item x="307"/>
        <item x="30"/>
        <item x="231"/>
        <item x="374"/>
        <item x="292"/>
        <item x="450"/>
        <item x="498"/>
        <item x="291"/>
        <item x="372"/>
        <item x="526"/>
        <item x="388"/>
        <item x="267"/>
        <item x="454"/>
        <item x="469"/>
        <item x="521"/>
        <item x="161"/>
        <item x="89"/>
        <item x="412"/>
        <item x="426"/>
        <item x="402"/>
        <item x="427"/>
        <item x="407"/>
        <item x="298"/>
        <item x="40"/>
        <item x="439"/>
        <item x="400"/>
        <item x="126"/>
        <item x="61"/>
        <item x="218"/>
        <item x="421"/>
        <item x="106"/>
        <item x="182"/>
        <item x="522"/>
        <item x="430"/>
        <item x="479"/>
        <item x="239"/>
        <item x="104"/>
        <item x="67"/>
        <item x="484"/>
        <item x="7"/>
        <item x="502"/>
        <item x="411"/>
        <item x="432"/>
        <item x="10"/>
        <item x="394"/>
        <item x="147"/>
        <item x="389"/>
        <item x="529"/>
        <item x="371"/>
        <item x="525"/>
        <item x="261"/>
        <item x="414"/>
        <item x="230"/>
        <item x="444"/>
        <item x="122"/>
        <item x="44"/>
        <item x="101"/>
        <item x="4"/>
        <item x="438"/>
        <item x="408"/>
        <item x="380"/>
        <item x="466"/>
        <item x="420"/>
        <item x="416"/>
        <item x="190"/>
        <item x="527"/>
        <item x="129"/>
        <item x="111"/>
        <item x="28"/>
        <item x="316"/>
        <item x="275"/>
        <item x="228"/>
        <item x="124"/>
        <item x="37"/>
        <item x="505"/>
        <item x="172"/>
        <item x="312"/>
        <item x="354"/>
        <item x="23"/>
        <item x="467"/>
        <item x="390"/>
        <item x="15"/>
        <item x="131"/>
        <item x="384"/>
        <item x="300"/>
        <item x="207"/>
        <item x="375"/>
        <item x="169"/>
        <item x="32"/>
        <item x="367"/>
        <item x="105"/>
        <item x="149"/>
        <item x="378"/>
        <item x="443"/>
        <item x="350"/>
        <item x="119"/>
        <item x="329"/>
        <item x="487"/>
        <item x="296"/>
        <item x="45"/>
        <item x="53"/>
        <item x="448"/>
        <item x="276"/>
        <item x="137"/>
        <item x="410"/>
        <item x="531"/>
        <item x="464"/>
        <item x="222"/>
        <item x="481"/>
        <item x="441"/>
        <item x="418"/>
        <item x="14"/>
        <item x="234"/>
        <item x="348"/>
        <item x="359"/>
        <item x="369"/>
        <item x="164"/>
        <item x="278"/>
        <item x="431"/>
        <item x="474"/>
        <item x="381"/>
        <item x="193"/>
        <item x="204"/>
        <item x="87"/>
        <item x="233"/>
        <item x="47"/>
        <item x="429"/>
        <item x="302"/>
        <item x="246"/>
        <item x="357"/>
        <item x="437"/>
        <item x="64"/>
        <item x="305"/>
        <item x="18"/>
        <item x="226"/>
        <item x="140"/>
        <item x="73"/>
        <item x="386"/>
        <item x="434"/>
        <item x="130"/>
        <item x="352"/>
        <item x="227"/>
        <item x="323"/>
        <item x="362"/>
        <item x="488"/>
        <item x="463"/>
        <item x="241"/>
        <item x="78"/>
        <item x="285"/>
        <item x="0"/>
        <item x="39"/>
        <item x="88"/>
        <item x="282"/>
        <item x="145"/>
        <item x="532"/>
        <item x="229"/>
        <item x="66"/>
        <item x="74"/>
        <item x="249"/>
        <item x="480"/>
        <item x="472"/>
        <item x="363"/>
        <item x="376"/>
        <item x="417"/>
        <item x="293"/>
        <item x="364"/>
        <item x="425"/>
        <item x="295"/>
        <item x="325"/>
        <item x="75"/>
        <item x="46"/>
        <item x="518"/>
        <item x="93"/>
        <item x="65"/>
        <item x="216"/>
        <item x="167"/>
        <item x="58"/>
        <item x="533"/>
        <item x="451"/>
        <item x="326"/>
        <item x="76"/>
        <item x="321"/>
        <item x="57"/>
        <item x="256"/>
        <item x="166"/>
        <item x="86"/>
        <item x="90"/>
        <item x="286"/>
        <item x="355"/>
        <item x="141"/>
        <item x="288"/>
        <item x="383"/>
        <item x="160"/>
        <item x="336"/>
        <item x="289"/>
        <item x="456"/>
        <item x="203"/>
        <item x="248"/>
        <item x="208"/>
        <item x="244"/>
        <item x="94"/>
        <item x="477"/>
        <item x="279"/>
        <item x="399"/>
        <item x="266"/>
        <item x="168"/>
        <item x="186"/>
        <item x="317"/>
        <item x="339"/>
        <item x="297"/>
        <item x="34"/>
        <item x="318"/>
        <item x="342"/>
        <item x="346"/>
        <item x="31"/>
        <item x="304"/>
        <item x="82"/>
        <item x="459"/>
        <item x="163"/>
        <item x="144"/>
        <item x="242"/>
        <item x="108"/>
        <item x="457"/>
        <item x="403"/>
        <item x="523"/>
        <item x="72"/>
        <item x="283"/>
        <item x="150"/>
        <item x="224"/>
        <item x="528"/>
        <item x="415"/>
        <item x="306"/>
        <item x="19"/>
        <item x="524"/>
        <item x="114"/>
        <item x="143"/>
        <item x="133"/>
        <item x="465"/>
        <item x="265"/>
        <item x="476"/>
        <item x="382"/>
        <item x="274"/>
        <item x="79"/>
        <item x="177"/>
        <item x="243"/>
        <item x="250"/>
        <item x="308"/>
        <item x="83"/>
        <item x="125"/>
        <item x="301"/>
        <item x="213"/>
        <item x="107"/>
        <item x="146"/>
        <item x="110"/>
        <item x="273"/>
        <item x="269"/>
        <item x="196"/>
        <item x="309"/>
        <item x="187"/>
        <item x="9"/>
        <item x="287"/>
        <item x="99"/>
        <item x="55"/>
        <item x="181"/>
        <item x="123"/>
        <item x="504"/>
        <item x="320"/>
        <item x="238"/>
        <item x="212"/>
        <item x="327"/>
        <item x="152"/>
        <item x="42"/>
        <item x="8"/>
        <item x="81"/>
        <item x="43"/>
        <item x="478"/>
        <item x="191"/>
        <item x="221"/>
        <item x="63"/>
        <item x="22"/>
        <item x="347"/>
        <item x="17"/>
        <item x="98"/>
        <item x="534"/>
        <item x="153"/>
        <item x="36"/>
        <item x="70"/>
        <item x="335"/>
        <item x="461"/>
        <item x="445"/>
        <item x="121"/>
        <item x="290"/>
        <item x="259"/>
        <item x="493"/>
        <item x="507"/>
        <item x="210"/>
        <item x="84"/>
        <item x="11"/>
        <item x="3"/>
        <item x="85"/>
        <item x="148"/>
        <item x="209"/>
        <item x="103"/>
        <item x="120"/>
        <item x="24"/>
        <item x="142"/>
        <item x="510"/>
        <item x="365"/>
        <item x="12"/>
        <item x="496"/>
        <item x="116"/>
        <item x="513"/>
        <item x="245"/>
        <item x="223"/>
        <item x="268"/>
        <item x="356"/>
        <item x="471"/>
        <item x="497"/>
        <item x="100"/>
        <item x="118"/>
        <item x="512"/>
        <item x="180"/>
        <item x="341"/>
        <item x="495"/>
        <item x="328"/>
        <item x="206"/>
        <item x="194"/>
        <item x="270"/>
        <item x="396"/>
        <item x="251"/>
        <item x="387"/>
        <item x="272"/>
        <item x="117"/>
        <item x="195"/>
        <item x="211"/>
        <item x="332"/>
        <item x="159"/>
        <item x="310"/>
        <item x="134"/>
        <item x="59"/>
        <item x="236"/>
        <item x="358"/>
        <item x="501"/>
        <item x="16"/>
        <item x="71"/>
        <item x="199"/>
        <item x="508"/>
        <item x="263"/>
        <item x="49"/>
        <item x="215"/>
        <item x="311"/>
        <item x="499"/>
        <item x="435"/>
        <item x="515"/>
        <item x="5"/>
        <item x="455"/>
        <item x="343"/>
        <item x="360"/>
        <item x="115"/>
        <item x="252"/>
        <item x="391"/>
        <item x="393"/>
        <item x="345"/>
        <item x="175"/>
        <item x="338"/>
        <item x="257"/>
        <item x="202"/>
        <item x="198"/>
        <item x="492"/>
        <item x="494"/>
        <item x="333"/>
        <item x="192"/>
        <item x="254"/>
        <item x="473"/>
        <item x="240"/>
        <item x="385"/>
        <item x="313"/>
        <item x="219"/>
        <item x="503"/>
        <item x="128"/>
        <item x="514"/>
        <item x="135"/>
        <item x="506"/>
        <item x="56"/>
        <item x="184"/>
        <item x="189"/>
        <item x="33"/>
        <item x="29"/>
        <item x="262"/>
        <item x="530"/>
        <item x="344"/>
        <item x="405"/>
        <item x="475"/>
        <item x="280"/>
        <item x="6"/>
        <item x="171"/>
        <item x="25"/>
        <item x="377"/>
        <item x="517"/>
        <item x="173"/>
        <item x="315"/>
        <item x="20"/>
        <item x="136"/>
        <item x="368"/>
        <item x="349"/>
        <item x="205"/>
        <item x="516"/>
        <item x="324"/>
        <item x="112"/>
        <item x="322"/>
        <item x="176"/>
        <item x="232"/>
        <item x="277"/>
        <item x="154"/>
        <item x="247"/>
        <item x="217"/>
        <item x="96"/>
        <item x="50"/>
        <item x="271"/>
        <item x="436"/>
        <item x="48"/>
        <item x="162"/>
        <item x="340"/>
        <item x="433"/>
        <item x="92"/>
        <item x="486"/>
        <item x="294"/>
        <item x="21"/>
        <item x="423"/>
        <item x="334"/>
        <item x="188"/>
        <item x="91"/>
        <item x="54"/>
        <item x="520"/>
        <item x="428"/>
        <item x="353"/>
        <item x="183"/>
        <item x="422"/>
        <item x="80"/>
        <item x="264"/>
        <item x="225"/>
        <item x="77"/>
        <item x="235"/>
        <item x="331"/>
        <item x="330"/>
        <item x="38"/>
        <item x="139"/>
        <item x="366"/>
        <item x="214"/>
        <item x="351"/>
        <item x="52"/>
        <item x="361"/>
        <item x="95"/>
        <item x="178"/>
        <item x="511"/>
        <item x="35"/>
        <item x="373"/>
        <item x="284"/>
        <item x="491"/>
        <item x="392"/>
        <item x="299"/>
        <item x="201"/>
        <item x="409"/>
        <item x="68"/>
        <item x="200"/>
        <item x="395"/>
        <item x="41"/>
        <item x="109"/>
        <item x="314"/>
        <item x="470"/>
        <item x="519"/>
        <item x="69"/>
        <item x="27"/>
        <item x="453"/>
        <item x="157"/>
        <item x="113"/>
        <item x="127"/>
        <item x="319"/>
        <item x="401"/>
        <item x="446"/>
        <item x="449"/>
        <item x="155"/>
        <item x="489"/>
        <item x="255"/>
        <item x="60"/>
        <item x="452"/>
        <item x="174"/>
        <item x="447"/>
        <item x="404"/>
        <item x="253"/>
        <item x="442"/>
        <item x="170"/>
        <item x="156"/>
        <item x="260"/>
        <item x="51"/>
        <item x="97"/>
        <item x="281"/>
        <item x="62"/>
        <item x="398"/>
        <item x="458"/>
        <item x="151"/>
        <item x="197"/>
        <item x="13"/>
        <item x="303"/>
        <item x="102"/>
        <item x="468"/>
        <item x="370"/>
        <item x="500"/>
        <item x="397"/>
        <item x="490"/>
        <item x="379"/>
        <item x="337"/>
        <item x="158"/>
        <item x="2"/>
        <item x="26"/>
        <item x="237"/>
        <item t="default"/>
      </items>
    </pivotField>
    <pivotField axis="axisRow" compact="0" outline="0" showAll="0">
      <items count="3">
        <item x="0"/>
        <item x="1"/>
        <item t="default"/>
      </items>
    </pivotField>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showAll="0"/>
    <pivotField compact="0" numFmtId="164" outline="0" showAll="0">
      <items count="8">
        <item x="1"/>
        <item x="2"/>
        <item x="3"/>
        <item x="5"/>
        <item x="4"/>
        <item x="0"/>
        <item x="6"/>
        <item t="default"/>
      </items>
    </pivotField>
    <pivotField compact="0"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compact="0" outline="0"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4"/>
  </rowFields>
  <rowItems count="2">
    <i>
      <x/>
    </i>
    <i>
      <x v="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DCEA78E-1E57-446F-B07B-9E0CB381B153}" name="PivotTable1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76:F77" firstHeaderRow="1" firstDataRow="1" firstDataCol="0"/>
  <pivotFields count="14">
    <pivotField showAll="0"/>
    <pivotField numFmtId="165" showAll="0"/>
    <pivotField showAll="0"/>
    <pivotField numFmtId="166" showAll="0">
      <items count="536">
        <item x="406"/>
        <item x="509"/>
        <item x="462"/>
        <item x="132"/>
        <item x="165"/>
        <item x="1"/>
        <item x="413"/>
        <item x="483"/>
        <item x="482"/>
        <item x="220"/>
        <item x="424"/>
        <item x="419"/>
        <item x="138"/>
        <item x="440"/>
        <item x="179"/>
        <item x="185"/>
        <item x="460"/>
        <item x="258"/>
        <item x="485"/>
        <item x="307"/>
        <item x="30"/>
        <item x="231"/>
        <item x="374"/>
        <item x="292"/>
        <item x="450"/>
        <item x="498"/>
        <item x="291"/>
        <item x="372"/>
        <item x="526"/>
        <item x="388"/>
        <item x="267"/>
        <item x="454"/>
        <item x="469"/>
        <item x="521"/>
        <item x="161"/>
        <item x="89"/>
        <item x="412"/>
        <item x="426"/>
        <item x="402"/>
        <item x="427"/>
        <item x="407"/>
        <item x="298"/>
        <item x="40"/>
        <item x="439"/>
        <item x="400"/>
        <item x="126"/>
        <item x="61"/>
        <item x="218"/>
        <item x="421"/>
        <item x="106"/>
        <item x="182"/>
        <item x="522"/>
        <item x="430"/>
        <item x="479"/>
        <item x="239"/>
        <item x="104"/>
        <item x="67"/>
        <item x="484"/>
        <item x="7"/>
        <item x="502"/>
        <item x="411"/>
        <item x="432"/>
        <item x="10"/>
        <item x="394"/>
        <item x="147"/>
        <item x="389"/>
        <item x="529"/>
        <item x="371"/>
        <item x="525"/>
        <item x="261"/>
        <item x="414"/>
        <item x="230"/>
        <item x="444"/>
        <item x="122"/>
        <item x="44"/>
        <item x="101"/>
        <item x="4"/>
        <item x="438"/>
        <item x="408"/>
        <item x="380"/>
        <item x="466"/>
        <item x="420"/>
        <item x="416"/>
        <item x="190"/>
        <item x="527"/>
        <item x="129"/>
        <item x="111"/>
        <item x="28"/>
        <item x="316"/>
        <item x="275"/>
        <item x="228"/>
        <item x="124"/>
        <item x="37"/>
        <item x="505"/>
        <item x="172"/>
        <item x="312"/>
        <item x="354"/>
        <item x="23"/>
        <item x="467"/>
        <item x="390"/>
        <item x="15"/>
        <item x="131"/>
        <item x="384"/>
        <item x="300"/>
        <item x="207"/>
        <item x="375"/>
        <item x="169"/>
        <item x="32"/>
        <item x="367"/>
        <item x="105"/>
        <item x="149"/>
        <item x="378"/>
        <item x="443"/>
        <item x="350"/>
        <item x="119"/>
        <item x="329"/>
        <item x="487"/>
        <item x="296"/>
        <item x="45"/>
        <item x="53"/>
        <item x="448"/>
        <item x="276"/>
        <item x="137"/>
        <item x="410"/>
        <item x="531"/>
        <item x="464"/>
        <item x="222"/>
        <item x="481"/>
        <item x="441"/>
        <item x="418"/>
        <item x="14"/>
        <item x="234"/>
        <item x="348"/>
        <item x="359"/>
        <item x="369"/>
        <item x="164"/>
        <item x="278"/>
        <item x="431"/>
        <item x="474"/>
        <item x="381"/>
        <item x="193"/>
        <item x="204"/>
        <item x="87"/>
        <item x="233"/>
        <item x="47"/>
        <item x="429"/>
        <item x="302"/>
        <item x="246"/>
        <item x="357"/>
        <item x="437"/>
        <item x="64"/>
        <item x="305"/>
        <item x="18"/>
        <item x="226"/>
        <item x="140"/>
        <item x="73"/>
        <item x="386"/>
        <item x="434"/>
        <item x="130"/>
        <item x="352"/>
        <item x="227"/>
        <item x="323"/>
        <item x="362"/>
        <item x="488"/>
        <item x="463"/>
        <item x="241"/>
        <item x="78"/>
        <item x="285"/>
        <item x="0"/>
        <item x="39"/>
        <item x="88"/>
        <item x="282"/>
        <item x="145"/>
        <item x="532"/>
        <item x="229"/>
        <item x="66"/>
        <item x="74"/>
        <item x="249"/>
        <item x="480"/>
        <item x="472"/>
        <item x="363"/>
        <item x="376"/>
        <item x="417"/>
        <item x="293"/>
        <item x="364"/>
        <item x="425"/>
        <item x="295"/>
        <item x="325"/>
        <item x="75"/>
        <item x="46"/>
        <item x="518"/>
        <item x="93"/>
        <item x="65"/>
        <item x="216"/>
        <item x="167"/>
        <item x="58"/>
        <item x="533"/>
        <item x="451"/>
        <item x="326"/>
        <item x="76"/>
        <item x="321"/>
        <item x="57"/>
        <item x="256"/>
        <item x="166"/>
        <item x="86"/>
        <item x="90"/>
        <item x="286"/>
        <item x="355"/>
        <item x="141"/>
        <item x="288"/>
        <item x="383"/>
        <item x="160"/>
        <item x="336"/>
        <item x="289"/>
        <item x="456"/>
        <item x="203"/>
        <item x="248"/>
        <item x="208"/>
        <item x="244"/>
        <item x="94"/>
        <item x="477"/>
        <item x="279"/>
        <item x="399"/>
        <item x="266"/>
        <item x="168"/>
        <item x="186"/>
        <item x="317"/>
        <item x="339"/>
        <item x="297"/>
        <item x="34"/>
        <item x="318"/>
        <item x="342"/>
        <item x="346"/>
        <item x="31"/>
        <item x="304"/>
        <item x="82"/>
        <item x="459"/>
        <item x="163"/>
        <item x="144"/>
        <item x="242"/>
        <item x="108"/>
        <item x="457"/>
        <item x="403"/>
        <item x="523"/>
        <item x="72"/>
        <item x="283"/>
        <item x="150"/>
        <item x="224"/>
        <item x="528"/>
        <item x="415"/>
        <item x="306"/>
        <item x="19"/>
        <item x="524"/>
        <item x="114"/>
        <item x="143"/>
        <item x="133"/>
        <item x="465"/>
        <item x="265"/>
        <item x="476"/>
        <item x="382"/>
        <item x="274"/>
        <item x="79"/>
        <item x="177"/>
        <item x="243"/>
        <item x="250"/>
        <item x="308"/>
        <item x="83"/>
        <item x="125"/>
        <item x="301"/>
        <item x="213"/>
        <item x="107"/>
        <item x="146"/>
        <item x="110"/>
        <item x="273"/>
        <item x="269"/>
        <item x="196"/>
        <item x="309"/>
        <item x="187"/>
        <item x="9"/>
        <item x="287"/>
        <item x="99"/>
        <item x="55"/>
        <item x="181"/>
        <item x="123"/>
        <item x="504"/>
        <item x="320"/>
        <item x="238"/>
        <item x="212"/>
        <item x="327"/>
        <item x="152"/>
        <item x="42"/>
        <item x="8"/>
        <item x="81"/>
        <item x="43"/>
        <item x="478"/>
        <item x="191"/>
        <item x="221"/>
        <item x="63"/>
        <item x="22"/>
        <item x="347"/>
        <item x="17"/>
        <item x="98"/>
        <item x="534"/>
        <item x="153"/>
        <item x="36"/>
        <item x="70"/>
        <item x="335"/>
        <item x="461"/>
        <item x="445"/>
        <item x="121"/>
        <item x="290"/>
        <item x="259"/>
        <item x="493"/>
        <item x="507"/>
        <item x="210"/>
        <item x="84"/>
        <item x="11"/>
        <item x="3"/>
        <item x="85"/>
        <item x="148"/>
        <item x="209"/>
        <item x="103"/>
        <item x="120"/>
        <item x="24"/>
        <item x="142"/>
        <item x="510"/>
        <item x="365"/>
        <item x="12"/>
        <item x="496"/>
        <item x="116"/>
        <item x="513"/>
        <item x="245"/>
        <item x="223"/>
        <item x="268"/>
        <item x="356"/>
        <item x="471"/>
        <item x="497"/>
        <item x="100"/>
        <item x="118"/>
        <item x="512"/>
        <item x="180"/>
        <item x="341"/>
        <item x="495"/>
        <item x="328"/>
        <item x="206"/>
        <item x="194"/>
        <item x="270"/>
        <item x="396"/>
        <item x="251"/>
        <item x="387"/>
        <item x="272"/>
        <item x="117"/>
        <item x="195"/>
        <item x="211"/>
        <item x="332"/>
        <item x="159"/>
        <item x="310"/>
        <item x="134"/>
        <item x="59"/>
        <item x="236"/>
        <item x="358"/>
        <item x="501"/>
        <item x="16"/>
        <item x="71"/>
        <item x="199"/>
        <item x="508"/>
        <item x="263"/>
        <item x="49"/>
        <item x="215"/>
        <item x="311"/>
        <item x="499"/>
        <item x="435"/>
        <item x="515"/>
        <item x="5"/>
        <item x="455"/>
        <item x="343"/>
        <item x="360"/>
        <item x="115"/>
        <item x="252"/>
        <item x="391"/>
        <item x="393"/>
        <item x="345"/>
        <item x="175"/>
        <item x="338"/>
        <item x="257"/>
        <item x="202"/>
        <item x="198"/>
        <item x="492"/>
        <item x="494"/>
        <item x="333"/>
        <item x="192"/>
        <item x="254"/>
        <item x="473"/>
        <item x="240"/>
        <item x="385"/>
        <item x="313"/>
        <item x="219"/>
        <item x="503"/>
        <item x="128"/>
        <item x="514"/>
        <item x="135"/>
        <item x="506"/>
        <item x="56"/>
        <item x="184"/>
        <item x="189"/>
        <item x="33"/>
        <item x="29"/>
        <item x="262"/>
        <item x="530"/>
        <item x="344"/>
        <item x="405"/>
        <item x="475"/>
        <item x="280"/>
        <item x="6"/>
        <item x="171"/>
        <item x="25"/>
        <item x="377"/>
        <item x="517"/>
        <item x="173"/>
        <item x="315"/>
        <item x="20"/>
        <item x="136"/>
        <item x="368"/>
        <item x="349"/>
        <item x="205"/>
        <item x="516"/>
        <item x="324"/>
        <item x="112"/>
        <item x="322"/>
        <item x="176"/>
        <item x="232"/>
        <item x="277"/>
        <item x="154"/>
        <item x="247"/>
        <item x="217"/>
        <item x="96"/>
        <item x="50"/>
        <item x="271"/>
        <item x="436"/>
        <item x="48"/>
        <item x="162"/>
        <item x="340"/>
        <item x="433"/>
        <item x="92"/>
        <item x="486"/>
        <item x="294"/>
        <item x="21"/>
        <item x="423"/>
        <item x="334"/>
        <item x="188"/>
        <item x="91"/>
        <item x="54"/>
        <item x="520"/>
        <item x="428"/>
        <item x="353"/>
        <item x="183"/>
        <item x="422"/>
        <item x="80"/>
        <item x="264"/>
        <item x="225"/>
        <item x="77"/>
        <item x="235"/>
        <item x="331"/>
        <item x="330"/>
        <item x="38"/>
        <item x="139"/>
        <item x="366"/>
        <item x="214"/>
        <item x="351"/>
        <item x="52"/>
        <item x="361"/>
        <item x="95"/>
        <item x="178"/>
        <item x="511"/>
        <item x="35"/>
        <item x="373"/>
        <item x="284"/>
        <item x="491"/>
        <item x="392"/>
        <item x="299"/>
        <item x="201"/>
        <item x="409"/>
        <item x="68"/>
        <item x="200"/>
        <item x="395"/>
        <item x="41"/>
        <item x="109"/>
        <item x="314"/>
        <item x="470"/>
        <item x="519"/>
        <item x="69"/>
        <item x="27"/>
        <item x="453"/>
        <item x="157"/>
        <item x="113"/>
        <item x="127"/>
        <item x="319"/>
        <item x="401"/>
        <item x="446"/>
        <item x="449"/>
        <item x="155"/>
        <item x="489"/>
        <item x="255"/>
        <item x="60"/>
        <item x="452"/>
        <item x="174"/>
        <item x="447"/>
        <item x="404"/>
        <item x="253"/>
        <item x="442"/>
        <item x="170"/>
        <item x="156"/>
        <item x="260"/>
        <item x="51"/>
        <item x="97"/>
        <item x="281"/>
        <item x="62"/>
        <item x="398"/>
        <item x="458"/>
        <item x="151"/>
        <item x="197"/>
        <item x="13"/>
        <item x="303"/>
        <item x="102"/>
        <item x="468"/>
        <item x="370"/>
        <item x="500"/>
        <item x="397"/>
        <item x="490"/>
        <item x="379"/>
        <item x="337"/>
        <item x="158"/>
        <item x="2"/>
        <item x="26"/>
        <item x="237"/>
        <item t="default"/>
      </items>
    </pivotField>
    <pivotField showAll="0"/>
    <pivotField showAll="0"/>
    <pivotField dataField="1" showAll="0"/>
    <pivotField showAll="0"/>
    <pivotField showAll="0"/>
    <pivotField showAll="0"/>
    <pivotField showAll="0"/>
    <pivotField numFmtId="164"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Items count="1">
    <i/>
  </rowItems>
  <colItems count="1">
    <i/>
  </colItems>
  <dataFields count="1">
    <dataField name="Sum of Sales" fld="6" baseField="0" baseItem="0" numFmtId="168"/>
  </dataFields>
  <formats count="1">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FB80C25-476C-4EE6-A75A-99924708F7A3}" name="PivotTable4"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rowHeaderCaption="payment type">
  <location ref="A14:A18" firstHeaderRow="1" firstDataRow="1" firstDataCol="1"/>
  <pivotFields count="14">
    <pivotField showAll="0"/>
    <pivotField numFmtId="165" showAll="0"/>
    <pivotField showAll="0"/>
    <pivotField numFmtId="166" showAll="0">
      <items count="536">
        <item x="406"/>
        <item x="509"/>
        <item x="462"/>
        <item x="132"/>
        <item x="165"/>
        <item x="1"/>
        <item x="413"/>
        <item x="483"/>
        <item x="482"/>
        <item x="220"/>
        <item x="424"/>
        <item x="419"/>
        <item x="138"/>
        <item x="440"/>
        <item x="179"/>
        <item x="185"/>
        <item x="460"/>
        <item x="258"/>
        <item x="485"/>
        <item x="307"/>
        <item x="30"/>
        <item x="231"/>
        <item x="374"/>
        <item x="292"/>
        <item x="450"/>
        <item x="498"/>
        <item x="291"/>
        <item x="372"/>
        <item x="526"/>
        <item x="388"/>
        <item x="267"/>
        <item x="454"/>
        <item x="469"/>
        <item x="521"/>
        <item x="161"/>
        <item x="89"/>
        <item x="412"/>
        <item x="426"/>
        <item x="402"/>
        <item x="427"/>
        <item x="407"/>
        <item x="298"/>
        <item x="40"/>
        <item x="439"/>
        <item x="400"/>
        <item x="126"/>
        <item x="61"/>
        <item x="218"/>
        <item x="421"/>
        <item x="106"/>
        <item x="182"/>
        <item x="522"/>
        <item x="430"/>
        <item x="479"/>
        <item x="239"/>
        <item x="104"/>
        <item x="67"/>
        <item x="484"/>
        <item x="7"/>
        <item x="502"/>
        <item x="411"/>
        <item x="432"/>
        <item x="10"/>
        <item x="394"/>
        <item x="147"/>
        <item x="389"/>
        <item x="529"/>
        <item x="371"/>
        <item x="525"/>
        <item x="261"/>
        <item x="414"/>
        <item x="230"/>
        <item x="444"/>
        <item x="122"/>
        <item x="44"/>
        <item x="101"/>
        <item x="4"/>
        <item x="438"/>
        <item x="408"/>
        <item x="380"/>
        <item x="466"/>
        <item x="420"/>
        <item x="416"/>
        <item x="190"/>
        <item x="527"/>
        <item x="129"/>
        <item x="111"/>
        <item x="28"/>
        <item x="316"/>
        <item x="275"/>
        <item x="228"/>
        <item x="124"/>
        <item x="37"/>
        <item x="505"/>
        <item x="172"/>
        <item x="312"/>
        <item x="354"/>
        <item x="23"/>
        <item x="467"/>
        <item x="390"/>
        <item x="15"/>
        <item x="131"/>
        <item x="384"/>
        <item x="300"/>
        <item x="207"/>
        <item x="375"/>
        <item x="169"/>
        <item x="32"/>
        <item x="367"/>
        <item x="105"/>
        <item x="149"/>
        <item x="378"/>
        <item x="443"/>
        <item x="350"/>
        <item x="119"/>
        <item x="329"/>
        <item x="487"/>
        <item x="296"/>
        <item x="45"/>
        <item x="53"/>
        <item x="448"/>
        <item x="276"/>
        <item x="137"/>
        <item x="410"/>
        <item x="531"/>
        <item x="464"/>
        <item x="222"/>
        <item x="481"/>
        <item x="441"/>
        <item x="418"/>
        <item x="14"/>
        <item x="234"/>
        <item x="348"/>
        <item x="359"/>
        <item x="369"/>
        <item x="164"/>
        <item x="278"/>
        <item x="431"/>
        <item x="474"/>
        <item x="381"/>
        <item x="193"/>
        <item x="204"/>
        <item x="87"/>
        <item x="233"/>
        <item x="47"/>
        <item x="429"/>
        <item x="302"/>
        <item x="246"/>
        <item x="357"/>
        <item x="437"/>
        <item x="64"/>
        <item x="305"/>
        <item x="18"/>
        <item x="226"/>
        <item x="140"/>
        <item x="73"/>
        <item x="386"/>
        <item x="434"/>
        <item x="130"/>
        <item x="352"/>
        <item x="227"/>
        <item x="323"/>
        <item x="362"/>
        <item x="488"/>
        <item x="463"/>
        <item x="241"/>
        <item x="78"/>
        <item x="285"/>
        <item x="0"/>
        <item x="39"/>
        <item x="88"/>
        <item x="282"/>
        <item x="145"/>
        <item x="532"/>
        <item x="229"/>
        <item x="66"/>
        <item x="74"/>
        <item x="249"/>
        <item x="480"/>
        <item x="472"/>
        <item x="363"/>
        <item x="376"/>
        <item x="417"/>
        <item x="293"/>
        <item x="364"/>
        <item x="425"/>
        <item x="295"/>
        <item x="325"/>
        <item x="75"/>
        <item x="46"/>
        <item x="518"/>
        <item x="93"/>
        <item x="65"/>
        <item x="216"/>
        <item x="167"/>
        <item x="58"/>
        <item x="533"/>
        <item x="451"/>
        <item x="326"/>
        <item x="76"/>
        <item x="321"/>
        <item x="57"/>
        <item x="256"/>
        <item x="166"/>
        <item x="86"/>
        <item x="90"/>
        <item x="286"/>
        <item x="355"/>
        <item x="141"/>
        <item x="288"/>
        <item x="383"/>
        <item x="160"/>
        <item x="336"/>
        <item x="289"/>
        <item x="456"/>
        <item x="203"/>
        <item x="248"/>
        <item x="208"/>
        <item x="244"/>
        <item x="94"/>
        <item x="477"/>
        <item x="279"/>
        <item x="399"/>
        <item x="266"/>
        <item x="168"/>
        <item x="186"/>
        <item x="317"/>
        <item x="339"/>
        <item x="297"/>
        <item x="34"/>
        <item x="318"/>
        <item x="342"/>
        <item x="346"/>
        <item x="31"/>
        <item x="304"/>
        <item x="82"/>
        <item x="459"/>
        <item x="163"/>
        <item x="144"/>
        <item x="242"/>
        <item x="108"/>
        <item x="457"/>
        <item x="403"/>
        <item x="523"/>
        <item x="72"/>
        <item x="283"/>
        <item x="150"/>
        <item x="224"/>
        <item x="528"/>
        <item x="415"/>
        <item x="306"/>
        <item x="19"/>
        <item x="524"/>
        <item x="114"/>
        <item x="143"/>
        <item x="133"/>
        <item x="465"/>
        <item x="265"/>
        <item x="476"/>
        <item x="382"/>
        <item x="274"/>
        <item x="79"/>
        <item x="177"/>
        <item x="243"/>
        <item x="250"/>
        <item x="308"/>
        <item x="83"/>
        <item x="125"/>
        <item x="301"/>
        <item x="213"/>
        <item x="107"/>
        <item x="146"/>
        <item x="110"/>
        <item x="273"/>
        <item x="269"/>
        <item x="196"/>
        <item x="309"/>
        <item x="187"/>
        <item x="9"/>
        <item x="287"/>
        <item x="99"/>
        <item x="55"/>
        <item x="181"/>
        <item x="123"/>
        <item x="504"/>
        <item x="320"/>
        <item x="238"/>
        <item x="212"/>
        <item x="327"/>
        <item x="152"/>
        <item x="42"/>
        <item x="8"/>
        <item x="81"/>
        <item x="43"/>
        <item x="478"/>
        <item x="191"/>
        <item x="221"/>
        <item x="63"/>
        <item x="22"/>
        <item x="347"/>
        <item x="17"/>
        <item x="98"/>
        <item x="534"/>
        <item x="153"/>
        <item x="36"/>
        <item x="70"/>
        <item x="335"/>
        <item x="461"/>
        <item x="445"/>
        <item x="121"/>
        <item x="290"/>
        <item x="259"/>
        <item x="493"/>
        <item x="507"/>
        <item x="210"/>
        <item x="84"/>
        <item x="11"/>
        <item x="3"/>
        <item x="85"/>
        <item x="148"/>
        <item x="209"/>
        <item x="103"/>
        <item x="120"/>
        <item x="24"/>
        <item x="142"/>
        <item x="510"/>
        <item x="365"/>
        <item x="12"/>
        <item x="496"/>
        <item x="116"/>
        <item x="513"/>
        <item x="245"/>
        <item x="223"/>
        <item x="268"/>
        <item x="356"/>
        <item x="471"/>
        <item x="497"/>
        <item x="100"/>
        <item x="118"/>
        <item x="512"/>
        <item x="180"/>
        <item x="341"/>
        <item x="495"/>
        <item x="328"/>
        <item x="206"/>
        <item x="194"/>
        <item x="270"/>
        <item x="396"/>
        <item x="251"/>
        <item x="387"/>
        <item x="272"/>
        <item x="117"/>
        <item x="195"/>
        <item x="211"/>
        <item x="332"/>
        <item x="159"/>
        <item x="310"/>
        <item x="134"/>
        <item x="59"/>
        <item x="236"/>
        <item x="358"/>
        <item x="501"/>
        <item x="16"/>
        <item x="71"/>
        <item x="199"/>
        <item x="508"/>
        <item x="263"/>
        <item x="49"/>
        <item x="215"/>
        <item x="311"/>
        <item x="499"/>
        <item x="435"/>
        <item x="515"/>
        <item x="5"/>
        <item x="455"/>
        <item x="343"/>
        <item x="360"/>
        <item x="115"/>
        <item x="252"/>
        <item x="391"/>
        <item x="393"/>
        <item x="345"/>
        <item x="175"/>
        <item x="338"/>
        <item x="257"/>
        <item x="202"/>
        <item x="198"/>
        <item x="492"/>
        <item x="494"/>
        <item x="333"/>
        <item x="192"/>
        <item x="254"/>
        <item x="473"/>
        <item x="240"/>
        <item x="385"/>
        <item x="313"/>
        <item x="219"/>
        <item x="503"/>
        <item x="128"/>
        <item x="514"/>
        <item x="135"/>
        <item x="506"/>
        <item x="56"/>
        <item x="184"/>
        <item x="189"/>
        <item x="33"/>
        <item x="29"/>
        <item x="262"/>
        <item x="530"/>
        <item x="344"/>
        <item x="405"/>
        <item x="475"/>
        <item x="280"/>
        <item x="6"/>
        <item x="171"/>
        <item x="25"/>
        <item x="377"/>
        <item x="517"/>
        <item x="173"/>
        <item x="315"/>
        <item x="20"/>
        <item x="136"/>
        <item x="368"/>
        <item x="349"/>
        <item x="205"/>
        <item x="516"/>
        <item x="324"/>
        <item x="112"/>
        <item x="322"/>
        <item x="176"/>
        <item x="232"/>
        <item x="277"/>
        <item x="154"/>
        <item x="247"/>
        <item x="217"/>
        <item x="96"/>
        <item x="50"/>
        <item x="271"/>
        <item x="436"/>
        <item x="48"/>
        <item x="162"/>
        <item x="340"/>
        <item x="433"/>
        <item x="92"/>
        <item x="486"/>
        <item x="294"/>
        <item x="21"/>
        <item x="423"/>
        <item x="334"/>
        <item x="188"/>
        <item x="91"/>
        <item x="54"/>
        <item x="520"/>
        <item x="428"/>
        <item x="353"/>
        <item x="183"/>
        <item x="422"/>
        <item x="80"/>
        <item x="264"/>
        <item x="225"/>
        <item x="77"/>
        <item x="235"/>
        <item x="331"/>
        <item x="330"/>
        <item x="38"/>
        <item x="139"/>
        <item x="366"/>
        <item x="214"/>
        <item x="351"/>
        <item x="52"/>
        <item x="361"/>
        <item x="95"/>
        <item x="178"/>
        <item x="511"/>
        <item x="35"/>
        <item x="373"/>
        <item x="284"/>
        <item x="491"/>
        <item x="392"/>
        <item x="299"/>
        <item x="201"/>
        <item x="409"/>
        <item x="68"/>
        <item x="200"/>
        <item x="395"/>
        <item x="41"/>
        <item x="109"/>
        <item x="314"/>
        <item x="470"/>
        <item x="519"/>
        <item x="69"/>
        <item x="27"/>
        <item x="453"/>
        <item x="157"/>
        <item x="113"/>
        <item x="127"/>
        <item x="319"/>
        <item x="401"/>
        <item x="446"/>
        <item x="449"/>
        <item x="155"/>
        <item x="489"/>
        <item x="255"/>
        <item x="60"/>
        <item x="452"/>
        <item x="174"/>
        <item x="447"/>
        <item x="404"/>
        <item x="253"/>
        <item x="442"/>
        <item x="170"/>
        <item x="156"/>
        <item x="260"/>
        <item x="51"/>
        <item x="97"/>
        <item x="281"/>
        <item x="62"/>
        <item x="398"/>
        <item x="458"/>
        <item x="151"/>
        <item x="197"/>
        <item x="13"/>
        <item x="303"/>
        <item x="102"/>
        <item x="468"/>
        <item x="370"/>
        <item x="500"/>
        <item x="397"/>
        <item x="490"/>
        <item x="379"/>
        <item x="337"/>
        <item x="158"/>
        <item x="2"/>
        <item x="26"/>
        <item x="237"/>
        <item t="default"/>
      </items>
    </pivotField>
    <pivotField showAll="0">
      <items count="3">
        <item x="0"/>
        <item x="1"/>
        <item t="default"/>
      </items>
    </pivotField>
    <pivotField showAll="0"/>
    <pivotField showAll="0"/>
    <pivotField axis="axisRow" showAll="0">
      <items count="4">
        <item x="2"/>
        <item x="1"/>
        <item x="0"/>
        <item t="default"/>
      </items>
    </pivotField>
    <pivotField showAll="0"/>
    <pivotField showAll="0"/>
    <pivotField showAll="0"/>
    <pivotField numFmtId="164" showAll="0">
      <items count="8">
        <item x="1"/>
        <item x="2"/>
        <item x="3"/>
        <item x="5"/>
        <item x="4"/>
        <item x="0"/>
        <item x="6"/>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7"/>
  </rowFields>
  <rowItems count="4">
    <i>
      <x/>
    </i>
    <i>
      <x v="1"/>
    </i>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FC98FB7-032C-466F-BD83-AC99761223C7}" name="PivotTable2"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3:E7" firstHeaderRow="0" firstDataRow="1" firstDataCol="1"/>
  <pivotFields count="14">
    <pivotField showAll="0"/>
    <pivotField numFmtId="165" showAll="0"/>
    <pivotField showAll="0"/>
    <pivotField numFmtId="166" showAll="0">
      <items count="536">
        <item x="406"/>
        <item x="509"/>
        <item x="462"/>
        <item x="132"/>
        <item x="165"/>
        <item x="1"/>
        <item x="413"/>
        <item x="483"/>
        <item x="482"/>
        <item x="220"/>
        <item x="424"/>
        <item x="419"/>
        <item x="138"/>
        <item x="440"/>
        <item x="179"/>
        <item x="185"/>
        <item x="460"/>
        <item x="258"/>
        <item x="485"/>
        <item x="307"/>
        <item x="30"/>
        <item x="231"/>
        <item x="374"/>
        <item x="292"/>
        <item x="450"/>
        <item x="498"/>
        <item x="291"/>
        <item x="372"/>
        <item x="526"/>
        <item x="388"/>
        <item x="267"/>
        <item x="454"/>
        <item x="469"/>
        <item x="521"/>
        <item x="161"/>
        <item x="89"/>
        <item x="412"/>
        <item x="426"/>
        <item x="402"/>
        <item x="427"/>
        <item x="407"/>
        <item x="298"/>
        <item x="40"/>
        <item x="439"/>
        <item x="400"/>
        <item x="126"/>
        <item x="61"/>
        <item x="218"/>
        <item x="421"/>
        <item x="106"/>
        <item x="182"/>
        <item x="522"/>
        <item x="430"/>
        <item x="479"/>
        <item x="239"/>
        <item x="104"/>
        <item x="67"/>
        <item x="484"/>
        <item x="7"/>
        <item x="502"/>
        <item x="411"/>
        <item x="432"/>
        <item x="10"/>
        <item x="394"/>
        <item x="147"/>
        <item x="389"/>
        <item x="529"/>
        <item x="371"/>
        <item x="525"/>
        <item x="261"/>
        <item x="414"/>
        <item x="230"/>
        <item x="444"/>
        <item x="122"/>
        <item x="44"/>
        <item x="101"/>
        <item x="4"/>
        <item x="438"/>
        <item x="408"/>
        <item x="380"/>
        <item x="466"/>
        <item x="420"/>
        <item x="416"/>
        <item x="190"/>
        <item x="527"/>
        <item x="129"/>
        <item x="111"/>
        <item x="28"/>
        <item x="316"/>
        <item x="275"/>
        <item x="228"/>
        <item x="124"/>
        <item x="37"/>
        <item x="505"/>
        <item x="172"/>
        <item x="312"/>
        <item x="354"/>
        <item x="23"/>
        <item x="467"/>
        <item x="390"/>
        <item x="15"/>
        <item x="131"/>
        <item x="384"/>
        <item x="300"/>
        <item x="207"/>
        <item x="375"/>
        <item x="169"/>
        <item x="32"/>
        <item x="367"/>
        <item x="105"/>
        <item x="149"/>
        <item x="378"/>
        <item x="443"/>
        <item x="350"/>
        <item x="119"/>
        <item x="329"/>
        <item x="487"/>
        <item x="296"/>
        <item x="45"/>
        <item x="53"/>
        <item x="448"/>
        <item x="276"/>
        <item x="137"/>
        <item x="410"/>
        <item x="531"/>
        <item x="464"/>
        <item x="222"/>
        <item x="481"/>
        <item x="441"/>
        <item x="418"/>
        <item x="14"/>
        <item x="234"/>
        <item x="348"/>
        <item x="359"/>
        <item x="369"/>
        <item x="164"/>
        <item x="278"/>
        <item x="431"/>
        <item x="474"/>
        <item x="381"/>
        <item x="193"/>
        <item x="204"/>
        <item x="87"/>
        <item x="233"/>
        <item x="47"/>
        <item x="429"/>
        <item x="302"/>
        <item x="246"/>
        <item x="357"/>
        <item x="437"/>
        <item x="64"/>
        <item x="305"/>
        <item x="18"/>
        <item x="226"/>
        <item x="140"/>
        <item x="73"/>
        <item x="386"/>
        <item x="434"/>
        <item x="130"/>
        <item x="352"/>
        <item x="227"/>
        <item x="323"/>
        <item x="362"/>
        <item x="488"/>
        <item x="463"/>
        <item x="241"/>
        <item x="78"/>
        <item x="285"/>
        <item x="0"/>
        <item x="39"/>
        <item x="88"/>
        <item x="282"/>
        <item x="145"/>
        <item x="532"/>
        <item x="229"/>
        <item x="66"/>
        <item x="74"/>
        <item x="249"/>
        <item x="480"/>
        <item x="472"/>
        <item x="363"/>
        <item x="376"/>
        <item x="417"/>
        <item x="293"/>
        <item x="364"/>
        <item x="425"/>
        <item x="295"/>
        <item x="325"/>
        <item x="75"/>
        <item x="46"/>
        <item x="518"/>
        <item x="93"/>
        <item x="65"/>
        <item x="216"/>
        <item x="167"/>
        <item x="58"/>
        <item x="533"/>
        <item x="451"/>
        <item x="326"/>
        <item x="76"/>
        <item x="321"/>
        <item x="57"/>
        <item x="256"/>
        <item x="166"/>
        <item x="86"/>
        <item x="90"/>
        <item x="286"/>
        <item x="355"/>
        <item x="141"/>
        <item x="288"/>
        <item x="383"/>
        <item x="160"/>
        <item x="336"/>
        <item x="289"/>
        <item x="456"/>
        <item x="203"/>
        <item x="248"/>
        <item x="208"/>
        <item x="244"/>
        <item x="94"/>
        <item x="477"/>
        <item x="279"/>
        <item x="399"/>
        <item x="266"/>
        <item x="168"/>
        <item x="186"/>
        <item x="317"/>
        <item x="339"/>
        <item x="297"/>
        <item x="34"/>
        <item x="318"/>
        <item x="342"/>
        <item x="346"/>
        <item x="31"/>
        <item x="304"/>
        <item x="82"/>
        <item x="459"/>
        <item x="163"/>
        <item x="144"/>
        <item x="242"/>
        <item x="108"/>
        <item x="457"/>
        <item x="403"/>
        <item x="523"/>
        <item x="72"/>
        <item x="283"/>
        <item x="150"/>
        <item x="224"/>
        <item x="528"/>
        <item x="415"/>
        <item x="306"/>
        <item x="19"/>
        <item x="524"/>
        <item x="114"/>
        <item x="143"/>
        <item x="133"/>
        <item x="465"/>
        <item x="265"/>
        <item x="476"/>
        <item x="382"/>
        <item x="274"/>
        <item x="79"/>
        <item x="177"/>
        <item x="243"/>
        <item x="250"/>
        <item x="308"/>
        <item x="83"/>
        <item x="125"/>
        <item x="301"/>
        <item x="213"/>
        <item x="107"/>
        <item x="146"/>
        <item x="110"/>
        <item x="273"/>
        <item x="269"/>
        <item x="196"/>
        <item x="309"/>
        <item x="187"/>
        <item x="9"/>
        <item x="287"/>
        <item x="99"/>
        <item x="55"/>
        <item x="181"/>
        <item x="123"/>
        <item x="504"/>
        <item x="320"/>
        <item x="238"/>
        <item x="212"/>
        <item x="327"/>
        <item x="152"/>
        <item x="42"/>
        <item x="8"/>
        <item x="81"/>
        <item x="43"/>
        <item x="478"/>
        <item x="191"/>
        <item x="221"/>
        <item x="63"/>
        <item x="22"/>
        <item x="347"/>
        <item x="17"/>
        <item x="98"/>
        <item x="534"/>
        <item x="153"/>
        <item x="36"/>
        <item x="70"/>
        <item x="335"/>
        <item x="461"/>
        <item x="445"/>
        <item x="121"/>
        <item x="290"/>
        <item x="259"/>
        <item x="493"/>
        <item x="507"/>
        <item x="210"/>
        <item x="84"/>
        <item x="11"/>
        <item x="3"/>
        <item x="85"/>
        <item x="148"/>
        <item x="209"/>
        <item x="103"/>
        <item x="120"/>
        <item x="24"/>
        <item x="142"/>
        <item x="510"/>
        <item x="365"/>
        <item x="12"/>
        <item x="496"/>
        <item x="116"/>
        <item x="513"/>
        <item x="245"/>
        <item x="223"/>
        <item x="268"/>
        <item x="356"/>
        <item x="471"/>
        <item x="497"/>
        <item x="100"/>
        <item x="118"/>
        <item x="512"/>
        <item x="180"/>
        <item x="341"/>
        <item x="495"/>
        <item x="328"/>
        <item x="206"/>
        <item x="194"/>
        <item x="270"/>
        <item x="396"/>
        <item x="251"/>
        <item x="387"/>
        <item x="272"/>
        <item x="117"/>
        <item x="195"/>
        <item x="211"/>
        <item x="332"/>
        <item x="159"/>
        <item x="310"/>
        <item x="134"/>
        <item x="59"/>
        <item x="236"/>
        <item x="358"/>
        <item x="501"/>
        <item x="16"/>
        <item x="71"/>
        <item x="199"/>
        <item x="508"/>
        <item x="263"/>
        <item x="49"/>
        <item x="215"/>
        <item x="311"/>
        <item x="499"/>
        <item x="435"/>
        <item x="515"/>
        <item x="5"/>
        <item x="455"/>
        <item x="343"/>
        <item x="360"/>
        <item x="115"/>
        <item x="252"/>
        <item x="391"/>
        <item x="393"/>
        <item x="345"/>
        <item x="175"/>
        <item x="338"/>
        <item x="257"/>
        <item x="202"/>
        <item x="198"/>
        <item x="492"/>
        <item x="494"/>
        <item x="333"/>
        <item x="192"/>
        <item x="254"/>
        <item x="473"/>
        <item x="240"/>
        <item x="385"/>
        <item x="313"/>
        <item x="219"/>
        <item x="503"/>
        <item x="128"/>
        <item x="514"/>
        <item x="135"/>
        <item x="506"/>
        <item x="56"/>
        <item x="184"/>
        <item x="189"/>
        <item x="33"/>
        <item x="29"/>
        <item x="262"/>
        <item x="530"/>
        <item x="344"/>
        <item x="405"/>
        <item x="475"/>
        <item x="280"/>
        <item x="6"/>
        <item x="171"/>
        <item x="25"/>
        <item x="377"/>
        <item x="517"/>
        <item x="173"/>
        <item x="315"/>
        <item x="20"/>
        <item x="136"/>
        <item x="368"/>
        <item x="349"/>
        <item x="205"/>
        <item x="516"/>
        <item x="324"/>
        <item x="112"/>
        <item x="322"/>
        <item x="176"/>
        <item x="232"/>
        <item x="277"/>
        <item x="154"/>
        <item x="247"/>
        <item x="217"/>
        <item x="96"/>
        <item x="50"/>
        <item x="271"/>
        <item x="436"/>
        <item x="48"/>
        <item x="162"/>
        <item x="340"/>
        <item x="433"/>
        <item x="92"/>
        <item x="486"/>
        <item x="294"/>
        <item x="21"/>
        <item x="423"/>
        <item x="334"/>
        <item x="188"/>
        <item x="91"/>
        <item x="54"/>
        <item x="520"/>
        <item x="428"/>
        <item x="353"/>
        <item x="183"/>
        <item x="422"/>
        <item x="80"/>
        <item x="264"/>
        <item x="225"/>
        <item x="77"/>
        <item x="235"/>
        <item x="331"/>
        <item x="330"/>
        <item x="38"/>
        <item x="139"/>
        <item x="366"/>
        <item x="214"/>
        <item x="351"/>
        <item x="52"/>
        <item x="361"/>
        <item x="95"/>
        <item x="178"/>
        <item x="511"/>
        <item x="35"/>
        <item x="373"/>
        <item x="284"/>
        <item x="491"/>
        <item x="392"/>
        <item x="299"/>
        <item x="201"/>
        <item x="409"/>
        <item x="68"/>
        <item x="200"/>
        <item x="395"/>
        <item x="41"/>
        <item x="109"/>
        <item x="314"/>
        <item x="470"/>
        <item x="519"/>
        <item x="69"/>
        <item x="27"/>
        <item x="453"/>
        <item x="157"/>
        <item x="113"/>
        <item x="127"/>
        <item x="319"/>
        <item x="401"/>
        <item x="446"/>
        <item x="449"/>
        <item x="155"/>
        <item x="489"/>
        <item x="255"/>
        <item x="60"/>
        <item x="452"/>
        <item x="174"/>
        <item x="447"/>
        <item x="404"/>
        <item x="253"/>
        <item x="442"/>
        <item x="170"/>
        <item x="156"/>
        <item x="260"/>
        <item x="51"/>
        <item x="97"/>
        <item x="281"/>
        <item x="62"/>
        <item x="398"/>
        <item x="458"/>
        <item x="151"/>
        <item x="197"/>
        <item x="13"/>
        <item x="303"/>
        <item x="102"/>
        <item x="468"/>
        <item x="370"/>
        <item x="500"/>
        <item x="397"/>
        <item x="490"/>
        <item x="379"/>
        <item x="337"/>
        <item x="158"/>
        <item x="2"/>
        <item x="26"/>
        <item x="237"/>
        <item t="default"/>
      </items>
    </pivotField>
    <pivotField showAll="0">
      <items count="3">
        <item x="0"/>
        <item x="1"/>
        <item t="default"/>
      </items>
    </pivotField>
    <pivotField dataField="1" showAll="0"/>
    <pivotField dataField="1" showAll="0"/>
    <pivotField axis="axisRow" showAll="0">
      <items count="4">
        <item x="2"/>
        <item x="1"/>
        <item x="0"/>
        <item t="default"/>
      </items>
    </pivotField>
    <pivotField showAll="0"/>
    <pivotField showAll="0"/>
    <pivotField showAll="0"/>
    <pivotField numFmtId="164" showAll="0">
      <items count="8">
        <item x="1"/>
        <item x="2"/>
        <item x="3"/>
        <item x="5"/>
        <item x="4"/>
        <item x="0"/>
        <item x="6"/>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7"/>
  </rowFields>
  <rowItems count="4">
    <i>
      <x/>
    </i>
    <i>
      <x v="1"/>
    </i>
    <i>
      <x v="2"/>
    </i>
    <i t="grand">
      <x/>
    </i>
  </rowItems>
  <colFields count="1">
    <field x="-2"/>
  </colFields>
  <colItems count="4">
    <i>
      <x/>
    </i>
    <i i="1">
      <x v="1"/>
    </i>
    <i i="2">
      <x v="2"/>
    </i>
    <i i="3">
      <x v="3"/>
    </i>
  </colItems>
  <dataFields count="4">
    <dataField name="Transaction" fld="5" subtotal="count" baseField="5" baseItem="0"/>
    <dataField name=" Sales %" fld="6" showDataAs="percentOfTotal" baseField="0" baseItem="0" numFmtId="10"/>
    <dataField name="Sales " fld="6" baseField="5" baseItem="0"/>
    <dataField name="Average Sales" fld="6" subtotal="average" baseField="5" baseItem="0"/>
  </dataFields>
  <formats count="3">
    <format dxfId="17">
      <pivotArea collapsedLevelsAreSubtotals="1" fieldPosition="0">
        <references count="2">
          <reference field="4294967294" count="1" selected="0">
            <x v="3"/>
          </reference>
          <reference field="7" count="0"/>
        </references>
      </pivotArea>
    </format>
    <format dxfId="16">
      <pivotArea outline="0" fieldPosition="0">
        <references count="1">
          <reference field="4294967294" count="1">
            <x v="1"/>
          </reference>
        </references>
      </pivotArea>
    </format>
    <format dxfId="15">
      <pivotArea collapsedLevelsAreSubtotals="1" fieldPosition="0">
        <references count="2">
          <reference field="4294967294" count="1" selected="0">
            <x v="2"/>
          </reference>
          <reference field="7"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E310694-1127-4523-976C-937AC21DE70C}" name="PivotTable1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B100:C104" firstHeaderRow="1" firstDataRow="1" firstDataCol="1"/>
  <pivotFields count="14">
    <pivotField showAll="0"/>
    <pivotField numFmtId="165" showAll="0"/>
    <pivotField showAll="0"/>
    <pivotField numFmtId="166" showAll="0">
      <items count="536">
        <item x="406"/>
        <item x="509"/>
        <item x="462"/>
        <item x="132"/>
        <item x="165"/>
        <item x="1"/>
        <item x="413"/>
        <item x="483"/>
        <item x="482"/>
        <item x="220"/>
        <item x="424"/>
        <item x="419"/>
        <item x="138"/>
        <item x="440"/>
        <item x="179"/>
        <item x="185"/>
        <item x="460"/>
        <item x="258"/>
        <item x="485"/>
        <item x="307"/>
        <item x="30"/>
        <item x="231"/>
        <item x="374"/>
        <item x="292"/>
        <item x="450"/>
        <item x="498"/>
        <item x="291"/>
        <item x="372"/>
        <item x="526"/>
        <item x="388"/>
        <item x="267"/>
        <item x="454"/>
        <item x="469"/>
        <item x="521"/>
        <item x="161"/>
        <item x="89"/>
        <item x="412"/>
        <item x="426"/>
        <item x="402"/>
        <item x="427"/>
        <item x="407"/>
        <item x="298"/>
        <item x="40"/>
        <item x="439"/>
        <item x="400"/>
        <item x="126"/>
        <item x="61"/>
        <item x="218"/>
        <item x="421"/>
        <item x="106"/>
        <item x="182"/>
        <item x="522"/>
        <item x="430"/>
        <item x="479"/>
        <item x="239"/>
        <item x="104"/>
        <item x="67"/>
        <item x="484"/>
        <item x="7"/>
        <item x="502"/>
        <item x="411"/>
        <item x="432"/>
        <item x="10"/>
        <item x="394"/>
        <item x="147"/>
        <item x="389"/>
        <item x="529"/>
        <item x="371"/>
        <item x="525"/>
        <item x="261"/>
        <item x="414"/>
        <item x="230"/>
        <item x="444"/>
        <item x="122"/>
        <item x="44"/>
        <item x="101"/>
        <item x="4"/>
        <item x="438"/>
        <item x="408"/>
        <item x="380"/>
        <item x="466"/>
        <item x="420"/>
        <item x="416"/>
        <item x="190"/>
        <item x="527"/>
        <item x="129"/>
        <item x="111"/>
        <item x="28"/>
        <item x="316"/>
        <item x="275"/>
        <item x="228"/>
        <item x="124"/>
        <item x="37"/>
        <item x="505"/>
        <item x="172"/>
        <item x="312"/>
        <item x="354"/>
        <item x="23"/>
        <item x="467"/>
        <item x="390"/>
        <item x="15"/>
        <item x="131"/>
        <item x="384"/>
        <item x="300"/>
        <item x="207"/>
        <item x="375"/>
        <item x="169"/>
        <item x="32"/>
        <item x="367"/>
        <item x="105"/>
        <item x="149"/>
        <item x="378"/>
        <item x="443"/>
        <item x="350"/>
        <item x="119"/>
        <item x="329"/>
        <item x="487"/>
        <item x="296"/>
        <item x="45"/>
        <item x="53"/>
        <item x="448"/>
        <item x="276"/>
        <item x="137"/>
        <item x="410"/>
        <item x="531"/>
        <item x="464"/>
        <item x="222"/>
        <item x="481"/>
        <item x="441"/>
        <item x="418"/>
        <item x="14"/>
        <item x="234"/>
        <item x="348"/>
        <item x="359"/>
        <item x="369"/>
        <item x="164"/>
        <item x="278"/>
        <item x="431"/>
        <item x="474"/>
        <item x="381"/>
        <item x="193"/>
        <item x="204"/>
        <item x="87"/>
        <item x="233"/>
        <item x="47"/>
        <item x="429"/>
        <item x="302"/>
        <item x="246"/>
        <item x="357"/>
        <item x="437"/>
        <item x="64"/>
        <item x="305"/>
        <item x="18"/>
        <item x="226"/>
        <item x="140"/>
        <item x="73"/>
        <item x="386"/>
        <item x="434"/>
        <item x="130"/>
        <item x="352"/>
        <item x="227"/>
        <item x="323"/>
        <item x="362"/>
        <item x="488"/>
        <item x="463"/>
        <item x="241"/>
        <item x="78"/>
        <item x="285"/>
        <item x="0"/>
        <item x="39"/>
        <item x="88"/>
        <item x="282"/>
        <item x="145"/>
        <item x="532"/>
        <item x="229"/>
        <item x="66"/>
        <item x="74"/>
        <item x="249"/>
        <item x="480"/>
        <item x="472"/>
        <item x="363"/>
        <item x="376"/>
        <item x="417"/>
        <item x="293"/>
        <item x="364"/>
        <item x="425"/>
        <item x="295"/>
        <item x="325"/>
        <item x="75"/>
        <item x="46"/>
        <item x="518"/>
        <item x="93"/>
        <item x="65"/>
        <item x="216"/>
        <item x="167"/>
        <item x="58"/>
        <item x="533"/>
        <item x="451"/>
        <item x="326"/>
        <item x="76"/>
        <item x="321"/>
        <item x="57"/>
        <item x="256"/>
        <item x="166"/>
        <item x="86"/>
        <item x="90"/>
        <item x="286"/>
        <item x="355"/>
        <item x="141"/>
        <item x="288"/>
        <item x="383"/>
        <item x="160"/>
        <item x="336"/>
        <item x="289"/>
        <item x="456"/>
        <item x="203"/>
        <item x="248"/>
        <item x="208"/>
        <item x="244"/>
        <item x="94"/>
        <item x="477"/>
        <item x="279"/>
        <item x="399"/>
        <item x="266"/>
        <item x="168"/>
        <item x="186"/>
        <item x="317"/>
        <item x="339"/>
        <item x="297"/>
        <item x="34"/>
        <item x="318"/>
        <item x="342"/>
        <item x="346"/>
        <item x="31"/>
        <item x="304"/>
        <item x="82"/>
        <item x="459"/>
        <item x="163"/>
        <item x="144"/>
        <item x="242"/>
        <item x="108"/>
        <item x="457"/>
        <item x="403"/>
        <item x="523"/>
        <item x="72"/>
        <item x="283"/>
        <item x="150"/>
        <item x="224"/>
        <item x="528"/>
        <item x="415"/>
        <item x="306"/>
        <item x="19"/>
        <item x="524"/>
        <item x="114"/>
        <item x="143"/>
        <item x="133"/>
        <item x="465"/>
        <item x="265"/>
        <item x="476"/>
        <item x="382"/>
        <item x="274"/>
        <item x="79"/>
        <item x="177"/>
        <item x="243"/>
        <item x="250"/>
        <item x="308"/>
        <item x="83"/>
        <item x="125"/>
        <item x="301"/>
        <item x="213"/>
        <item x="107"/>
        <item x="146"/>
        <item x="110"/>
        <item x="273"/>
        <item x="269"/>
        <item x="196"/>
        <item x="309"/>
        <item x="187"/>
        <item x="9"/>
        <item x="287"/>
        <item x="99"/>
        <item x="55"/>
        <item x="181"/>
        <item x="123"/>
        <item x="504"/>
        <item x="320"/>
        <item x="238"/>
        <item x="212"/>
        <item x="327"/>
        <item x="152"/>
        <item x="42"/>
        <item x="8"/>
        <item x="81"/>
        <item x="43"/>
        <item x="478"/>
        <item x="191"/>
        <item x="221"/>
        <item x="63"/>
        <item x="22"/>
        <item x="347"/>
        <item x="17"/>
        <item x="98"/>
        <item x="534"/>
        <item x="153"/>
        <item x="36"/>
        <item x="70"/>
        <item x="335"/>
        <item x="461"/>
        <item x="445"/>
        <item x="121"/>
        <item x="290"/>
        <item x="259"/>
        <item x="493"/>
        <item x="507"/>
        <item x="210"/>
        <item x="84"/>
        <item x="11"/>
        <item x="3"/>
        <item x="85"/>
        <item x="148"/>
        <item x="209"/>
        <item x="103"/>
        <item x="120"/>
        <item x="24"/>
        <item x="142"/>
        <item x="510"/>
        <item x="365"/>
        <item x="12"/>
        <item x="496"/>
        <item x="116"/>
        <item x="513"/>
        <item x="245"/>
        <item x="223"/>
        <item x="268"/>
        <item x="356"/>
        <item x="471"/>
        <item x="497"/>
        <item x="100"/>
        <item x="118"/>
        <item x="512"/>
        <item x="180"/>
        <item x="341"/>
        <item x="495"/>
        <item x="328"/>
        <item x="206"/>
        <item x="194"/>
        <item x="270"/>
        <item x="396"/>
        <item x="251"/>
        <item x="387"/>
        <item x="272"/>
        <item x="117"/>
        <item x="195"/>
        <item x="211"/>
        <item x="332"/>
        <item x="159"/>
        <item x="310"/>
        <item x="134"/>
        <item x="59"/>
        <item x="236"/>
        <item x="358"/>
        <item x="501"/>
        <item x="16"/>
        <item x="71"/>
        <item x="199"/>
        <item x="508"/>
        <item x="263"/>
        <item x="49"/>
        <item x="215"/>
        <item x="311"/>
        <item x="499"/>
        <item x="435"/>
        <item x="515"/>
        <item x="5"/>
        <item x="455"/>
        <item x="343"/>
        <item x="360"/>
        <item x="115"/>
        <item x="252"/>
        <item x="391"/>
        <item x="393"/>
        <item x="345"/>
        <item x="175"/>
        <item x="338"/>
        <item x="257"/>
        <item x="202"/>
        <item x="198"/>
        <item x="492"/>
        <item x="494"/>
        <item x="333"/>
        <item x="192"/>
        <item x="254"/>
        <item x="473"/>
        <item x="240"/>
        <item x="385"/>
        <item x="313"/>
        <item x="219"/>
        <item x="503"/>
        <item x="128"/>
        <item x="514"/>
        <item x="135"/>
        <item x="506"/>
        <item x="56"/>
        <item x="184"/>
        <item x="189"/>
        <item x="33"/>
        <item x="29"/>
        <item x="262"/>
        <item x="530"/>
        <item x="344"/>
        <item x="405"/>
        <item x="475"/>
        <item x="280"/>
        <item x="6"/>
        <item x="171"/>
        <item x="25"/>
        <item x="377"/>
        <item x="517"/>
        <item x="173"/>
        <item x="315"/>
        <item x="20"/>
        <item x="136"/>
        <item x="368"/>
        <item x="349"/>
        <item x="205"/>
        <item x="516"/>
        <item x="324"/>
        <item x="112"/>
        <item x="322"/>
        <item x="176"/>
        <item x="232"/>
        <item x="277"/>
        <item x="154"/>
        <item x="247"/>
        <item x="217"/>
        <item x="96"/>
        <item x="50"/>
        <item x="271"/>
        <item x="436"/>
        <item x="48"/>
        <item x="162"/>
        <item x="340"/>
        <item x="433"/>
        <item x="92"/>
        <item x="486"/>
        <item x="294"/>
        <item x="21"/>
        <item x="423"/>
        <item x="334"/>
        <item x="188"/>
        <item x="91"/>
        <item x="54"/>
        <item x="520"/>
        <item x="428"/>
        <item x="353"/>
        <item x="183"/>
        <item x="422"/>
        <item x="80"/>
        <item x="264"/>
        <item x="225"/>
        <item x="77"/>
        <item x="235"/>
        <item x="331"/>
        <item x="330"/>
        <item x="38"/>
        <item x="139"/>
        <item x="366"/>
        <item x="214"/>
        <item x="351"/>
        <item x="52"/>
        <item x="361"/>
        <item x="95"/>
        <item x="178"/>
        <item x="511"/>
        <item x="35"/>
        <item x="373"/>
        <item x="284"/>
        <item x="491"/>
        <item x="392"/>
        <item x="299"/>
        <item x="201"/>
        <item x="409"/>
        <item x="68"/>
        <item x="200"/>
        <item x="395"/>
        <item x="41"/>
        <item x="109"/>
        <item x="314"/>
        <item x="470"/>
        <item x="519"/>
        <item x="69"/>
        <item x="27"/>
        <item x="453"/>
        <item x="157"/>
        <item x="113"/>
        <item x="127"/>
        <item x="319"/>
        <item x="401"/>
        <item x="446"/>
        <item x="449"/>
        <item x="155"/>
        <item x="489"/>
        <item x="255"/>
        <item x="60"/>
        <item x="452"/>
        <item x="174"/>
        <item x="447"/>
        <item x="404"/>
        <item x="253"/>
        <item x="442"/>
        <item x="170"/>
        <item x="156"/>
        <item x="260"/>
        <item x="51"/>
        <item x="97"/>
        <item x="281"/>
        <item x="62"/>
        <item x="398"/>
        <item x="458"/>
        <item x="151"/>
        <item x="197"/>
        <item x="13"/>
        <item x="303"/>
        <item x="102"/>
        <item x="468"/>
        <item x="370"/>
        <item x="500"/>
        <item x="397"/>
        <item x="490"/>
        <item x="379"/>
        <item x="337"/>
        <item x="158"/>
        <item x="2"/>
        <item x="26"/>
        <item x="237"/>
        <item t="default"/>
      </items>
    </pivotField>
    <pivotField showAll="0">
      <items count="3">
        <item x="0"/>
        <item x="1"/>
        <item t="default"/>
      </items>
    </pivotField>
    <pivotField axis="axisRow" showAll="0">
      <items count="4">
        <item x="0"/>
        <item x="1"/>
        <item x="2"/>
        <item t="default"/>
      </items>
    </pivotField>
    <pivotField dataField="1" showAll="0"/>
    <pivotField showAll="0">
      <items count="4">
        <item x="2"/>
        <item x="1"/>
        <item x="0"/>
        <item t="default"/>
      </items>
    </pivotField>
    <pivotField showAll="0"/>
    <pivotField showAll="0"/>
    <pivotField showAll="0"/>
    <pivotField numFmtId="164" showAll="0">
      <items count="8">
        <item x="1"/>
        <item x="2"/>
        <item x="3"/>
        <item x="5"/>
        <item x="4"/>
        <item x="0"/>
        <item x="6"/>
        <item t="default"/>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5"/>
  </rowFields>
  <rowItems count="4">
    <i>
      <x/>
    </i>
    <i>
      <x v="1"/>
    </i>
    <i>
      <x v="2"/>
    </i>
    <i t="grand">
      <x/>
    </i>
  </rowItems>
  <colItems count="1">
    <i/>
  </colItems>
  <dataFields count="1">
    <dataField name="Sum of Sales" fld="6" baseField="0" baseItem="0"/>
  </dataFields>
  <formats count="1">
    <format dxfId="18">
      <pivotArea collapsedLevelsAreSubtotals="1" fieldPosition="0">
        <references count="1">
          <reference field="5" count="0"/>
        </references>
      </pivotArea>
    </format>
  </formats>
  <chartFormats count="8">
    <chartFormat chart="0" format="0"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 chart="7" format="6">
      <pivotArea type="data" outline="0" fieldPosition="0">
        <references count="2">
          <reference field="4294967294" count="1" selected="0">
            <x v="0"/>
          </reference>
          <reference field="5" count="1" selected="0">
            <x v="0"/>
          </reference>
        </references>
      </pivotArea>
    </chartFormat>
    <chartFormat chart="7" format="7">
      <pivotArea type="data" outline="0" fieldPosition="0">
        <references count="2">
          <reference field="4294967294" count="1" selected="0">
            <x v="0"/>
          </reference>
          <reference field="5" count="1" selected="0">
            <x v="1"/>
          </reference>
        </references>
      </pivotArea>
    </chartFormat>
    <chartFormat chart="7" format="8">
      <pivotArea type="data" outline="0" fieldPosition="0">
        <references count="2">
          <reference field="4294967294" count="1" selected="0">
            <x v="0"/>
          </reference>
          <reference field="5" count="1" selected="0">
            <x v="2"/>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9732350-BB57-45D8-A836-A228AE1F5949}" name="PivotTable1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82:B90" firstHeaderRow="1" firstDataRow="1" firstDataCol="1"/>
  <pivotFields count="14">
    <pivotField showAll="0"/>
    <pivotField numFmtId="165" showAll="0"/>
    <pivotField showAll="0"/>
    <pivotField numFmtId="166" showAll="0">
      <items count="536">
        <item x="406"/>
        <item x="509"/>
        <item x="462"/>
        <item x="132"/>
        <item x="165"/>
        <item x="1"/>
        <item x="413"/>
        <item x="483"/>
        <item x="482"/>
        <item x="220"/>
        <item x="424"/>
        <item x="419"/>
        <item x="138"/>
        <item x="440"/>
        <item x="179"/>
        <item x="185"/>
        <item x="460"/>
        <item x="258"/>
        <item x="485"/>
        <item x="307"/>
        <item x="30"/>
        <item x="231"/>
        <item x="374"/>
        <item x="292"/>
        <item x="450"/>
        <item x="498"/>
        <item x="291"/>
        <item x="372"/>
        <item x="526"/>
        <item x="388"/>
        <item x="267"/>
        <item x="454"/>
        <item x="469"/>
        <item x="521"/>
        <item x="161"/>
        <item x="89"/>
        <item x="412"/>
        <item x="426"/>
        <item x="402"/>
        <item x="427"/>
        <item x="407"/>
        <item x="298"/>
        <item x="40"/>
        <item x="439"/>
        <item x="400"/>
        <item x="126"/>
        <item x="61"/>
        <item x="218"/>
        <item x="421"/>
        <item x="106"/>
        <item x="182"/>
        <item x="522"/>
        <item x="430"/>
        <item x="479"/>
        <item x="239"/>
        <item x="104"/>
        <item x="67"/>
        <item x="484"/>
        <item x="7"/>
        <item x="502"/>
        <item x="411"/>
        <item x="432"/>
        <item x="10"/>
        <item x="394"/>
        <item x="147"/>
        <item x="389"/>
        <item x="529"/>
        <item x="371"/>
        <item x="525"/>
        <item x="261"/>
        <item x="414"/>
        <item x="230"/>
        <item x="444"/>
        <item x="122"/>
        <item x="44"/>
        <item x="101"/>
        <item x="4"/>
        <item x="438"/>
        <item x="408"/>
        <item x="380"/>
        <item x="466"/>
        <item x="420"/>
        <item x="416"/>
        <item x="190"/>
        <item x="527"/>
        <item x="129"/>
        <item x="111"/>
        <item x="28"/>
        <item x="316"/>
        <item x="275"/>
        <item x="228"/>
        <item x="124"/>
        <item x="37"/>
        <item x="505"/>
        <item x="172"/>
        <item x="312"/>
        <item x="354"/>
        <item x="23"/>
        <item x="467"/>
        <item x="390"/>
        <item x="15"/>
        <item x="131"/>
        <item x="384"/>
        <item x="300"/>
        <item x="207"/>
        <item x="375"/>
        <item x="169"/>
        <item x="32"/>
        <item x="367"/>
        <item x="105"/>
        <item x="149"/>
        <item x="378"/>
        <item x="443"/>
        <item x="350"/>
        <item x="119"/>
        <item x="329"/>
        <item x="487"/>
        <item x="296"/>
        <item x="45"/>
        <item x="53"/>
        <item x="448"/>
        <item x="276"/>
        <item x="137"/>
        <item x="410"/>
        <item x="531"/>
        <item x="464"/>
        <item x="222"/>
        <item x="481"/>
        <item x="441"/>
        <item x="418"/>
        <item x="14"/>
        <item x="234"/>
        <item x="348"/>
        <item x="359"/>
        <item x="369"/>
        <item x="164"/>
        <item x="278"/>
        <item x="431"/>
        <item x="474"/>
        <item x="381"/>
        <item x="193"/>
        <item x="204"/>
        <item x="87"/>
        <item x="233"/>
        <item x="47"/>
        <item x="429"/>
        <item x="302"/>
        <item x="246"/>
        <item x="357"/>
        <item x="437"/>
        <item x="64"/>
        <item x="305"/>
        <item x="18"/>
        <item x="226"/>
        <item x="140"/>
        <item x="73"/>
        <item x="386"/>
        <item x="434"/>
        <item x="130"/>
        <item x="352"/>
        <item x="227"/>
        <item x="323"/>
        <item x="362"/>
        <item x="488"/>
        <item x="463"/>
        <item x="241"/>
        <item x="78"/>
        <item x="285"/>
        <item x="0"/>
        <item x="39"/>
        <item x="88"/>
        <item x="282"/>
        <item x="145"/>
        <item x="532"/>
        <item x="229"/>
        <item x="66"/>
        <item x="74"/>
        <item x="249"/>
        <item x="480"/>
        <item x="472"/>
        <item x="363"/>
        <item x="376"/>
        <item x="417"/>
        <item x="293"/>
        <item x="364"/>
        <item x="425"/>
        <item x="295"/>
        <item x="325"/>
        <item x="75"/>
        <item x="46"/>
        <item x="518"/>
        <item x="93"/>
        <item x="65"/>
        <item x="216"/>
        <item x="167"/>
        <item x="58"/>
        <item x="533"/>
        <item x="451"/>
        <item x="326"/>
        <item x="76"/>
        <item x="321"/>
        <item x="57"/>
        <item x="256"/>
        <item x="166"/>
        <item x="86"/>
        <item x="90"/>
        <item x="286"/>
        <item x="355"/>
        <item x="141"/>
        <item x="288"/>
        <item x="383"/>
        <item x="160"/>
        <item x="336"/>
        <item x="289"/>
        <item x="456"/>
        <item x="203"/>
        <item x="248"/>
        <item x="208"/>
        <item x="244"/>
        <item x="94"/>
        <item x="477"/>
        <item x="279"/>
        <item x="399"/>
        <item x="266"/>
        <item x="168"/>
        <item x="186"/>
        <item x="317"/>
        <item x="339"/>
        <item x="297"/>
        <item x="34"/>
        <item x="318"/>
        <item x="342"/>
        <item x="346"/>
        <item x="31"/>
        <item x="304"/>
        <item x="82"/>
        <item x="459"/>
        <item x="163"/>
        <item x="144"/>
        <item x="242"/>
        <item x="108"/>
        <item x="457"/>
        <item x="403"/>
        <item x="523"/>
        <item x="72"/>
        <item x="283"/>
        <item x="150"/>
        <item x="224"/>
        <item x="528"/>
        <item x="415"/>
        <item x="306"/>
        <item x="19"/>
        <item x="524"/>
        <item x="114"/>
        <item x="143"/>
        <item x="133"/>
        <item x="465"/>
        <item x="265"/>
        <item x="476"/>
        <item x="382"/>
        <item x="274"/>
        <item x="79"/>
        <item x="177"/>
        <item x="243"/>
        <item x="250"/>
        <item x="308"/>
        <item x="83"/>
        <item x="125"/>
        <item x="301"/>
        <item x="213"/>
        <item x="107"/>
        <item x="146"/>
        <item x="110"/>
        <item x="273"/>
        <item x="269"/>
        <item x="196"/>
        <item x="309"/>
        <item x="187"/>
        <item x="9"/>
        <item x="287"/>
        <item x="99"/>
        <item x="55"/>
        <item x="181"/>
        <item x="123"/>
        <item x="504"/>
        <item x="320"/>
        <item x="238"/>
        <item x="212"/>
        <item x="327"/>
        <item x="152"/>
        <item x="42"/>
        <item x="8"/>
        <item x="81"/>
        <item x="43"/>
        <item x="478"/>
        <item x="191"/>
        <item x="221"/>
        <item x="63"/>
        <item x="22"/>
        <item x="347"/>
        <item x="17"/>
        <item x="98"/>
        <item x="534"/>
        <item x="153"/>
        <item x="36"/>
        <item x="70"/>
        <item x="335"/>
        <item x="461"/>
        <item x="445"/>
        <item x="121"/>
        <item x="290"/>
        <item x="259"/>
        <item x="493"/>
        <item x="507"/>
        <item x="210"/>
        <item x="84"/>
        <item x="11"/>
        <item x="3"/>
        <item x="85"/>
        <item x="148"/>
        <item x="209"/>
        <item x="103"/>
        <item x="120"/>
        <item x="24"/>
        <item x="142"/>
        <item x="510"/>
        <item x="365"/>
        <item x="12"/>
        <item x="496"/>
        <item x="116"/>
        <item x="513"/>
        <item x="245"/>
        <item x="223"/>
        <item x="268"/>
        <item x="356"/>
        <item x="471"/>
        <item x="497"/>
        <item x="100"/>
        <item x="118"/>
        <item x="512"/>
        <item x="180"/>
        <item x="341"/>
        <item x="495"/>
        <item x="328"/>
        <item x="206"/>
        <item x="194"/>
        <item x="270"/>
        <item x="396"/>
        <item x="251"/>
        <item x="387"/>
        <item x="272"/>
        <item x="117"/>
        <item x="195"/>
        <item x="211"/>
        <item x="332"/>
        <item x="159"/>
        <item x="310"/>
        <item x="134"/>
        <item x="59"/>
        <item x="236"/>
        <item x="358"/>
        <item x="501"/>
        <item x="16"/>
        <item x="71"/>
        <item x="199"/>
        <item x="508"/>
        <item x="263"/>
        <item x="49"/>
        <item x="215"/>
        <item x="311"/>
        <item x="499"/>
        <item x="435"/>
        <item x="515"/>
        <item x="5"/>
        <item x="455"/>
        <item x="343"/>
        <item x="360"/>
        <item x="115"/>
        <item x="252"/>
        <item x="391"/>
        <item x="393"/>
        <item x="345"/>
        <item x="175"/>
        <item x="338"/>
        <item x="257"/>
        <item x="202"/>
        <item x="198"/>
        <item x="492"/>
        <item x="494"/>
        <item x="333"/>
        <item x="192"/>
        <item x="254"/>
        <item x="473"/>
        <item x="240"/>
        <item x="385"/>
        <item x="313"/>
        <item x="219"/>
        <item x="503"/>
        <item x="128"/>
        <item x="514"/>
        <item x="135"/>
        <item x="506"/>
        <item x="56"/>
        <item x="184"/>
        <item x="189"/>
        <item x="33"/>
        <item x="29"/>
        <item x="262"/>
        <item x="530"/>
        <item x="344"/>
        <item x="405"/>
        <item x="475"/>
        <item x="280"/>
        <item x="6"/>
        <item x="171"/>
        <item x="25"/>
        <item x="377"/>
        <item x="517"/>
        <item x="173"/>
        <item x="315"/>
        <item x="20"/>
        <item x="136"/>
        <item x="368"/>
        <item x="349"/>
        <item x="205"/>
        <item x="516"/>
        <item x="324"/>
        <item x="112"/>
        <item x="322"/>
        <item x="176"/>
        <item x="232"/>
        <item x="277"/>
        <item x="154"/>
        <item x="247"/>
        <item x="217"/>
        <item x="96"/>
        <item x="50"/>
        <item x="271"/>
        <item x="436"/>
        <item x="48"/>
        <item x="162"/>
        <item x="340"/>
        <item x="433"/>
        <item x="92"/>
        <item x="486"/>
        <item x="294"/>
        <item x="21"/>
        <item x="423"/>
        <item x="334"/>
        <item x="188"/>
        <item x="91"/>
        <item x="54"/>
        <item x="520"/>
        <item x="428"/>
        <item x="353"/>
        <item x="183"/>
        <item x="422"/>
        <item x="80"/>
        <item x="264"/>
        <item x="225"/>
        <item x="77"/>
        <item x="235"/>
        <item x="331"/>
        <item x="330"/>
        <item x="38"/>
        <item x="139"/>
        <item x="366"/>
        <item x="214"/>
        <item x="351"/>
        <item x="52"/>
        <item x="361"/>
        <item x="95"/>
        <item x="178"/>
        <item x="511"/>
        <item x="35"/>
        <item x="373"/>
        <item x="284"/>
        <item x="491"/>
        <item x="392"/>
        <item x="299"/>
        <item x="201"/>
        <item x="409"/>
        <item x="68"/>
        <item x="200"/>
        <item x="395"/>
        <item x="41"/>
        <item x="109"/>
        <item x="314"/>
        <item x="470"/>
        <item x="519"/>
        <item x="69"/>
        <item x="27"/>
        <item x="453"/>
        <item x="157"/>
        <item x="113"/>
        <item x="127"/>
        <item x="319"/>
        <item x="401"/>
        <item x="446"/>
        <item x="449"/>
        <item x="155"/>
        <item x="489"/>
        <item x="255"/>
        <item x="60"/>
        <item x="452"/>
        <item x="174"/>
        <item x="447"/>
        <item x="404"/>
        <item x="253"/>
        <item x="442"/>
        <item x="170"/>
        <item x="156"/>
        <item x="260"/>
        <item x="51"/>
        <item x="97"/>
        <item x="281"/>
        <item x="62"/>
        <item x="398"/>
        <item x="458"/>
        <item x="151"/>
        <item x="197"/>
        <item x="13"/>
        <item x="303"/>
        <item x="102"/>
        <item x="468"/>
        <item x="370"/>
        <item x="500"/>
        <item x="397"/>
        <item x="490"/>
        <item x="379"/>
        <item x="337"/>
        <item x="158"/>
        <item x="2"/>
        <item x="26"/>
        <item x="237"/>
        <item t="default"/>
      </items>
    </pivotField>
    <pivotField showAll="0">
      <items count="3">
        <item x="0"/>
        <item x="1"/>
        <item t="default"/>
      </items>
    </pivotField>
    <pivotField showAll="0"/>
    <pivotField dataField="1" showAll="0"/>
    <pivotField showAll="0">
      <items count="4">
        <item x="2"/>
        <item x="1"/>
        <item x="0"/>
        <item t="default"/>
      </items>
    </pivotField>
    <pivotField showAll="0"/>
    <pivotField showAll="0"/>
    <pivotField showAll="0"/>
    <pivotField axis="axisRow" numFmtId="164" showAll="0">
      <items count="8">
        <item x="1"/>
        <item x="2"/>
        <item x="3"/>
        <item x="5"/>
        <item x="4"/>
        <item x="0"/>
        <item x="6"/>
        <item t="default"/>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11"/>
  </rowFields>
  <rowItems count="8">
    <i>
      <x/>
    </i>
    <i>
      <x v="1"/>
    </i>
    <i>
      <x v="2"/>
    </i>
    <i>
      <x v="3"/>
    </i>
    <i>
      <x v="4"/>
    </i>
    <i>
      <x v="5"/>
    </i>
    <i>
      <x v="6"/>
    </i>
    <i t="grand">
      <x/>
    </i>
  </rowItems>
  <colItems count="1">
    <i/>
  </colItems>
  <dataFields count="1">
    <dataField name="Sum of Sales" fld="6" baseField="0" baseItem="0"/>
  </dataFields>
  <chartFormats count="16">
    <chartFormat chart="0" format="0" series="1">
      <pivotArea type="data" outline="0" fieldPosition="0">
        <references count="1">
          <reference field="4294967294" count="1" selected="0">
            <x v="0"/>
          </reference>
        </references>
      </pivotArea>
    </chartFormat>
    <chartFormat chart="6" format="9" series="1">
      <pivotArea type="data" outline="0" fieldPosition="0">
        <references count="1">
          <reference field="4294967294" count="1" selected="0">
            <x v="0"/>
          </reference>
        </references>
      </pivotArea>
    </chartFormat>
    <chartFormat chart="6" format="10">
      <pivotArea type="data" outline="0" fieldPosition="0">
        <references count="2">
          <reference field="4294967294" count="1" selected="0">
            <x v="0"/>
          </reference>
          <reference field="11" count="1" selected="0">
            <x v="0"/>
          </reference>
        </references>
      </pivotArea>
    </chartFormat>
    <chartFormat chart="6" format="11">
      <pivotArea type="data" outline="0" fieldPosition="0">
        <references count="2">
          <reference field="4294967294" count="1" selected="0">
            <x v="0"/>
          </reference>
          <reference field="11" count="1" selected="0">
            <x v="1"/>
          </reference>
        </references>
      </pivotArea>
    </chartFormat>
    <chartFormat chart="6" format="12">
      <pivotArea type="data" outline="0" fieldPosition="0">
        <references count="2">
          <reference field="4294967294" count="1" selected="0">
            <x v="0"/>
          </reference>
          <reference field="11" count="1" selected="0">
            <x v="2"/>
          </reference>
        </references>
      </pivotArea>
    </chartFormat>
    <chartFormat chart="6" format="13">
      <pivotArea type="data" outline="0" fieldPosition="0">
        <references count="2">
          <reference field="4294967294" count="1" selected="0">
            <x v="0"/>
          </reference>
          <reference field="11" count="1" selected="0">
            <x v="3"/>
          </reference>
        </references>
      </pivotArea>
    </chartFormat>
    <chartFormat chart="6" format="14">
      <pivotArea type="data" outline="0" fieldPosition="0">
        <references count="2">
          <reference field="4294967294" count="1" selected="0">
            <x v="0"/>
          </reference>
          <reference field="11" count="1" selected="0">
            <x v="4"/>
          </reference>
        </references>
      </pivotArea>
    </chartFormat>
    <chartFormat chart="6" format="15">
      <pivotArea type="data" outline="0" fieldPosition="0">
        <references count="2">
          <reference field="4294967294" count="1" selected="0">
            <x v="0"/>
          </reference>
          <reference field="11" count="1" selected="0">
            <x v="5"/>
          </reference>
        </references>
      </pivotArea>
    </chartFormat>
    <chartFormat chart="6" format="16">
      <pivotArea type="data" outline="0" fieldPosition="0">
        <references count="2">
          <reference field="4294967294" count="1" selected="0">
            <x v="0"/>
          </reference>
          <reference field="11" count="1" selected="0">
            <x v="6"/>
          </reference>
        </references>
      </pivotArea>
    </chartFormat>
    <chartFormat chart="0" format="1">
      <pivotArea type="data" outline="0" fieldPosition="0">
        <references count="2">
          <reference field="4294967294" count="1" selected="0">
            <x v="0"/>
          </reference>
          <reference field="11" count="1" selected="0">
            <x v="0"/>
          </reference>
        </references>
      </pivotArea>
    </chartFormat>
    <chartFormat chart="0" format="2">
      <pivotArea type="data" outline="0" fieldPosition="0">
        <references count="2">
          <reference field="4294967294" count="1" selected="0">
            <x v="0"/>
          </reference>
          <reference field="11" count="1" selected="0">
            <x v="1"/>
          </reference>
        </references>
      </pivotArea>
    </chartFormat>
    <chartFormat chart="0" format="3">
      <pivotArea type="data" outline="0" fieldPosition="0">
        <references count="2">
          <reference field="4294967294" count="1" selected="0">
            <x v="0"/>
          </reference>
          <reference field="11" count="1" selected="0">
            <x v="2"/>
          </reference>
        </references>
      </pivotArea>
    </chartFormat>
    <chartFormat chart="0" format="4">
      <pivotArea type="data" outline="0" fieldPosition="0">
        <references count="2">
          <reference field="4294967294" count="1" selected="0">
            <x v="0"/>
          </reference>
          <reference field="11" count="1" selected="0">
            <x v="3"/>
          </reference>
        </references>
      </pivotArea>
    </chartFormat>
    <chartFormat chart="0" format="5">
      <pivotArea type="data" outline="0" fieldPosition="0">
        <references count="2">
          <reference field="4294967294" count="1" selected="0">
            <x v="0"/>
          </reference>
          <reference field="11" count="1" selected="0">
            <x v="4"/>
          </reference>
        </references>
      </pivotArea>
    </chartFormat>
    <chartFormat chart="0" format="6">
      <pivotArea type="data" outline="0" fieldPosition="0">
        <references count="2">
          <reference field="4294967294" count="1" selected="0">
            <x v="0"/>
          </reference>
          <reference field="11" count="1" selected="0">
            <x v="6"/>
          </reference>
        </references>
      </pivotArea>
    </chartFormat>
    <chartFormat chart="0" format="7">
      <pivotArea type="data" outline="0" fieldPosition="0">
        <references count="2">
          <reference field="4294967294" count="1" selected="0">
            <x v="0"/>
          </reference>
          <reference field="1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F6E359D-AE7F-48EF-9EC9-9DD00EC12BF4}" name="PivotTable14"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6" rowHeaderCaption="hours">
  <location ref="A3:B16" firstHeaderRow="1" firstDataRow="1" firstDataCol="1"/>
  <pivotFields count="14">
    <pivotField showAll="0"/>
    <pivotField numFmtId="165" showAll="0"/>
    <pivotField showAll="0"/>
    <pivotField numFmtId="166" showAll="0">
      <items count="536">
        <item x="406"/>
        <item x="509"/>
        <item x="462"/>
        <item x="132"/>
        <item x="165"/>
        <item x="1"/>
        <item x="413"/>
        <item x="483"/>
        <item x="482"/>
        <item x="220"/>
        <item x="424"/>
        <item x="419"/>
        <item x="138"/>
        <item x="440"/>
        <item x="179"/>
        <item x="185"/>
        <item x="460"/>
        <item x="258"/>
        <item x="485"/>
        <item x="307"/>
        <item x="30"/>
        <item x="231"/>
        <item x="374"/>
        <item x="292"/>
        <item x="450"/>
        <item x="498"/>
        <item x="291"/>
        <item x="372"/>
        <item x="526"/>
        <item x="388"/>
        <item x="267"/>
        <item x="454"/>
        <item x="469"/>
        <item x="521"/>
        <item x="161"/>
        <item x="89"/>
        <item x="412"/>
        <item x="426"/>
        <item x="402"/>
        <item x="427"/>
        <item x="407"/>
        <item x="298"/>
        <item x="40"/>
        <item x="439"/>
        <item x="400"/>
        <item x="126"/>
        <item x="61"/>
        <item x="218"/>
        <item x="421"/>
        <item x="106"/>
        <item x="182"/>
        <item x="522"/>
        <item x="430"/>
        <item x="479"/>
        <item x="239"/>
        <item x="104"/>
        <item x="67"/>
        <item x="484"/>
        <item x="7"/>
        <item x="502"/>
        <item x="411"/>
        <item x="432"/>
        <item x="10"/>
        <item x="394"/>
        <item x="147"/>
        <item x="389"/>
        <item x="529"/>
        <item x="371"/>
        <item x="525"/>
        <item x="261"/>
        <item x="414"/>
        <item x="230"/>
        <item x="444"/>
        <item x="122"/>
        <item x="44"/>
        <item x="101"/>
        <item x="4"/>
        <item x="438"/>
        <item x="408"/>
        <item x="380"/>
        <item x="466"/>
        <item x="420"/>
        <item x="416"/>
        <item x="190"/>
        <item x="527"/>
        <item x="129"/>
        <item x="111"/>
        <item x="28"/>
        <item x="316"/>
        <item x="275"/>
        <item x="228"/>
        <item x="124"/>
        <item x="37"/>
        <item x="505"/>
        <item x="172"/>
        <item x="312"/>
        <item x="354"/>
        <item x="23"/>
        <item x="467"/>
        <item x="390"/>
        <item x="15"/>
        <item x="131"/>
        <item x="384"/>
        <item x="300"/>
        <item x="207"/>
        <item x="375"/>
        <item x="169"/>
        <item x="32"/>
        <item x="367"/>
        <item x="105"/>
        <item x="149"/>
        <item x="378"/>
        <item x="443"/>
        <item x="350"/>
        <item x="119"/>
        <item x="329"/>
        <item x="487"/>
        <item x="296"/>
        <item x="45"/>
        <item x="53"/>
        <item x="448"/>
        <item x="276"/>
        <item x="137"/>
        <item x="410"/>
        <item x="531"/>
        <item x="464"/>
        <item x="222"/>
        <item x="481"/>
        <item x="441"/>
        <item x="418"/>
        <item x="14"/>
        <item x="234"/>
        <item x="348"/>
        <item x="359"/>
        <item x="369"/>
        <item x="164"/>
        <item x="278"/>
        <item x="431"/>
        <item x="474"/>
        <item x="381"/>
        <item x="193"/>
        <item x="204"/>
        <item x="87"/>
        <item x="233"/>
        <item x="47"/>
        <item x="429"/>
        <item x="302"/>
        <item x="246"/>
        <item x="357"/>
        <item x="437"/>
        <item x="64"/>
        <item x="305"/>
        <item x="18"/>
        <item x="226"/>
        <item x="140"/>
        <item x="73"/>
        <item x="386"/>
        <item x="434"/>
        <item x="130"/>
        <item x="352"/>
        <item x="227"/>
        <item x="323"/>
        <item x="362"/>
        <item x="488"/>
        <item x="463"/>
        <item x="241"/>
        <item x="78"/>
        <item x="285"/>
        <item x="0"/>
        <item x="39"/>
        <item x="88"/>
        <item x="282"/>
        <item x="145"/>
        <item x="532"/>
        <item x="229"/>
        <item x="66"/>
        <item x="74"/>
        <item x="249"/>
        <item x="480"/>
        <item x="472"/>
        <item x="363"/>
        <item x="376"/>
        <item x="417"/>
        <item x="293"/>
        <item x="364"/>
        <item x="425"/>
        <item x="295"/>
        <item x="325"/>
        <item x="75"/>
        <item x="46"/>
        <item x="518"/>
        <item x="93"/>
        <item x="65"/>
        <item x="216"/>
        <item x="167"/>
        <item x="58"/>
        <item x="533"/>
        <item x="451"/>
        <item x="326"/>
        <item x="76"/>
        <item x="321"/>
        <item x="57"/>
        <item x="256"/>
        <item x="166"/>
        <item x="86"/>
        <item x="90"/>
        <item x="286"/>
        <item x="355"/>
        <item x="141"/>
        <item x="288"/>
        <item x="383"/>
        <item x="160"/>
        <item x="336"/>
        <item x="289"/>
        <item x="456"/>
        <item x="203"/>
        <item x="248"/>
        <item x="208"/>
        <item x="244"/>
        <item x="94"/>
        <item x="477"/>
        <item x="279"/>
        <item x="399"/>
        <item x="266"/>
        <item x="168"/>
        <item x="186"/>
        <item x="317"/>
        <item x="339"/>
        <item x="297"/>
        <item x="34"/>
        <item x="318"/>
        <item x="342"/>
        <item x="346"/>
        <item x="31"/>
        <item x="304"/>
        <item x="82"/>
        <item x="459"/>
        <item x="163"/>
        <item x="144"/>
        <item x="242"/>
        <item x="108"/>
        <item x="457"/>
        <item x="403"/>
        <item x="523"/>
        <item x="72"/>
        <item x="283"/>
        <item x="150"/>
        <item x="224"/>
        <item x="528"/>
        <item x="415"/>
        <item x="306"/>
        <item x="19"/>
        <item x="524"/>
        <item x="114"/>
        <item x="143"/>
        <item x="133"/>
        <item x="465"/>
        <item x="265"/>
        <item x="476"/>
        <item x="382"/>
        <item x="274"/>
        <item x="79"/>
        <item x="177"/>
        <item x="243"/>
        <item x="250"/>
        <item x="308"/>
        <item x="83"/>
        <item x="125"/>
        <item x="301"/>
        <item x="213"/>
        <item x="107"/>
        <item x="146"/>
        <item x="110"/>
        <item x="273"/>
        <item x="269"/>
        <item x="196"/>
        <item x="309"/>
        <item x="187"/>
        <item x="9"/>
        <item x="287"/>
        <item x="99"/>
        <item x="55"/>
        <item x="181"/>
        <item x="123"/>
        <item x="504"/>
        <item x="320"/>
        <item x="238"/>
        <item x="212"/>
        <item x="327"/>
        <item x="152"/>
        <item x="42"/>
        <item x="8"/>
        <item x="81"/>
        <item x="43"/>
        <item x="478"/>
        <item x="191"/>
        <item x="221"/>
        <item x="63"/>
        <item x="22"/>
        <item x="347"/>
        <item x="17"/>
        <item x="98"/>
        <item x="534"/>
        <item x="153"/>
        <item x="36"/>
        <item x="70"/>
        <item x="335"/>
        <item x="461"/>
        <item x="445"/>
        <item x="121"/>
        <item x="290"/>
        <item x="259"/>
        <item x="493"/>
        <item x="507"/>
        <item x="210"/>
        <item x="84"/>
        <item x="11"/>
        <item x="3"/>
        <item x="85"/>
        <item x="148"/>
        <item x="209"/>
        <item x="103"/>
        <item x="120"/>
        <item x="24"/>
        <item x="142"/>
        <item x="510"/>
        <item x="365"/>
        <item x="12"/>
        <item x="496"/>
        <item x="116"/>
        <item x="513"/>
        <item x="245"/>
        <item x="223"/>
        <item x="268"/>
        <item x="356"/>
        <item x="471"/>
        <item x="497"/>
        <item x="100"/>
        <item x="118"/>
        <item x="512"/>
        <item x="180"/>
        <item x="341"/>
        <item x="495"/>
        <item x="328"/>
        <item x="206"/>
        <item x="194"/>
        <item x="270"/>
        <item x="396"/>
        <item x="251"/>
        <item x="387"/>
        <item x="272"/>
        <item x="117"/>
        <item x="195"/>
        <item x="211"/>
        <item x="332"/>
        <item x="159"/>
        <item x="310"/>
        <item x="134"/>
        <item x="59"/>
        <item x="236"/>
        <item x="358"/>
        <item x="501"/>
        <item x="16"/>
        <item x="71"/>
        <item x="199"/>
        <item x="508"/>
        <item x="263"/>
        <item x="49"/>
        <item x="215"/>
        <item x="311"/>
        <item x="499"/>
        <item x="435"/>
        <item x="515"/>
        <item x="5"/>
        <item x="455"/>
        <item x="343"/>
        <item x="360"/>
        <item x="115"/>
        <item x="252"/>
        <item x="391"/>
        <item x="393"/>
        <item x="345"/>
        <item x="175"/>
        <item x="338"/>
        <item x="257"/>
        <item x="202"/>
        <item x="198"/>
        <item x="492"/>
        <item x="494"/>
        <item x="333"/>
        <item x="192"/>
        <item x="254"/>
        <item x="473"/>
        <item x="240"/>
        <item x="385"/>
        <item x="313"/>
        <item x="219"/>
        <item x="503"/>
        <item x="128"/>
        <item x="514"/>
        <item x="135"/>
        <item x="506"/>
        <item x="56"/>
        <item x="184"/>
        <item x="189"/>
        <item x="33"/>
        <item x="29"/>
        <item x="262"/>
        <item x="530"/>
        <item x="344"/>
        <item x="405"/>
        <item x="475"/>
        <item x="280"/>
        <item x="6"/>
        <item x="171"/>
        <item x="25"/>
        <item x="377"/>
        <item x="517"/>
        <item x="173"/>
        <item x="315"/>
        <item x="20"/>
        <item x="136"/>
        <item x="368"/>
        <item x="349"/>
        <item x="205"/>
        <item x="516"/>
        <item x="324"/>
        <item x="112"/>
        <item x="322"/>
        <item x="176"/>
        <item x="232"/>
        <item x="277"/>
        <item x="154"/>
        <item x="247"/>
        <item x="217"/>
        <item x="96"/>
        <item x="50"/>
        <item x="271"/>
        <item x="436"/>
        <item x="48"/>
        <item x="162"/>
        <item x="340"/>
        <item x="433"/>
        <item x="92"/>
        <item x="486"/>
        <item x="294"/>
        <item x="21"/>
        <item x="423"/>
        <item x="334"/>
        <item x="188"/>
        <item x="91"/>
        <item x="54"/>
        <item x="520"/>
        <item x="428"/>
        <item x="353"/>
        <item x="183"/>
        <item x="422"/>
        <item x="80"/>
        <item x="264"/>
        <item x="225"/>
        <item x="77"/>
        <item x="235"/>
        <item x="331"/>
        <item x="330"/>
        <item x="38"/>
        <item x="139"/>
        <item x="366"/>
        <item x="214"/>
        <item x="351"/>
        <item x="52"/>
        <item x="361"/>
        <item x="95"/>
        <item x="178"/>
        <item x="511"/>
        <item x="35"/>
        <item x="373"/>
        <item x="284"/>
        <item x="491"/>
        <item x="392"/>
        <item x="299"/>
        <item x="201"/>
        <item x="409"/>
        <item x="68"/>
        <item x="200"/>
        <item x="395"/>
        <item x="41"/>
        <item x="109"/>
        <item x="314"/>
        <item x="470"/>
        <item x="519"/>
        <item x="69"/>
        <item x="27"/>
        <item x="453"/>
        <item x="157"/>
        <item x="113"/>
        <item x="127"/>
        <item x="319"/>
        <item x="401"/>
        <item x="446"/>
        <item x="449"/>
        <item x="155"/>
        <item x="489"/>
        <item x="255"/>
        <item x="60"/>
        <item x="452"/>
        <item x="174"/>
        <item x="447"/>
        <item x="404"/>
        <item x="253"/>
        <item x="442"/>
        <item x="170"/>
        <item x="156"/>
        <item x="260"/>
        <item x="51"/>
        <item x="97"/>
        <item x="281"/>
        <item x="62"/>
        <item x="398"/>
        <item x="458"/>
        <item x="151"/>
        <item x="197"/>
        <item x="13"/>
        <item x="303"/>
        <item x="102"/>
        <item x="468"/>
        <item x="370"/>
        <item x="500"/>
        <item x="397"/>
        <item x="490"/>
        <item x="379"/>
        <item x="337"/>
        <item x="158"/>
        <item x="2"/>
        <item x="26"/>
        <item x="237"/>
        <item t="default"/>
      </items>
    </pivotField>
    <pivotField showAll="0">
      <items count="3">
        <item x="0"/>
        <item x="1"/>
        <item t="default"/>
      </items>
    </pivotField>
    <pivotField showAll="0"/>
    <pivotField dataField="1" showAll="0"/>
    <pivotField showAll="0">
      <items count="4">
        <item x="2"/>
        <item x="1"/>
        <item x="0"/>
        <item t="default"/>
      </items>
    </pivotField>
    <pivotField showAll="0"/>
    <pivotField showAll="0"/>
    <pivotField showAll="0"/>
    <pivotField numFmtId="164" showAll="0">
      <items count="8">
        <item x="1"/>
        <item x="2"/>
        <item x="3"/>
        <item x="5"/>
        <item x="4"/>
        <item x="0"/>
        <item x="6"/>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axis="axisRow" showAll="0" sortType="descending">
      <items count="27">
        <item sd="0" x="22"/>
        <item sd="0" x="10"/>
        <item sd="0" x="21"/>
        <item sd="0" x="9"/>
        <item sd="0" x="20"/>
        <item sd="0" x="8"/>
        <item sd="0" x="19"/>
        <item sd="0" x="7"/>
        <item sd="0" x="18"/>
        <item sd="0" x="6"/>
        <item sd="0" x="17"/>
        <item sd="0" x="5"/>
        <item sd="0" x="16"/>
        <item sd="0" x="4"/>
        <item sd="0" x="15"/>
        <item sd="0" x="3"/>
        <item sd="0" x="13"/>
        <item sd="0" x="1"/>
        <item sd="0" x="24"/>
        <item sd="0" x="12"/>
        <item sd="0" x="23"/>
        <item sd="0" x="11"/>
        <item sd="0" x="14"/>
        <item sd="0" x="2"/>
        <item sd="0" x="25"/>
        <item sd="0" x="0"/>
        <item t="default"/>
      </items>
      <autoSortScope>
        <pivotArea dataOnly="0" outline="0" fieldPosition="0">
          <references count="1">
            <reference field="4294967294" count="1" selected="0">
              <x v="0"/>
            </reference>
          </references>
        </pivotArea>
      </autoSortScope>
    </pivotField>
  </pivotFields>
  <rowFields count="1">
    <field x="13"/>
  </rowFields>
  <rowItems count="13">
    <i>
      <x v="21"/>
    </i>
    <i>
      <x v="16"/>
    </i>
    <i>
      <x v="19"/>
    </i>
    <i>
      <x v="23"/>
    </i>
    <i>
      <x v="5"/>
    </i>
    <i>
      <x v="9"/>
    </i>
    <i>
      <x v="15"/>
    </i>
    <i>
      <x v="3"/>
    </i>
    <i>
      <x v="13"/>
    </i>
    <i>
      <x v="7"/>
    </i>
    <i>
      <x v="11"/>
    </i>
    <i>
      <x v="1"/>
    </i>
    <i t="grand">
      <x/>
    </i>
  </rowItems>
  <colItems count="1">
    <i/>
  </colItems>
  <dataFields count="1">
    <dataField name="Sum of Sales" fld="6" baseField="0" baseItem="0"/>
  </dataFields>
  <formats count="1">
    <format dxfId="13">
      <pivotArea collapsedLevelsAreSubtotals="1" fieldPosition="0">
        <references count="1">
          <reference field="13" count="12">
            <x v="1"/>
            <x v="3"/>
            <x v="5"/>
            <x v="7"/>
            <x v="9"/>
            <x v="11"/>
            <x v="13"/>
            <x v="15"/>
            <x v="16"/>
            <x v="19"/>
            <x v="21"/>
            <x v="23"/>
          </reference>
        </references>
      </pivotArea>
    </format>
  </formats>
  <chartFormats count="26">
    <chartFormat chart="3" format="14" series="1">
      <pivotArea type="data" outline="0" fieldPosition="0">
        <references count="1">
          <reference field="4294967294" count="1" selected="0">
            <x v="0"/>
          </reference>
        </references>
      </pivotArea>
    </chartFormat>
    <chartFormat chart="3" format="15">
      <pivotArea type="data" outline="0" fieldPosition="0">
        <references count="2">
          <reference field="4294967294" count="1" selected="0">
            <x v="0"/>
          </reference>
          <reference field="13" count="1" selected="0">
            <x v="7"/>
          </reference>
        </references>
      </pivotArea>
    </chartFormat>
    <chartFormat chart="3" format="16">
      <pivotArea type="data" outline="0" fieldPosition="0">
        <references count="2">
          <reference field="4294967294" count="1" selected="0">
            <x v="0"/>
          </reference>
          <reference field="13" count="1" selected="0">
            <x v="16"/>
          </reference>
        </references>
      </pivotArea>
    </chartFormat>
    <chartFormat chart="3" format="17">
      <pivotArea type="data" outline="0" fieldPosition="0">
        <references count="2">
          <reference field="4294967294" count="1" selected="0">
            <x v="0"/>
          </reference>
          <reference field="13" count="1" selected="0">
            <x v="5"/>
          </reference>
        </references>
      </pivotArea>
    </chartFormat>
    <chartFormat chart="3" format="18">
      <pivotArea type="data" outline="0" fieldPosition="0">
        <references count="2">
          <reference field="4294967294" count="1" selected="0">
            <x v="0"/>
          </reference>
          <reference field="13" count="1" selected="0">
            <x v="23"/>
          </reference>
        </references>
      </pivotArea>
    </chartFormat>
    <chartFormat chart="3" format="19">
      <pivotArea type="data" outline="0" fieldPosition="0">
        <references count="2">
          <reference field="4294967294" count="1" selected="0">
            <x v="0"/>
          </reference>
          <reference field="13" count="1" selected="0">
            <x v="21"/>
          </reference>
        </references>
      </pivotArea>
    </chartFormat>
    <chartFormat chart="3" format="20">
      <pivotArea type="data" outline="0" fieldPosition="0">
        <references count="2">
          <reference field="4294967294" count="1" selected="0">
            <x v="0"/>
          </reference>
          <reference field="13" count="1" selected="0">
            <x v="3"/>
          </reference>
        </references>
      </pivotArea>
    </chartFormat>
    <chartFormat chart="3" format="21">
      <pivotArea type="data" outline="0" fieldPosition="0">
        <references count="2">
          <reference field="4294967294" count="1" selected="0">
            <x v="0"/>
          </reference>
          <reference field="13" count="1" selected="0">
            <x v="9"/>
          </reference>
        </references>
      </pivotArea>
    </chartFormat>
    <chartFormat chart="3" format="22">
      <pivotArea type="data" outline="0" fieldPosition="0">
        <references count="2">
          <reference field="4294967294" count="1" selected="0">
            <x v="0"/>
          </reference>
          <reference field="13" count="1" selected="0">
            <x v="15"/>
          </reference>
        </references>
      </pivotArea>
    </chartFormat>
    <chartFormat chart="3" format="23">
      <pivotArea type="data" outline="0" fieldPosition="0">
        <references count="2">
          <reference field="4294967294" count="1" selected="0">
            <x v="0"/>
          </reference>
          <reference field="13" count="1" selected="0">
            <x v="19"/>
          </reference>
        </references>
      </pivotArea>
    </chartFormat>
    <chartFormat chart="3" format="24">
      <pivotArea type="data" outline="0" fieldPosition="0">
        <references count="2">
          <reference field="4294967294" count="1" selected="0">
            <x v="0"/>
          </reference>
          <reference field="13" count="1" selected="0">
            <x v="1"/>
          </reference>
        </references>
      </pivotArea>
    </chartFormat>
    <chartFormat chart="3" format="25">
      <pivotArea type="data" outline="0" fieldPosition="0">
        <references count="2">
          <reference field="4294967294" count="1" selected="0">
            <x v="0"/>
          </reference>
          <reference field="13" count="1" selected="0">
            <x v="11"/>
          </reference>
        </references>
      </pivotArea>
    </chartFormat>
    <chartFormat chart="3" format="26">
      <pivotArea type="data" outline="0" fieldPosition="0">
        <references count="2">
          <reference field="4294967294" count="1" selected="0">
            <x v="0"/>
          </reference>
          <reference field="13" count="1" selected="0">
            <x v="13"/>
          </reference>
        </references>
      </pivotArea>
    </chartFormat>
    <chartFormat chart="5" format="13" series="1">
      <pivotArea type="data" outline="0" fieldPosition="0">
        <references count="1">
          <reference field="4294967294" count="1" selected="0">
            <x v="0"/>
          </reference>
        </references>
      </pivotArea>
    </chartFormat>
    <chartFormat chart="5" format="14">
      <pivotArea type="data" outline="0" fieldPosition="0">
        <references count="2">
          <reference field="4294967294" count="1" selected="0">
            <x v="0"/>
          </reference>
          <reference field="13" count="1" selected="0">
            <x v="23"/>
          </reference>
        </references>
      </pivotArea>
    </chartFormat>
    <chartFormat chart="5" format="15">
      <pivotArea type="data" outline="0" fieldPosition="0">
        <references count="2">
          <reference field="4294967294" count="1" selected="0">
            <x v="0"/>
          </reference>
          <reference field="13" count="1" selected="0">
            <x v="5"/>
          </reference>
        </references>
      </pivotArea>
    </chartFormat>
    <chartFormat chart="5" format="16">
      <pivotArea type="data" outline="0" fieldPosition="0">
        <references count="2">
          <reference field="4294967294" count="1" selected="0">
            <x v="0"/>
          </reference>
          <reference field="13" count="1" selected="0">
            <x v="19"/>
          </reference>
        </references>
      </pivotArea>
    </chartFormat>
    <chartFormat chart="5" format="17">
      <pivotArea type="data" outline="0" fieldPosition="0">
        <references count="2">
          <reference field="4294967294" count="1" selected="0">
            <x v="0"/>
          </reference>
          <reference field="13" count="1" selected="0">
            <x v="3"/>
          </reference>
        </references>
      </pivotArea>
    </chartFormat>
    <chartFormat chart="5" format="18">
      <pivotArea type="data" outline="0" fieldPosition="0">
        <references count="2">
          <reference field="4294967294" count="1" selected="0">
            <x v="0"/>
          </reference>
          <reference field="13" count="1" selected="0">
            <x v="9"/>
          </reference>
        </references>
      </pivotArea>
    </chartFormat>
    <chartFormat chart="5" format="19">
      <pivotArea type="data" outline="0" fieldPosition="0">
        <references count="2">
          <reference field="4294967294" count="1" selected="0">
            <x v="0"/>
          </reference>
          <reference field="13" count="1" selected="0">
            <x v="21"/>
          </reference>
        </references>
      </pivotArea>
    </chartFormat>
    <chartFormat chart="5" format="20">
      <pivotArea type="data" outline="0" fieldPosition="0">
        <references count="2">
          <reference field="4294967294" count="1" selected="0">
            <x v="0"/>
          </reference>
          <reference field="13" count="1" selected="0">
            <x v="11"/>
          </reference>
        </references>
      </pivotArea>
    </chartFormat>
    <chartFormat chart="5" format="21">
      <pivotArea type="data" outline="0" fieldPosition="0">
        <references count="2">
          <reference field="4294967294" count="1" selected="0">
            <x v="0"/>
          </reference>
          <reference field="13" count="1" selected="0">
            <x v="7"/>
          </reference>
        </references>
      </pivotArea>
    </chartFormat>
    <chartFormat chart="5" format="22">
      <pivotArea type="data" outline="0" fieldPosition="0">
        <references count="2">
          <reference field="4294967294" count="1" selected="0">
            <x v="0"/>
          </reference>
          <reference field="13" count="1" selected="0">
            <x v="13"/>
          </reference>
        </references>
      </pivotArea>
    </chartFormat>
    <chartFormat chart="5" format="23">
      <pivotArea type="data" outline="0" fieldPosition="0">
        <references count="2">
          <reference field="4294967294" count="1" selected="0">
            <x v="0"/>
          </reference>
          <reference field="13" count="1" selected="0">
            <x v="1"/>
          </reference>
        </references>
      </pivotArea>
    </chartFormat>
    <chartFormat chart="5" format="24">
      <pivotArea type="data" outline="0" fieldPosition="0">
        <references count="2">
          <reference field="4294967294" count="1" selected="0">
            <x v="0"/>
          </reference>
          <reference field="13" count="1" selected="0">
            <x v="15"/>
          </reference>
        </references>
      </pivotArea>
    </chartFormat>
    <chartFormat chart="5" format="25">
      <pivotArea type="data" outline="0" fieldPosition="0">
        <references count="2">
          <reference field="4294967294" count="1" selected="0">
            <x v="0"/>
          </reference>
          <reference field="13" count="1" selected="0">
            <x v="1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3E7589F-B0A4-4388-A103-A8FC7EAFB8F4}" name="PivotTable13"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rowHeaderCaption="Transaction date">
  <location ref="D4:E36" firstHeaderRow="1" firstDataRow="1" firstDataCol="1"/>
  <pivotFields count="14">
    <pivotField axis="axisRow" showAll="0" sortType="ascending">
      <items count="32">
        <item x="30"/>
        <item x="29"/>
        <item x="28"/>
        <item x="27"/>
        <item x="26"/>
        <item x="24"/>
        <item x="23"/>
        <item x="25"/>
        <item x="22"/>
        <item x="21"/>
        <item x="20"/>
        <item x="19"/>
        <item x="18"/>
        <item x="17"/>
        <item x="16"/>
        <item x="15"/>
        <item x="14"/>
        <item x="13"/>
        <item x="12"/>
        <item x="10"/>
        <item x="11"/>
        <item x="9"/>
        <item x="8"/>
        <item x="6"/>
        <item x="5"/>
        <item x="3"/>
        <item x="2"/>
        <item x="1"/>
        <item x="7"/>
        <item x="0"/>
        <item x="4"/>
        <item t="default"/>
      </items>
      <autoSortScope>
        <pivotArea dataOnly="0" outline="0" fieldPosition="0">
          <references count="1">
            <reference field="4294967294" count="1" selected="0">
              <x v="0"/>
            </reference>
          </references>
        </pivotArea>
      </autoSortScope>
    </pivotField>
    <pivotField numFmtId="165" showAll="0" measureFilter="1" sortType="descending">
      <autoSortScope>
        <pivotArea dataOnly="0" outline="0" fieldPosition="0">
          <references count="1">
            <reference field="4294967294" count="1" selected="0">
              <x v="0"/>
            </reference>
          </references>
        </pivotArea>
      </autoSortScope>
    </pivotField>
    <pivotField showAll="0"/>
    <pivotField numFmtId="166" showAll="0">
      <items count="536">
        <item x="406"/>
        <item x="509"/>
        <item x="462"/>
        <item x="132"/>
        <item x="165"/>
        <item x="1"/>
        <item x="413"/>
        <item x="483"/>
        <item x="482"/>
        <item x="220"/>
        <item x="424"/>
        <item x="419"/>
        <item x="138"/>
        <item x="440"/>
        <item x="179"/>
        <item x="185"/>
        <item x="460"/>
        <item x="258"/>
        <item x="485"/>
        <item x="307"/>
        <item x="30"/>
        <item x="231"/>
        <item x="374"/>
        <item x="292"/>
        <item x="450"/>
        <item x="498"/>
        <item x="291"/>
        <item x="372"/>
        <item x="526"/>
        <item x="388"/>
        <item x="267"/>
        <item x="454"/>
        <item x="469"/>
        <item x="521"/>
        <item x="161"/>
        <item x="89"/>
        <item x="412"/>
        <item x="426"/>
        <item x="402"/>
        <item x="427"/>
        <item x="407"/>
        <item x="298"/>
        <item x="40"/>
        <item x="439"/>
        <item x="400"/>
        <item x="126"/>
        <item x="61"/>
        <item x="218"/>
        <item x="421"/>
        <item x="106"/>
        <item x="182"/>
        <item x="522"/>
        <item x="430"/>
        <item x="479"/>
        <item x="239"/>
        <item x="104"/>
        <item x="67"/>
        <item x="484"/>
        <item x="7"/>
        <item x="502"/>
        <item x="411"/>
        <item x="432"/>
        <item x="10"/>
        <item x="394"/>
        <item x="147"/>
        <item x="389"/>
        <item x="529"/>
        <item x="371"/>
        <item x="525"/>
        <item x="261"/>
        <item x="414"/>
        <item x="230"/>
        <item x="444"/>
        <item x="122"/>
        <item x="44"/>
        <item x="101"/>
        <item x="4"/>
        <item x="438"/>
        <item x="408"/>
        <item x="380"/>
        <item x="466"/>
        <item x="420"/>
        <item x="416"/>
        <item x="190"/>
        <item x="527"/>
        <item x="129"/>
        <item x="111"/>
        <item x="28"/>
        <item x="316"/>
        <item x="275"/>
        <item x="228"/>
        <item x="124"/>
        <item x="37"/>
        <item x="505"/>
        <item x="172"/>
        <item x="312"/>
        <item x="354"/>
        <item x="23"/>
        <item x="467"/>
        <item x="390"/>
        <item x="15"/>
        <item x="131"/>
        <item x="384"/>
        <item x="300"/>
        <item x="207"/>
        <item x="375"/>
        <item x="169"/>
        <item x="32"/>
        <item x="367"/>
        <item x="105"/>
        <item x="149"/>
        <item x="378"/>
        <item x="443"/>
        <item x="350"/>
        <item x="119"/>
        <item x="329"/>
        <item x="487"/>
        <item x="296"/>
        <item x="45"/>
        <item x="53"/>
        <item x="448"/>
        <item x="276"/>
        <item x="137"/>
        <item x="410"/>
        <item x="531"/>
        <item x="464"/>
        <item x="222"/>
        <item x="481"/>
        <item x="441"/>
        <item x="418"/>
        <item x="14"/>
        <item x="234"/>
        <item x="348"/>
        <item x="359"/>
        <item x="369"/>
        <item x="164"/>
        <item x="278"/>
        <item x="431"/>
        <item x="474"/>
        <item x="381"/>
        <item x="193"/>
        <item x="204"/>
        <item x="87"/>
        <item x="233"/>
        <item x="47"/>
        <item x="429"/>
        <item x="302"/>
        <item x="246"/>
        <item x="357"/>
        <item x="437"/>
        <item x="64"/>
        <item x="305"/>
        <item x="18"/>
        <item x="226"/>
        <item x="140"/>
        <item x="73"/>
        <item x="386"/>
        <item x="434"/>
        <item x="130"/>
        <item x="352"/>
        <item x="227"/>
        <item x="323"/>
        <item x="362"/>
        <item x="488"/>
        <item x="463"/>
        <item x="241"/>
        <item x="78"/>
        <item x="285"/>
        <item x="0"/>
        <item x="39"/>
        <item x="88"/>
        <item x="282"/>
        <item x="145"/>
        <item x="532"/>
        <item x="229"/>
        <item x="66"/>
        <item x="74"/>
        <item x="249"/>
        <item x="480"/>
        <item x="472"/>
        <item x="363"/>
        <item x="376"/>
        <item x="417"/>
        <item x="293"/>
        <item x="364"/>
        <item x="425"/>
        <item x="295"/>
        <item x="325"/>
        <item x="75"/>
        <item x="46"/>
        <item x="518"/>
        <item x="93"/>
        <item x="65"/>
        <item x="216"/>
        <item x="167"/>
        <item x="58"/>
        <item x="533"/>
        <item x="451"/>
        <item x="326"/>
        <item x="76"/>
        <item x="321"/>
        <item x="57"/>
        <item x="256"/>
        <item x="166"/>
        <item x="86"/>
        <item x="90"/>
        <item x="286"/>
        <item x="355"/>
        <item x="141"/>
        <item x="288"/>
        <item x="383"/>
        <item x="160"/>
        <item x="336"/>
        <item x="289"/>
        <item x="456"/>
        <item x="203"/>
        <item x="248"/>
        <item x="208"/>
        <item x="244"/>
        <item x="94"/>
        <item x="477"/>
        <item x="279"/>
        <item x="399"/>
        <item x="266"/>
        <item x="168"/>
        <item x="186"/>
        <item x="317"/>
        <item x="339"/>
        <item x="297"/>
        <item x="34"/>
        <item x="318"/>
        <item x="342"/>
        <item x="346"/>
        <item x="31"/>
        <item x="304"/>
        <item x="82"/>
        <item x="459"/>
        <item x="163"/>
        <item x="144"/>
        <item x="242"/>
        <item x="108"/>
        <item x="457"/>
        <item x="403"/>
        <item x="523"/>
        <item x="72"/>
        <item x="283"/>
        <item x="150"/>
        <item x="224"/>
        <item x="528"/>
        <item x="415"/>
        <item x="306"/>
        <item x="19"/>
        <item x="524"/>
        <item x="114"/>
        <item x="143"/>
        <item x="133"/>
        <item x="465"/>
        <item x="265"/>
        <item x="476"/>
        <item x="382"/>
        <item x="274"/>
        <item x="79"/>
        <item x="177"/>
        <item x="243"/>
        <item x="250"/>
        <item x="308"/>
        <item x="83"/>
        <item x="125"/>
        <item x="301"/>
        <item x="213"/>
        <item x="107"/>
        <item x="146"/>
        <item x="110"/>
        <item x="273"/>
        <item x="269"/>
        <item x="196"/>
        <item x="309"/>
        <item x="187"/>
        <item x="9"/>
        <item x="287"/>
        <item x="99"/>
        <item x="55"/>
        <item x="181"/>
        <item x="123"/>
        <item x="504"/>
        <item x="320"/>
        <item x="238"/>
        <item x="212"/>
        <item x="327"/>
        <item x="152"/>
        <item x="42"/>
        <item x="8"/>
        <item x="81"/>
        <item x="43"/>
        <item x="478"/>
        <item x="191"/>
        <item x="221"/>
        <item x="63"/>
        <item x="22"/>
        <item x="347"/>
        <item x="17"/>
        <item x="98"/>
        <item x="534"/>
        <item x="153"/>
        <item x="36"/>
        <item x="70"/>
        <item x="335"/>
        <item x="461"/>
        <item x="445"/>
        <item x="121"/>
        <item x="290"/>
        <item x="259"/>
        <item x="493"/>
        <item x="507"/>
        <item x="210"/>
        <item x="84"/>
        <item x="11"/>
        <item x="3"/>
        <item x="85"/>
        <item x="148"/>
        <item x="209"/>
        <item x="103"/>
        <item x="120"/>
        <item x="24"/>
        <item x="142"/>
        <item x="510"/>
        <item x="365"/>
        <item x="12"/>
        <item x="496"/>
        <item x="116"/>
        <item x="513"/>
        <item x="245"/>
        <item x="223"/>
        <item x="268"/>
        <item x="356"/>
        <item x="471"/>
        <item x="497"/>
        <item x="100"/>
        <item x="118"/>
        <item x="512"/>
        <item x="180"/>
        <item x="341"/>
        <item x="495"/>
        <item x="328"/>
        <item x="206"/>
        <item x="194"/>
        <item x="270"/>
        <item x="396"/>
        <item x="251"/>
        <item x="387"/>
        <item x="272"/>
        <item x="117"/>
        <item x="195"/>
        <item x="211"/>
        <item x="332"/>
        <item x="159"/>
        <item x="310"/>
        <item x="134"/>
        <item x="59"/>
        <item x="236"/>
        <item x="358"/>
        <item x="501"/>
        <item x="16"/>
        <item x="71"/>
        <item x="199"/>
        <item x="508"/>
        <item x="263"/>
        <item x="49"/>
        <item x="215"/>
        <item x="311"/>
        <item x="499"/>
        <item x="435"/>
        <item x="515"/>
        <item x="5"/>
        <item x="455"/>
        <item x="343"/>
        <item x="360"/>
        <item x="115"/>
        <item x="252"/>
        <item x="391"/>
        <item x="393"/>
        <item x="345"/>
        <item x="175"/>
        <item x="338"/>
        <item x="257"/>
        <item x="202"/>
        <item x="198"/>
        <item x="492"/>
        <item x="494"/>
        <item x="333"/>
        <item x="192"/>
        <item x="254"/>
        <item x="473"/>
        <item x="240"/>
        <item x="385"/>
        <item x="313"/>
        <item x="219"/>
        <item x="503"/>
        <item x="128"/>
        <item x="514"/>
        <item x="135"/>
        <item x="506"/>
        <item x="56"/>
        <item x="184"/>
        <item x="189"/>
        <item x="33"/>
        <item x="29"/>
        <item x="262"/>
        <item x="530"/>
        <item x="344"/>
        <item x="405"/>
        <item x="475"/>
        <item x="280"/>
        <item x="6"/>
        <item x="171"/>
        <item x="25"/>
        <item x="377"/>
        <item x="517"/>
        <item x="173"/>
        <item x="315"/>
        <item x="20"/>
        <item x="136"/>
        <item x="368"/>
        <item x="349"/>
        <item x="205"/>
        <item x="516"/>
        <item x="324"/>
        <item x="112"/>
        <item x="322"/>
        <item x="176"/>
        <item x="232"/>
        <item x="277"/>
        <item x="154"/>
        <item x="247"/>
        <item x="217"/>
        <item x="96"/>
        <item x="50"/>
        <item x="271"/>
        <item x="436"/>
        <item x="48"/>
        <item x="162"/>
        <item x="340"/>
        <item x="433"/>
        <item x="92"/>
        <item x="486"/>
        <item x="294"/>
        <item x="21"/>
        <item x="423"/>
        <item x="334"/>
        <item x="188"/>
        <item x="91"/>
        <item x="54"/>
        <item x="520"/>
        <item x="428"/>
        <item x="353"/>
        <item x="183"/>
        <item x="422"/>
        <item x="80"/>
        <item x="264"/>
        <item x="225"/>
        <item x="77"/>
        <item x="235"/>
        <item x="331"/>
        <item x="330"/>
        <item x="38"/>
        <item x="139"/>
        <item x="366"/>
        <item x="214"/>
        <item x="351"/>
        <item x="52"/>
        <item x="361"/>
        <item x="95"/>
        <item x="178"/>
        <item x="511"/>
        <item x="35"/>
        <item x="373"/>
        <item x="284"/>
        <item x="491"/>
        <item x="392"/>
        <item x="299"/>
        <item x="201"/>
        <item x="409"/>
        <item x="68"/>
        <item x="200"/>
        <item x="395"/>
        <item x="41"/>
        <item x="109"/>
        <item x="314"/>
        <item x="470"/>
        <item x="519"/>
        <item x="69"/>
        <item x="27"/>
        <item x="453"/>
        <item x="157"/>
        <item x="113"/>
        <item x="127"/>
        <item x="319"/>
        <item x="401"/>
        <item x="446"/>
        <item x="449"/>
        <item x="155"/>
        <item x="489"/>
        <item x="255"/>
        <item x="60"/>
        <item x="452"/>
        <item x="174"/>
        <item x="447"/>
        <item x="404"/>
        <item x="253"/>
        <item x="442"/>
        <item x="170"/>
        <item x="156"/>
        <item x="260"/>
        <item x="51"/>
        <item x="97"/>
        <item x="281"/>
        <item x="62"/>
        <item x="398"/>
        <item x="458"/>
        <item x="151"/>
        <item x="197"/>
        <item x="13"/>
        <item x="303"/>
        <item x="102"/>
        <item x="468"/>
        <item x="370"/>
        <item x="500"/>
        <item x="397"/>
        <item x="490"/>
        <item x="379"/>
        <item x="337"/>
        <item x="158"/>
        <item x="2"/>
        <item x="26"/>
        <item x="237"/>
        <item t="default"/>
      </items>
    </pivotField>
    <pivotField showAll="0">
      <items count="3">
        <item x="0"/>
        <item x="1"/>
        <item t="default"/>
      </items>
    </pivotField>
    <pivotField showAll="0"/>
    <pivotField dataField="1" showAll="0"/>
    <pivotField showAll="0">
      <items count="4">
        <item x="2"/>
        <item x="1"/>
        <item x="0"/>
        <item t="default"/>
      </items>
    </pivotField>
    <pivotField showAll="0"/>
    <pivotField showAll="0"/>
    <pivotField showAll="0"/>
    <pivotField numFmtId="164" showAll="0">
      <items count="8">
        <item x="1"/>
        <item x="2"/>
        <item x="3"/>
        <item x="5"/>
        <item x="4"/>
        <item x="0"/>
        <item x="6"/>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32">
    <i>
      <x v="22"/>
    </i>
    <i>
      <x v="21"/>
    </i>
    <i>
      <x v="4"/>
    </i>
    <i>
      <x/>
    </i>
    <i>
      <x v="14"/>
    </i>
    <i>
      <x v="16"/>
    </i>
    <i>
      <x v="3"/>
    </i>
    <i>
      <x v="1"/>
    </i>
    <i>
      <x v="15"/>
    </i>
    <i>
      <x v="8"/>
    </i>
    <i>
      <x v="23"/>
    </i>
    <i>
      <x v="20"/>
    </i>
    <i>
      <x v="12"/>
    </i>
    <i>
      <x v="11"/>
    </i>
    <i>
      <x v="2"/>
    </i>
    <i>
      <x v="7"/>
    </i>
    <i>
      <x v="10"/>
    </i>
    <i>
      <x v="28"/>
    </i>
    <i>
      <x v="5"/>
    </i>
    <i>
      <x v="25"/>
    </i>
    <i>
      <x v="6"/>
    </i>
    <i>
      <x v="30"/>
    </i>
    <i>
      <x v="27"/>
    </i>
    <i>
      <x v="29"/>
    </i>
    <i>
      <x v="26"/>
    </i>
    <i>
      <x v="13"/>
    </i>
    <i>
      <x v="19"/>
    </i>
    <i>
      <x v="24"/>
    </i>
    <i>
      <x v="17"/>
    </i>
    <i>
      <x v="18"/>
    </i>
    <i>
      <x v="9"/>
    </i>
    <i t="grand">
      <x/>
    </i>
  </rowItems>
  <colItems count="1">
    <i/>
  </colItems>
  <dataFields count="1">
    <dataField name="Sum of Sales" fld="6" baseField="0" baseItem="0"/>
  </dataFields>
  <formats count="1">
    <format dxfId="11">
      <pivotArea collapsedLevelsAreSubtotals="1" fieldPosition="0">
        <references count="1">
          <reference field="0" count="0"/>
        </references>
      </pivotArea>
    </format>
  </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7609267-CB53-4E79-B5E7-69E9B24E577F}" name="PivotTable10"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rowHeaderCaption="Transaction date">
  <location ref="A4:B36" firstHeaderRow="1" firstDataRow="1" firstDataCol="1"/>
  <pivotFields count="14">
    <pivotField axis="axisRow" showAll="0" sortType="descending">
      <items count="32">
        <item x="4"/>
        <item x="0"/>
        <item x="7"/>
        <item x="1"/>
        <item x="2"/>
        <item x="3"/>
        <item x="5"/>
        <item x="6"/>
        <item x="8"/>
        <item x="9"/>
        <item x="11"/>
        <item x="10"/>
        <item x="12"/>
        <item x="13"/>
        <item x="14"/>
        <item x="15"/>
        <item x="16"/>
        <item x="17"/>
        <item x="18"/>
        <item x="19"/>
        <item x="20"/>
        <item x="21"/>
        <item x="22"/>
        <item x="25"/>
        <item x="23"/>
        <item x="24"/>
        <item x="26"/>
        <item x="27"/>
        <item x="28"/>
        <item x="29"/>
        <item x="30"/>
        <item t="default"/>
      </items>
      <autoSortScope>
        <pivotArea dataOnly="0" outline="0" fieldPosition="0">
          <references count="1">
            <reference field="4294967294" count="1" selected="0">
              <x v="0"/>
            </reference>
          </references>
        </pivotArea>
      </autoSortScope>
    </pivotField>
    <pivotField numFmtId="165" showAll="0" measureFilter="1" sortType="descending">
      <autoSortScope>
        <pivotArea dataOnly="0" outline="0" fieldPosition="0">
          <references count="1">
            <reference field="4294967294" count="1" selected="0">
              <x v="0"/>
            </reference>
          </references>
        </pivotArea>
      </autoSortScope>
    </pivotField>
    <pivotField showAll="0"/>
    <pivotField numFmtId="166" showAll="0">
      <items count="536">
        <item x="406"/>
        <item x="509"/>
        <item x="462"/>
        <item x="132"/>
        <item x="165"/>
        <item x="1"/>
        <item x="413"/>
        <item x="483"/>
        <item x="482"/>
        <item x="220"/>
        <item x="424"/>
        <item x="419"/>
        <item x="138"/>
        <item x="440"/>
        <item x="179"/>
        <item x="185"/>
        <item x="460"/>
        <item x="258"/>
        <item x="485"/>
        <item x="307"/>
        <item x="30"/>
        <item x="231"/>
        <item x="374"/>
        <item x="292"/>
        <item x="450"/>
        <item x="498"/>
        <item x="291"/>
        <item x="372"/>
        <item x="526"/>
        <item x="388"/>
        <item x="267"/>
        <item x="454"/>
        <item x="469"/>
        <item x="521"/>
        <item x="161"/>
        <item x="89"/>
        <item x="412"/>
        <item x="426"/>
        <item x="402"/>
        <item x="427"/>
        <item x="407"/>
        <item x="298"/>
        <item x="40"/>
        <item x="439"/>
        <item x="400"/>
        <item x="126"/>
        <item x="61"/>
        <item x="218"/>
        <item x="421"/>
        <item x="106"/>
        <item x="182"/>
        <item x="522"/>
        <item x="430"/>
        <item x="479"/>
        <item x="239"/>
        <item x="104"/>
        <item x="67"/>
        <item x="484"/>
        <item x="7"/>
        <item x="502"/>
        <item x="411"/>
        <item x="432"/>
        <item x="10"/>
        <item x="394"/>
        <item x="147"/>
        <item x="389"/>
        <item x="529"/>
        <item x="371"/>
        <item x="525"/>
        <item x="261"/>
        <item x="414"/>
        <item x="230"/>
        <item x="444"/>
        <item x="122"/>
        <item x="44"/>
        <item x="101"/>
        <item x="4"/>
        <item x="438"/>
        <item x="408"/>
        <item x="380"/>
        <item x="466"/>
        <item x="420"/>
        <item x="416"/>
        <item x="190"/>
        <item x="527"/>
        <item x="129"/>
        <item x="111"/>
        <item x="28"/>
        <item x="316"/>
        <item x="275"/>
        <item x="228"/>
        <item x="124"/>
        <item x="37"/>
        <item x="505"/>
        <item x="172"/>
        <item x="312"/>
        <item x="354"/>
        <item x="23"/>
        <item x="467"/>
        <item x="390"/>
        <item x="15"/>
        <item x="131"/>
        <item x="384"/>
        <item x="300"/>
        <item x="207"/>
        <item x="375"/>
        <item x="169"/>
        <item x="32"/>
        <item x="367"/>
        <item x="105"/>
        <item x="149"/>
        <item x="378"/>
        <item x="443"/>
        <item x="350"/>
        <item x="119"/>
        <item x="329"/>
        <item x="487"/>
        <item x="296"/>
        <item x="45"/>
        <item x="53"/>
        <item x="448"/>
        <item x="276"/>
        <item x="137"/>
        <item x="410"/>
        <item x="531"/>
        <item x="464"/>
        <item x="222"/>
        <item x="481"/>
        <item x="441"/>
        <item x="418"/>
        <item x="14"/>
        <item x="234"/>
        <item x="348"/>
        <item x="359"/>
        <item x="369"/>
        <item x="164"/>
        <item x="278"/>
        <item x="431"/>
        <item x="474"/>
        <item x="381"/>
        <item x="193"/>
        <item x="204"/>
        <item x="87"/>
        <item x="233"/>
        <item x="47"/>
        <item x="429"/>
        <item x="302"/>
        <item x="246"/>
        <item x="357"/>
        <item x="437"/>
        <item x="64"/>
        <item x="305"/>
        <item x="18"/>
        <item x="226"/>
        <item x="140"/>
        <item x="73"/>
        <item x="386"/>
        <item x="434"/>
        <item x="130"/>
        <item x="352"/>
        <item x="227"/>
        <item x="323"/>
        <item x="362"/>
        <item x="488"/>
        <item x="463"/>
        <item x="241"/>
        <item x="78"/>
        <item x="285"/>
        <item x="0"/>
        <item x="39"/>
        <item x="88"/>
        <item x="282"/>
        <item x="145"/>
        <item x="532"/>
        <item x="229"/>
        <item x="66"/>
        <item x="74"/>
        <item x="249"/>
        <item x="480"/>
        <item x="472"/>
        <item x="363"/>
        <item x="376"/>
        <item x="417"/>
        <item x="293"/>
        <item x="364"/>
        <item x="425"/>
        <item x="295"/>
        <item x="325"/>
        <item x="75"/>
        <item x="46"/>
        <item x="518"/>
        <item x="93"/>
        <item x="65"/>
        <item x="216"/>
        <item x="167"/>
        <item x="58"/>
        <item x="533"/>
        <item x="451"/>
        <item x="326"/>
        <item x="76"/>
        <item x="321"/>
        <item x="57"/>
        <item x="256"/>
        <item x="166"/>
        <item x="86"/>
        <item x="90"/>
        <item x="286"/>
        <item x="355"/>
        <item x="141"/>
        <item x="288"/>
        <item x="383"/>
        <item x="160"/>
        <item x="336"/>
        <item x="289"/>
        <item x="456"/>
        <item x="203"/>
        <item x="248"/>
        <item x="208"/>
        <item x="244"/>
        <item x="94"/>
        <item x="477"/>
        <item x="279"/>
        <item x="399"/>
        <item x="266"/>
        <item x="168"/>
        <item x="186"/>
        <item x="317"/>
        <item x="339"/>
        <item x="297"/>
        <item x="34"/>
        <item x="318"/>
        <item x="342"/>
        <item x="346"/>
        <item x="31"/>
        <item x="304"/>
        <item x="82"/>
        <item x="459"/>
        <item x="163"/>
        <item x="144"/>
        <item x="242"/>
        <item x="108"/>
        <item x="457"/>
        <item x="403"/>
        <item x="523"/>
        <item x="72"/>
        <item x="283"/>
        <item x="150"/>
        <item x="224"/>
        <item x="528"/>
        <item x="415"/>
        <item x="306"/>
        <item x="19"/>
        <item x="524"/>
        <item x="114"/>
        <item x="143"/>
        <item x="133"/>
        <item x="465"/>
        <item x="265"/>
        <item x="476"/>
        <item x="382"/>
        <item x="274"/>
        <item x="79"/>
        <item x="177"/>
        <item x="243"/>
        <item x="250"/>
        <item x="308"/>
        <item x="83"/>
        <item x="125"/>
        <item x="301"/>
        <item x="213"/>
        <item x="107"/>
        <item x="146"/>
        <item x="110"/>
        <item x="273"/>
        <item x="269"/>
        <item x="196"/>
        <item x="309"/>
        <item x="187"/>
        <item x="9"/>
        <item x="287"/>
        <item x="99"/>
        <item x="55"/>
        <item x="181"/>
        <item x="123"/>
        <item x="504"/>
        <item x="320"/>
        <item x="238"/>
        <item x="212"/>
        <item x="327"/>
        <item x="152"/>
        <item x="42"/>
        <item x="8"/>
        <item x="81"/>
        <item x="43"/>
        <item x="478"/>
        <item x="191"/>
        <item x="221"/>
        <item x="63"/>
        <item x="22"/>
        <item x="347"/>
        <item x="17"/>
        <item x="98"/>
        <item x="534"/>
        <item x="153"/>
        <item x="36"/>
        <item x="70"/>
        <item x="335"/>
        <item x="461"/>
        <item x="445"/>
        <item x="121"/>
        <item x="290"/>
        <item x="259"/>
        <item x="493"/>
        <item x="507"/>
        <item x="210"/>
        <item x="84"/>
        <item x="11"/>
        <item x="3"/>
        <item x="85"/>
        <item x="148"/>
        <item x="209"/>
        <item x="103"/>
        <item x="120"/>
        <item x="24"/>
        <item x="142"/>
        <item x="510"/>
        <item x="365"/>
        <item x="12"/>
        <item x="496"/>
        <item x="116"/>
        <item x="513"/>
        <item x="245"/>
        <item x="223"/>
        <item x="268"/>
        <item x="356"/>
        <item x="471"/>
        <item x="497"/>
        <item x="100"/>
        <item x="118"/>
        <item x="512"/>
        <item x="180"/>
        <item x="341"/>
        <item x="495"/>
        <item x="328"/>
        <item x="206"/>
        <item x="194"/>
        <item x="270"/>
        <item x="396"/>
        <item x="251"/>
        <item x="387"/>
        <item x="272"/>
        <item x="117"/>
        <item x="195"/>
        <item x="211"/>
        <item x="332"/>
        <item x="159"/>
        <item x="310"/>
        <item x="134"/>
        <item x="59"/>
        <item x="236"/>
        <item x="358"/>
        <item x="501"/>
        <item x="16"/>
        <item x="71"/>
        <item x="199"/>
        <item x="508"/>
        <item x="263"/>
        <item x="49"/>
        <item x="215"/>
        <item x="311"/>
        <item x="499"/>
        <item x="435"/>
        <item x="515"/>
        <item x="5"/>
        <item x="455"/>
        <item x="343"/>
        <item x="360"/>
        <item x="115"/>
        <item x="252"/>
        <item x="391"/>
        <item x="393"/>
        <item x="345"/>
        <item x="175"/>
        <item x="338"/>
        <item x="257"/>
        <item x="202"/>
        <item x="198"/>
        <item x="492"/>
        <item x="494"/>
        <item x="333"/>
        <item x="192"/>
        <item x="254"/>
        <item x="473"/>
        <item x="240"/>
        <item x="385"/>
        <item x="313"/>
        <item x="219"/>
        <item x="503"/>
        <item x="128"/>
        <item x="514"/>
        <item x="135"/>
        <item x="506"/>
        <item x="56"/>
        <item x="184"/>
        <item x="189"/>
        <item x="33"/>
        <item x="29"/>
        <item x="262"/>
        <item x="530"/>
        <item x="344"/>
        <item x="405"/>
        <item x="475"/>
        <item x="280"/>
        <item x="6"/>
        <item x="171"/>
        <item x="25"/>
        <item x="377"/>
        <item x="517"/>
        <item x="173"/>
        <item x="315"/>
        <item x="20"/>
        <item x="136"/>
        <item x="368"/>
        <item x="349"/>
        <item x="205"/>
        <item x="516"/>
        <item x="324"/>
        <item x="112"/>
        <item x="322"/>
        <item x="176"/>
        <item x="232"/>
        <item x="277"/>
        <item x="154"/>
        <item x="247"/>
        <item x="217"/>
        <item x="96"/>
        <item x="50"/>
        <item x="271"/>
        <item x="436"/>
        <item x="48"/>
        <item x="162"/>
        <item x="340"/>
        <item x="433"/>
        <item x="92"/>
        <item x="486"/>
        <item x="294"/>
        <item x="21"/>
        <item x="423"/>
        <item x="334"/>
        <item x="188"/>
        <item x="91"/>
        <item x="54"/>
        <item x="520"/>
        <item x="428"/>
        <item x="353"/>
        <item x="183"/>
        <item x="422"/>
        <item x="80"/>
        <item x="264"/>
        <item x="225"/>
        <item x="77"/>
        <item x="235"/>
        <item x="331"/>
        <item x="330"/>
        <item x="38"/>
        <item x="139"/>
        <item x="366"/>
        <item x="214"/>
        <item x="351"/>
        <item x="52"/>
        <item x="361"/>
        <item x="95"/>
        <item x="178"/>
        <item x="511"/>
        <item x="35"/>
        <item x="373"/>
        <item x="284"/>
        <item x="491"/>
        <item x="392"/>
        <item x="299"/>
        <item x="201"/>
        <item x="409"/>
        <item x="68"/>
        <item x="200"/>
        <item x="395"/>
        <item x="41"/>
        <item x="109"/>
        <item x="314"/>
        <item x="470"/>
        <item x="519"/>
        <item x="69"/>
        <item x="27"/>
        <item x="453"/>
        <item x="157"/>
        <item x="113"/>
        <item x="127"/>
        <item x="319"/>
        <item x="401"/>
        <item x="446"/>
        <item x="449"/>
        <item x="155"/>
        <item x="489"/>
        <item x="255"/>
        <item x="60"/>
        <item x="452"/>
        <item x="174"/>
        <item x="447"/>
        <item x="404"/>
        <item x="253"/>
        <item x="442"/>
        <item x="170"/>
        <item x="156"/>
        <item x="260"/>
        <item x="51"/>
        <item x="97"/>
        <item x="281"/>
        <item x="62"/>
        <item x="398"/>
        <item x="458"/>
        <item x="151"/>
        <item x="197"/>
        <item x="13"/>
        <item x="303"/>
        <item x="102"/>
        <item x="468"/>
        <item x="370"/>
        <item x="500"/>
        <item x="397"/>
        <item x="490"/>
        <item x="379"/>
        <item x="337"/>
        <item x="158"/>
        <item x="2"/>
        <item x="26"/>
        <item x="237"/>
        <item t="default"/>
      </items>
    </pivotField>
    <pivotField showAll="0">
      <items count="3">
        <item x="0"/>
        <item x="1"/>
        <item t="default"/>
      </items>
    </pivotField>
    <pivotField showAll="0"/>
    <pivotField dataField="1" showAll="0"/>
    <pivotField showAll="0">
      <items count="4">
        <item x="2"/>
        <item x="1"/>
        <item x="0"/>
        <item t="default"/>
      </items>
    </pivotField>
    <pivotField showAll="0"/>
    <pivotField showAll="0"/>
    <pivotField showAll="0"/>
    <pivotField numFmtId="164" showAll="0">
      <items count="8">
        <item x="1"/>
        <item x="2"/>
        <item x="3"/>
        <item x="5"/>
        <item x="4"/>
        <item x="0"/>
        <item x="6"/>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32">
    <i>
      <x v="21"/>
    </i>
    <i>
      <x v="12"/>
    </i>
    <i>
      <x v="13"/>
    </i>
    <i>
      <x v="6"/>
    </i>
    <i>
      <x v="11"/>
    </i>
    <i>
      <x v="17"/>
    </i>
    <i>
      <x v="4"/>
    </i>
    <i>
      <x v="1"/>
    </i>
    <i>
      <x v="3"/>
    </i>
    <i>
      <x/>
    </i>
    <i>
      <x v="24"/>
    </i>
    <i>
      <x v="5"/>
    </i>
    <i>
      <x v="25"/>
    </i>
    <i>
      <x v="2"/>
    </i>
    <i>
      <x v="20"/>
    </i>
    <i>
      <x v="23"/>
    </i>
    <i>
      <x v="28"/>
    </i>
    <i>
      <x v="19"/>
    </i>
    <i>
      <x v="18"/>
    </i>
    <i>
      <x v="10"/>
    </i>
    <i>
      <x v="7"/>
    </i>
    <i>
      <x v="22"/>
    </i>
    <i>
      <x v="15"/>
    </i>
    <i>
      <x v="29"/>
    </i>
    <i>
      <x v="27"/>
    </i>
    <i>
      <x v="14"/>
    </i>
    <i>
      <x v="16"/>
    </i>
    <i>
      <x v="30"/>
    </i>
    <i>
      <x v="26"/>
    </i>
    <i>
      <x v="9"/>
    </i>
    <i>
      <x v="8"/>
    </i>
    <i t="grand">
      <x/>
    </i>
  </rowItems>
  <colItems count="1">
    <i/>
  </colItems>
  <dataFields count="1">
    <dataField name="Sum of Sales" fld="6" baseField="0" baseItem="0"/>
  </dataFields>
  <formats count="1">
    <format dxfId="12">
      <pivotArea collapsedLevelsAreSubtotals="1" fieldPosition="0">
        <references count="1">
          <reference field="0" count="0"/>
        </references>
      </pivotArea>
    </format>
  </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8D20FD9-CE01-4763-A827-DFDCD26D9DA7}" name="PivotTable1"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rowHeaderCaption="time range">
  <location ref="A5:C8" firstHeaderRow="0" firstDataRow="1" firstDataCol="1"/>
  <pivotFields count="14">
    <pivotField showAll="0"/>
    <pivotField numFmtId="165" showAll="0"/>
    <pivotField showAll="0"/>
    <pivotField numFmtId="166" showAll="0">
      <items count="536">
        <item x="406"/>
        <item x="509"/>
        <item x="462"/>
        <item x="132"/>
        <item x="165"/>
        <item x="1"/>
        <item x="413"/>
        <item x="483"/>
        <item x="482"/>
        <item x="220"/>
        <item x="424"/>
        <item x="419"/>
        <item x="138"/>
        <item x="440"/>
        <item x="179"/>
        <item x="185"/>
        <item x="460"/>
        <item x="258"/>
        <item x="485"/>
        <item x="307"/>
        <item x="30"/>
        <item x="231"/>
        <item x="374"/>
        <item x="292"/>
        <item x="450"/>
        <item x="498"/>
        <item x="291"/>
        <item x="372"/>
        <item x="526"/>
        <item x="388"/>
        <item x="267"/>
        <item x="454"/>
        <item x="469"/>
        <item x="521"/>
        <item x="161"/>
        <item x="89"/>
        <item x="412"/>
        <item x="426"/>
        <item x="402"/>
        <item x="427"/>
        <item x="407"/>
        <item x="298"/>
        <item x="40"/>
        <item x="439"/>
        <item x="400"/>
        <item x="126"/>
        <item x="61"/>
        <item x="218"/>
        <item x="421"/>
        <item x="106"/>
        <item x="182"/>
        <item x="522"/>
        <item x="430"/>
        <item x="479"/>
        <item x="239"/>
        <item x="104"/>
        <item x="67"/>
        <item x="484"/>
        <item x="7"/>
        <item x="502"/>
        <item x="411"/>
        <item x="432"/>
        <item x="10"/>
        <item x="394"/>
        <item x="147"/>
        <item x="389"/>
        <item x="529"/>
        <item x="371"/>
        <item x="525"/>
        <item x="261"/>
        <item x="414"/>
        <item x="230"/>
        <item x="444"/>
        <item x="122"/>
        <item x="44"/>
        <item x="101"/>
        <item x="4"/>
        <item x="438"/>
        <item x="408"/>
        <item x="380"/>
        <item x="466"/>
        <item x="420"/>
        <item x="416"/>
        <item x="190"/>
        <item x="527"/>
        <item x="129"/>
        <item x="111"/>
        <item x="28"/>
        <item x="316"/>
        <item x="275"/>
        <item x="228"/>
        <item x="124"/>
        <item x="37"/>
        <item x="505"/>
        <item x="172"/>
        <item x="312"/>
        <item x="354"/>
        <item x="23"/>
        <item x="467"/>
        <item x="390"/>
        <item x="15"/>
        <item x="131"/>
        <item x="384"/>
        <item x="300"/>
        <item x="207"/>
        <item x="375"/>
        <item x="169"/>
        <item x="32"/>
        <item x="367"/>
        <item x="105"/>
        <item x="149"/>
        <item x="378"/>
        <item x="443"/>
        <item x="350"/>
        <item x="119"/>
        <item x="329"/>
        <item x="487"/>
        <item x="296"/>
        <item x="45"/>
        <item x="53"/>
        <item x="448"/>
        <item x="276"/>
        <item x="137"/>
        <item x="410"/>
        <item x="531"/>
        <item x="464"/>
        <item x="222"/>
        <item x="481"/>
        <item x="441"/>
        <item x="418"/>
        <item x="14"/>
        <item x="234"/>
        <item x="348"/>
        <item x="359"/>
        <item x="369"/>
        <item x="164"/>
        <item x="278"/>
        <item x="431"/>
        <item x="474"/>
        <item x="381"/>
        <item x="193"/>
        <item x="204"/>
        <item x="87"/>
        <item x="233"/>
        <item x="47"/>
        <item x="429"/>
        <item x="302"/>
        <item x="246"/>
        <item x="357"/>
        <item x="437"/>
        <item x="64"/>
        <item x="305"/>
        <item x="18"/>
        <item x="226"/>
        <item x="140"/>
        <item x="73"/>
        <item x="386"/>
        <item x="434"/>
        <item x="130"/>
        <item x="352"/>
        <item x="227"/>
        <item x="323"/>
        <item x="362"/>
        <item x="488"/>
        <item x="463"/>
        <item x="241"/>
        <item x="78"/>
        <item x="285"/>
        <item x="0"/>
        <item x="39"/>
        <item x="88"/>
        <item x="282"/>
        <item x="145"/>
        <item x="532"/>
        <item x="229"/>
        <item x="66"/>
        <item x="74"/>
        <item x="249"/>
        <item x="480"/>
        <item x="472"/>
        <item x="363"/>
        <item x="376"/>
        <item x="417"/>
        <item x="293"/>
        <item x="364"/>
        <item x="425"/>
        <item x="295"/>
        <item x="325"/>
        <item x="75"/>
        <item x="46"/>
        <item x="518"/>
        <item x="93"/>
        <item x="65"/>
        <item x="216"/>
        <item x="167"/>
        <item x="58"/>
        <item x="533"/>
        <item x="451"/>
        <item x="326"/>
        <item x="76"/>
        <item x="321"/>
        <item x="57"/>
        <item x="256"/>
        <item x="166"/>
        <item x="86"/>
        <item x="90"/>
        <item x="286"/>
        <item x="355"/>
        <item x="141"/>
        <item x="288"/>
        <item x="383"/>
        <item x="160"/>
        <item x="336"/>
        <item x="289"/>
        <item x="456"/>
        <item x="203"/>
        <item x="248"/>
        <item x="208"/>
        <item x="244"/>
        <item x="94"/>
        <item x="477"/>
        <item x="279"/>
        <item x="399"/>
        <item x="266"/>
        <item x="168"/>
        <item x="186"/>
        <item x="317"/>
        <item x="339"/>
        <item x="297"/>
        <item x="34"/>
        <item x="318"/>
        <item x="342"/>
        <item x="346"/>
        <item x="31"/>
        <item x="304"/>
        <item x="82"/>
        <item x="459"/>
        <item x="163"/>
        <item x="144"/>
        <item x="242"/>
        <item x="108"/>
        <item x="457"/>
        <item x="403"/>
        <item x="523"/>
        <item x="72"/>
        <item x="283"/>
        <item x="150"/>
        <item x="224"/>
        <item x="528"/>
        <item x="415"/>
        <item x="306"/>
        <item x="19"/>
        <item x="524"/>
        <item x="114"/>
        <item x="143"/>
        <item x="133"/>
        <item x="465"/>
        <item x="265"/>
        <item x="476"/>
        <item x="382"/>
        <item x="274"/>
        <item x="79"/>
        <item x="177"/>
        <item x="243"/>
        <item x="250"/>
        <item x="308"/>
        <item x="83"/>
        <item x="125"/>
        <item x="301"/>
        <item x="213"/>
        <item x="107"/>
        <item x="146"/>
        <item x="110"/>
        <item x="273"/>
        <item x="269"/>
        <item x="196"/>
        <item x="309"/>
        <item x="187"/>
        <item x="9"/>
        <item x="287"/>
        <item x="99"/>
        <item x="55"/>
        <item x="181"/>
        <item x="123"/>
        <item x="504"/>
        <item x="320"/>
        <item x="238"/>
        <item x="212"/>
        <item x="327"/>
        <item x="152"/>
        <item x="42"/>
        <item x="8"/>
        <item x="81"/>
        <item x="43"/>
        <item x="478"/>
        <item x="191"/>
        <item x="221"/>
        <item x="63"/>
        <item x="22"/>
        <item x="347"/>
        <item x="17"/>
        <item x="98"/>
        <item x="534"/>
        <item x="153"/>
        <item x="36"/>
        <item x="70"/>
        <item x="335"/>
        <item x="461"/>
        <item x="445"/>
        <item x="121"/>
        <item x="290"/>
        <item x="259"/>
        <item x="493"/>
        <item x="507"/>
        <item x="210"/>
        <item x="84"/>
        <item x="11"/>
        <item x="3"/>
        <item x="85"/>
        <item x="148"/>
        <item x="209"/>
        <item x="103"/>
        <item x="120"/>
        <item x="24"/>
        <item x="142"/>
        <item x="510"/>
        <item x="365"/>
        <item x="12"/>
        <item x="496"/>
        <item x="116"/>
        <item x="513"/>
        <item x="245"/>
        <item x="223"/>
        <item x="268"/>
        <item x="356"/>
        <item x="471"/>
        <item x="497"/>
        <item x="100"/>
        <item x="118"/>
        <item x="512"/>
        <item x="180"/>
        <item x="341"/>
        <item x="495"/>
        <item x="328"/>
        <item x="206"/>
        <item x="194"/>
        <item x="270"/>
        <item x="396"/>
        <item x="251"/>
        <item x="387"/>
        <item x="272"/>
        <item x="117"/>
        <item x="195"/>
        <item x="211"/>
        <item x="332"/>
        <item x="159"/>
        <item x="310"/>
        <item x="134"/>
        <item x="59"/>
        <item x="236"/>
        <item x="358"/>
        <item x="501"/>
        <item x="16"/>
        <item x="71"/>
        <item x="199"/>
        <item x="508"/>
        <item x="263"/>
        <item x="49"/>
        <item x="215"/>
        <item x="311"/>
        <item x="499"/>
        <item x="435"/>
        <item x="515"/>
        <item x="5"/>
        <item x="455"/>
        <item x="343"/>
        <item x="360"/>
        <item x="115"/>
        <item x="252"/>
        <item x="391"/>
        <item x="393"/>
        <item x="345"/>
        <item x="175"/>
        <item x="338"/>
        <item x="257"/>
        <item x="202"/>
        <item x="198"/>
        <item x="492"/>
        <item x="494"/>
        <item x="333"/>
        <item x="192"/>
        <item x="254"/>
        <item x="473"/>
        <item x="240"/>
        <item x="385"/>
        <item x="313"/>
        <item x="219"/>
        <item x="503"/>
        <item x="128"/>
        <item x="514"/>
        <item x="135"/>
        <item x="506"/>
        <item x="56"/>
        <item x="184"/>
        <item x="189"/>
        <item x="33"/>
        <item x="29"/>
        <item x="262"/>
        <item x="530"/>
        <item x="344"/>
        <item x="405"/>
        <item x="475"/>
        <item x="280"/>
        <item x="6"/>
        <item x="171"/>
        <item x="25"/>
        <item x="377"/>
        <item x="517"/>
        <item x="173"/>
        <item x="315"/>
        <item x="20"/>
        <item x="136"/>
        <item x="368"/>
        <item x="349"/>
        <item x="205"/>
        <item x="516"/>
        <item x="324"/>
        <item x="112"/>
        <item x="322"/>
        <item x="176"/>
        <item x="232"/>
        <item x="277"/>
        <item x="154"/>
        <item x="247"/>
        <item x="217"/>
        <item x="96"/>
        <item x="50"/>
        <item x="271"/>
        <item x="436"/>
        <item x="48"/>
        <item x="162"/>
        <item x="340"/>
        <item x="433"/>
        <item x="92"/>
        <item x="486"/>
        <item x="294"/>
        <item x="21"/>
        <item x="423"/>
        <item x="334"/>
        <item x="188"/>
        <item x="91"/>
        <item x="54"/>
        <item x="520"/>
        <item x="428"/>
        <item x="353"/>
        <item x="183"/>
        <item x="422"/>
        <item x="80"/>
        <item x="264"/>
        <item x="225"/>
        <item x="77"/>
        <item x="235"/>
        <item x="331"/>
        <item x="330"/>
        <item x="38"/>
        <item x="139"/>
        <item x="366"/>
        <item x="214"/>
        <item x="351"/>
        <item x="52"/>
        <item x="361"/>
        <item x="95"/>
        <item x="178"/>
        <item x="511"/>
        <item x="35"/>
        <item x="373"/>
        <item x="284"/>
        <item x="491"/>
        <item x="392"/>
        <item x="299"/>
        <item x="201"/>
        <item x="409"/>
        <item x="68"/>
        <item x="200"/>
        <item x="395"/>
        <item x="41"/>
        <item x="109"/>
        <item x="314"/>
        <item x="470"/>
        <item x="519"/>
        <item x="69"/>
        <item x="27"/>
        <item x="453"/>
        <item x="157"/>
        <item x="113"/>
        <item x="127"/>
        <item x="319"/>
        <item x="401"/>
        <item x="446"/>
        <item x="449"/>
        <item x="155"/>
        <item x="489"/>
        <item x="255"/>
        <item x="60"/>
        <item x="452"/>
        <item x="174"/>
        <item x="447"/>
        <item x="404"/>
        <item x="253"/>
        <item x="442"/>
        <item x="170"/>
        <item x="156"/>
        <item x="260"/>
        <item x="51"/>
        <item x="97"/>
        <item x="281"/>
        <item x="62"/>
        <item x="398"/>
        <item x="458"/>
        <item x="151"/>
        <item x="197"/>
        <item x="13"/>
        <item x="303"/>
        <item x="102"/>
        <item x="468"/>
        <item x="370"/>
        <item x="500"/>
        <item x="397"/>
        <item x="490"/>
        <item x="379"/>
        <item x="337"/>
        <item x="158"/>
        <item x="2"/>
        <item x="26"/>
        <item x="237"/>
        <item t="default"/>
      </items>
    </pivotField>
    <pivotField axis="axisRow" showAll="0">
      <items count="3">
        <item x="0"/>
        <item x="1"/>
        <item t="default"/>
      </items>
    </pivotField>
    <pivotField showAll="0"/>
    <pivotField dataField="1" showAll="0"/>
    <pivotField showAll="0">
      <items count="4">
        <item x="2"/>
        <item x="1"/>
        <item x="0"/>
        <item t="default"/>
      </items>
    </pivotField>
    <pivotField showAll="0"/>
    <pivotField showAll="0"/>
    <pivotField showAll="0"/>
    <pivotField numFmtId="164" showAll="0">
      <items count="8">
        <item x="1"/>
        <item x="2"/>
        <item x="3"/>
        <item x="5"/>
        <item x="4"/>
        <item x="0"/>
        <item x="6"/>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4"/>
  </rowFields>
  <rowItems count="3">
    <i>
      <x/>
    </i>
    <i>
      <x v="1"/>
    </i>
    <i t="grand">
      <x/>
    </i>
  </rowItems>
  <colFields count="1">
    <field x="-2"/>
  </colFields>
  <colItems count="2">
    <i>
      <x/>
    </i>
    <i i="1">
      <x v="1"/>
    </i>
  </colItems>
  <dataFields count="2">
    <dataField name="Sum of Sales" fld="6" showDataAs="percentOfTotal" baseField="0" baseItem="0" numFmtId="10"/>
    <dataField name="Sum of Sales2" fld="6" baseField="0" baseItem="0"/>
  </dataFields>
  <formats count="1">
    <format dxfId="10">
      <pivotArea collapsedLevelsAreSubtotals="1" fieldPosition="0">
        <references count="2">
          <reference field="4294967294" count="1" selected="0">
            <x v="1"/>
          </reference>
          <reference field="4"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68583A3-9A9F-46B4-8369-71401CDF8602}" name="PivotTable2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60" firstHeaderRow="1" firstDataRow="1" firstDataCol="1"/>
  <pivotFields count="14">
    <pivotField showAll="0"/>
    <pivotField numFmtId="165" showAll="0"/>
    <pivotField showAll="0"/>
    <pivotField numFmtId="166" showAll="0">
      <items count="536">
        <item x="406"/>
        <item x="509"/>
        <item x="462"/>
        <item x="132"/>
        <item x="165"/>
        <item x="1"/>
        <item x="413"/>
        <item x="483"/>
        <item x="482"/>
        <item x="220"/>
        <item x="424"/>
        <item x="419"/>
        <item x="138"/>
        <item x="440"/>
        <item x="179"/>
        <item x="185"/>
        <item x="460"/>
        <item x="258"/>
        <item x="485"/>
        <item x="307"/>
        <item x="30"/>
        <item x="231"/>
        <item x="374"/>
        <item x="292"/>
        <item x="450"/>
        <item x="498"/>
        <item x="291"/>
        <item x="372"/>
        <item x="526"/>
        <item x="388"/>
        <item x="267"/>
        <item x="454"/>
        <item x="469"/>
        <item x="521"/>
        <item x="161"/>
        <item x="89"/>
        <item x="412"/>
        <item x="426"/>
        <item x="402"/>
        <item x="427"/>
        <item x="407"/>
        <item x="298"/>
        <item x="40"/>
        <item x="439"/>
        <item x="400"/>
        <item x="126"/>
        <item x="61"/>
        <item x="218"/>
        <item x="421"/>
        <item x="106"/>
        <item x="182"/>
        <item x="522"/>
        <item x="430"/>
        <item x="479"/>
        <item x="239"/>
        <item x="104"/>
        <item x="67"/>
        <item x="484"/>
        <item x="7"/>
        <item x="502"/>
        <item x="411"/>
        <item x="432"/>
        <item x="10"/>
        <item x="394"/>
        <item x="147"/>
        <item x="389"/>
        <item x="529"/>
        <item x="371"/>
        <item x="525"/>
        <item x="261"/>
        <item x="414"/>
        <item x="230"/>
        <item x="444"/>
        <item x="122"/>
        <item x="44"/>
        <item x="101"/>
        <item x="4"/>
        <item x="438"/>
        <item x="408"/>
        <item x="380"/>
        <item x="466"/>
        <item x="420"/>
        <item x="416"/>
        <item x="190"/>
        <item x="527"/>
        <item x="129"/>
        <item x="111"/>
        <item x="28"/>
        <item x="316"/>
        <item x="275"/>
        <item x="228"/>
        <item x="124"/>
        <item x="37"/>
        <item x="505"/>
        <item x="172"/>
        <item x="312"/>
        <item x="354"/>
        <item x="23"/>
        <item x="467"/>
        <item x="390"/>
        <item x="15"/>
        <item x="131"/>
        <item x="384"/>
        <item x="300"/>
        <item x="207"/>
        <item x="375"/>
        <item x="169"/>
        <item x="32"/>
        <item x="367"/>
        <item x="105"/>
        <item x="149"/>
        <item x="378"/>
        <item x="443"/>
        <item x="350"/>
        <item x="119"/>
        <item x="329"/>
        <item x="487"/>
        <item x="296"/>
        <item x="45"/>
        <item x="53"/>
        <item x="448"/>
        <item x="276"/>
        <item x="137"/>
        <item x="410"/>
        <item x="531"/>
        <item x="464"/>
        <item x="222"/>
        <item x="481"/>
        <item x="441"/>
        <item x="418"/>
        <item x="14"/>
        <item x="234"/>
        <item x="348"/>
        <item x="359"/>
        <item x="369"/>
        <item x="164"/>
        <item x="278"/>
        <item x="431"/>
        <item x="474"/>
        <item x="381"/>
        <item x="193"/>
        <item x="204"/>
        <item x="87"/>
        <item x="233"/>
        <item x="47"/>
        <item x="429"/>
        <item x="302"/>
        <item x="246"/>
        <item x="357"/>
        <item x="437"/>
        <item x="64"/>
        <item x="305"/>
        <item x="18"/>
        <item x="226"/>
        <item x="140"/>
        <item x="73"/>
        <item x="386"/>
        <item x="434"/>
        <item x="130"/>
        <item x="352"/>
        <item x="227"/>
        <item x="323"/>
        <item x="362"/>
        <item x="488"/>
        <item x="463"/>
        <item x="241"/>
        <item x="78"/>
        <item x="285"/>
        <item x="0"/>
        <item x="39"/>
        <item x="88"/>
        <item x="282"/>
        <item x="145"/>
        <item x="532"/>
        <item x="229"/>
        <item x="66"/>
        <item x="74"/>
        <item x="249"/>
        <item x="480"/>
        <item x="472"/>
        <item x="363"/>
        <item x="376"/>
        <item x="417"/>
        <item x="293"/>
        <item x="364"/>
        <item x="425"/>
        <item x="295"/>
        <item x="325"/>
        <item x="75"/>
        <item x="46"/>
        <item x="518"/>
        <item x="93"/>
        <item x="65"/>
        <item x="216"/>
        <item x="167"/>
        <item x="58"/>
        <item x="533"/>
        <item x="451"/>
        <item x="326"/>
        <item x="76"/>
        <item x="321"/>
        <item x="57"/>
        <item x="256"/>
        <item x="166"/>
        <item x="86"/>
        <item x="90"/>
        <item x="286"/>
        <item x="355"/>
        <item x="141"/>
        <item x="288"/>
        <item x="383"/>
        <item x="160"/>
        <item x="336"/>
        <item x="289"/>
        <item x="456"/>
        <item x="203"/>
        <item x="248"/>
        <item x="208"/>
        <item x="244"/>
        <item x="94"/>
        <item x="477"/>
        <item x="279"/>
        <item x="399"/>
        <item x="266"/>
        <item x="168"/>
        <item x="186"/>
        <item x="317"/>
        <item x="339"/>
        <item x="297"/>
        <item x="34"/>
        <item x="318"/>
        <item x="342"/>
        <item x="346"/>
        <item x="31"/>
        <item x="304"/>
        <item x="82"/>
        <item x="459"/>
        <item x="163"/>
        <item x="144"/>
        <item x="242"/>
        <item x="108"/>
        <item x="457"/>
        <item x="403"/>
        <item x="523"/>
        <item x="72"/>
        <item x="283"/>
        <item x="150"/>
        <item x="224"/>
        <item x="528"/>
        <item x="415"/>
        <item x="306"/>
        <item x="19"/>
        <item x="524"/>
        <item x="114"/>
        <item x="143"/>
        <item x="133"/>
        <item x="465"/>
        <item x="265"/>
        <item x="476"/>
        <item x="382"/>
        <item x="274"/>
        <item x="79"/>
        <item x="177"/>
        <item x="243"/>
        <item x="250"/>
        <item x="308"/>
        <item x="83"/>
        <item x="125"/>
        <item x="301"/>
        <item x="213"/>
        <item x="107"/>
        <item x="146"/>
        <item x="110"/>
        <item x="273"/>
        <item x="269"/>
        <item x="196"/>
        <item x="309"/>
        <item x="187"/>
        <item x="9"/>
        <item x="287"/>
        <item x="99"/>
        <item x="55"/>
        <item x="181"/>
        <item x="123"/>
        <item x="504"/>
        <item x="320"/>
        <item x="238"/>
        <item x="212"/>
        <item x="327"/>
        <item x="152"/>
        <item x="42"/>
        <item x="8"/>
        <item x="81"/>
        <item x="43"/>
        <item x="478"/>
        <item x="191"/>
        <item x="221"/>
        <item x="63"/>
        <item x="22"/>
        <item x="347"/>
        <item x="17"/>
        <item x="98"/>
        <item x="534"/>
        <item x="153"/>
        <item x="36"/>
        <item x="70"/>
        <item x="335"/>
        <item x="461"/>
        <item x="445"/>
        <item x="121"/>
        <item x="290"/>
        <item x="259"/>
        <item x="493"/>
        <item x="507"/>
        <item x="210"/>
        <item x="84"/>
        <item x="11"/>
        <item x="3"/>
        <item x="85"/>
        <item x="148"/>
        <item x="209"/>
        <item x="103"/>
        <item x="120"/>
        <item x="24"/>
        <item x="142"/>
        <item x="510"/>
        <item x="365"/>
        <item x="12"/>
        <item x="496"/>
        <item x="116"/>
        <item x="513"/>
        <item x="245"/>
        <item x="223"/>
        <item x="268"/>
        <item x="356"/>
        <item x="471"/>
        <item x="497"/>
        <item x="100"/>
        <item x="118"/>
        <item x="512"/>
        <item x="180"/>
        <item x="341"/>
        <item x="495"/>
        <item x="328"/>
        <item x="206"/>
        <item x="194"/>
        <item x="270"/>
        <item x="396"/>
        <item x="251"/>
        <item x="387"/>
        <item x="272"/>
        <item x="117"/>
        <item x="195"/>
        <item x="211"/>
        <item x="332"/>
        <item x="159"/>
        <item x="310"/>
        <item x="134"/>
        <item x="59"/>
        <item x="236"/>
        <item x="358"/>
        <item x="501"/>
        <item x="16"/>
        <item x="71"/>
        <item x="199"/>
        <item x="508"/>
        <item x="263"/>
        <item x="49"/>
        <item x="215"/>
        <item x="311"/>
        <item x="499"/>
        <item x="435"/>
        <item x="515"/>
        <item x="5"/>
        <item x="455"/>
        <item x="343"/>
        <item x="360"/>
        <item x="115"/>
        <item x="252"/>
        <item x="391"/>
        <item x="393"/>
        <item x="345"/>
        <item x="175"/>
        <item x="338"/>
        <item x="257"/>
        <item x="202"/>
        <item x="198"/>
        <item x="492"/>
        <item x="494"/>
        <item x="333"/>
        <item x="192"/>
        <item x="254"/>
        <item x="473"/>
        <item x="240"/>
        <item x="385"/>
        <item x="313"/>
        <item x="219"/>
        <item x="503"/>
        <item x="128"/>
        <item x="514"/>
        <item x="135"/>
        <item x="506"/>
        <item x="56"/>
        <item x="184"/>
        <item x="189"/>
        <item x="33"/>
        <item x="29"/>
        <item x="262"/>
        <item x="530"/>
        <item x="344"/>
        <item x="405"/>
        <item x="475"/>
        <item x="280"/>
        <item x="6"/>
        <item x="171"/>
        <item x="25"/>
        <item x="377"/>
        <item x="517"/>
        <item x="173"/>
        <item x="315"/>
        <item x="20"/>
        <item x="136"/>
        <item x="368"/>
        <item x="349"/>
        <item x="205"/>
        <item x="516"/>
        <item x="324"/>
        <item x="112"/>
        <item x="322"/>
        <item x="176"/>
        <item x="232"/>
        <item x="277"/>
        <item x="154"/>
        <item x="247"/>
        <item x="217"/>
        <item x="96"/>
        <item x="50"/>
        <item x="271"/>
        <item x="436"/>
        <item x="48"/>
        <item x="162"/>
        <item x="340"/>
        <item x="433"/>
        <item x="92"/>
        <item x="486"/>
        <item x="294"/>
        <item x="21"/>
        <item x="423"/>
        <item x="334"/>
        <item x="188"/>
        <item x="91"/>
        <item x="54"/>
        <item x="520"/>
        <item x="428"/>
        <item x="353"/>
        <item x="183"/>
        <item x="422"/>
        <item x="80"/>
        <item x="264"/>
        <item x="225"/>
        <item x="77"/>
        <item x="235"/>
        <item x="331"/>
        <item x="330"/>
        <item x="38"/>
        <item x="139"/>
        <item x="366"/>
        <item x="214"/>
        <item x="351"/>
        <item x="52"/>
        <item x="361"/>
        <item x="95"/>
        <item x="178"/>
        <item x="511"/>
        <item x="35"/>
        <item x="373"/>
        <item x="284"/>
        <item x="491"/>
        <item x="392"/>
        <item x="299"/>
        <item x="201"/>
        <item x="409"/>
        <item x="68"/>
        <item x="200"/>
        <item x="395"/>
        <item x="41"/>
        <item x="109"/>
        <item x="314"/>
        <item x="470"/>
        <item x="519"/>
        <item x="69"/>
        <item x="27"/>
        <item x="453"/>
        <item x="157"/>
        <item x="113"/>
        <item x="127"/>
        <item x="319"/>
        <item x="401"/>
        <item x="446"/>
        <item x="449"/>
        <item x="155"/>
        <item x="489"/>
        <item x="255"/>
        <item x="60"/>
        <item x="452"/>
        <item x="174"/>
        <item x="447"/>
        <item x="404"/>
        <item x="253"/>
        <item x="442"/>
        <item x="170"/>
        <item x="156"/>
        <item x="260"/>
        <item x="51"/>
        <item x="97"/>
        <item x="281"/>
        <item x="62"/>
        <item x="398"/>
        <item x="458"/>
        <item x="151"/>
        <item x="197"/>
        <item x="13"/>
        <item x="303"/>
        <item x="102"/>
        <item x="468"/>
        <item x="370"/>
        <item x="500"/>
        <item x="397"/>
        <item x="490"/>
        <item x="379"/>
        <item x="337"/>
        <item x="158"/>
        <item x="2"/>
        <item x="26"/>
        <item x="237"/>
        <item t="default"/>
      </items>
    </pivotField>
    <pivotField showAll="0">
      <items count="3">
        <item x="0"/>
        <item x="1"/>
        <item t="default"/>
      </items>
    </pivotField>
    <pivotField showAll="0"/>
    <pivotField dataField="1" showAll="0"/>
    <pivotField showAll="0">
      <items count="4">
        <item x="2"/>
        <item x="1"/>
        <item x="0"/>
        <item t="default"/>
      </items>
    </pivotField>
    <pivotField showAll="0"/>
    <pivotField showAll="0"/>
    <pivotField axis="axisRow" showAll="0" sortType="descending">
      <items count="57">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autoSortScope>
        <pivotArea dataOnly="0" outline="0" fieldPosition="0">
          <references count="1">
            <reference field="4294967294" count="1" selected="0">
              <x v="0"/>
            </reference>
          </references>
        </pivotArea>
      </autoSortScope>
    </pivotField>
    <pivotField numFmtId="164" showAll="0">
      <items count="8">
        <item x="1"/>
        <item x="2"/>
        <item x="3"/>
        <item x="5"/>
        <item x="4"/>
        <item x="0"/>
        <item x="6"/>
        <item t="default"/>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10"/>
  </rowFields>
  <rowItems count="57">
    <i>
      <x v="8"/>
    </i>
    <i>
      <x v="24"/>
    </i>
    <i>
      <x v="55"/>
    </i>
    <i>
      <x v="13"/>
    </i>
    <i>
      <x v="1"/>
    </i>
    <i>
      <x v="16"/>
    </i>
    <i>
      <x v="48"/>
    </i>
    <i>
      <x v="54"/>
    </i>
    <i>
      <x v="37"/>
    </i>
    <i>
      <x v="17"/>
    </i>
    <i>
      <x v="26"/>
    </i>
    <i>
      <x v="12"/>
    </i>
    <i>
      <x v="47"/>
    </i>
    <i>
      <x v="4"/>
    </i>
    <i>
      <x v="2"/>
    </i>
    <i>
      <x v="53"/>
    </i>
    <i>
      <x v="6"/>
    </i>
    <i>
      <x v="39"/>
    </i>
    <i>
      <x v="46"/>
    </i>
    <i>
      <x v="44"/>
    </i>
    <i>
      <x v="33"/>
    </i>
    <i>
      <x v="49"/>
    </i>
    <i>
      <x v="43"/>
    </i>
    <i>
      <x v="34"/>
    </i>
    <i>
      <x v="27"/>
    </i>
    <i>
      <x v="51"/>
    </i>
    <i>
      <x v="38"/>
    </i>
    <i>
      <x v="21"/>
    </i>
    <i>
      <x v="41"/>
    </i>
    <i>
      <x v="50"/>
    </i>
    <i>
      <x v="36"/>
    </i>
    <i>
      <x v="23"/>
    </i>
    <i>
      <x v="15"/>
    </i>
    <i>
      <x v="40"/>
    </i>
    <i>
      <x v="30"/>
    </i>
    <i>
      <x v="45"/>
    </i>
    <i>
      <x v="22"/>
    </i>
    <i>
      <x v="35"/>
    </i>
    <i>
      <x v="19"/>
    </i>
    <i>
      <x v="11"/>
    </i>
    <i>
      <x v="32"/>
    </i>
    <i>
      <x v="14"/>
    </i>
    <i>
      <x v="10"/>
    </i>
    <i>
      <x/>
    </i>
    <i>
      <x v="18"/>
    </i>
    <i>
      <x v="28"/>
    </i>
    <i>
      <x v="20"/>
    </i>
    <i>
      <x v="25"/>
    </i>
    <i>
      <x v="31"/>
    </i>
    <i>
      <x v="29"/>
    </i>
    <i>
      <x v="52"/>
    </i>
    <i>
      <x v="42"/>
    </i>
    <i>
      <x v="3"/>
    </i>
    <i>
      <x v="5"/>
    </i>
    <i>
      <x v="7"/>
    </i>
    <i>
      <x v="9"/>
    </i>
    <i t="grand">
      <x/>
    </i>
  </rowItems>
  <colItems count="1">
    <i/>
  </colItems>
  <dataFields count="1">
    <dataField name="Sum of Sale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8063F2A-DAC0-47BE-92A3-980FBDF8E97F}" autoFormatId="16" applyNumberFormats="0" applyBorderFormats="0" applyFontFormats="0" applyPatternFormats="0" applyAlignmentFormats="0" applyWidthHeightFormats="0">
  <queryTableRefresh nextId="22" unboundColumnsLeft="1" unboundColumnsRight="1">
    <queryTableFields count="12">
      <queryTableField id="21" dataBound="0" tableColumnId="12"/>
      <queryTableField id="1" name="Transaction date" tableColumnId="1"/>
      <queryTableField id="20" dataBound="0" tableColumnId="6"/>
      <queryTableField id="13" name="Transaction time.1" tableColumnId="11"/>
      <queryTableField id="18" name="Time range" tableColumnId="4"/>
      <queryTableField id="3" name="Product" tableColumnId="3"/>
      <queryTableField id="9" name="Sales" tableColumnId="9"/>
      <queryTableField id="5" name="Payment_Type" tableColumnId="5"/>
      <queryTableField id="11" name="Buyers name" tableColumnId="10"/>
      <queryTableField id="7" name="City" tableColumnId="7"/>
      <queryTableField id="8" name="Country" tableColumnId="8"/>
      <queryTableField id="17" dataBound="0"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_range" xr10:uid="{E650E334-FEC6-4A62-820E-471828D9534D}" sourceName="Time range">
  <pivotTables>
    <pivotTable tabId="4" name="PivotTable1"/>
    <pivotTable tabId="9" name="PivotTable13"/>
    <pivotTable tabId="9" name="PivotTable10"/>
    <pivotTable tabId="11" name="PivotTable14"/>
    <pivotTable tabId="6" name="PivotTable18"/>
    <pivotTable tabId="6" name="PivotTable19"/>
    <pivotTable tabId="6" name="PivotTable2"/>
    <pivotTable tabId="6" name="PivotTable4"/>
    <pivotTable tabId="12" name="PivotTable20"/>
  </pivotTables>
  <data>
    <tabular pivotCacheId="85302934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s" xr10:uid="{AE91DEE9-4126-4B5B-A32E-DB19FAEDDC2F}" sourceName="Weekdays">
  <pivotTables>
    <pivotTable tabId="4" name="PivotTable1"/>
    <pivotTable tabId="8" name="PivotTable1"/>
    <pivotTable tabId="9" name="PivotTable13"/>
    <pivotTable tabId="9" name="PivotTable10"/>
    <pivotTable tabId="11" name="PivotTable14"/>
    <pivotTable tabId="12" name="PivotTable20"/>
    <pivotTable tabId="6" name="PivotTable19"/>
    <pivotTable tabId="6" name="PivotTable2"/>
    <pivotTable tabId="6" name="PivotTable4"/>
  </pivotTables>
  <data>
    <tabular pivotCacheId="853029340">
      <items count="7">
        <i x="1" s="1"/>
        <i x="2" s="1"/>
        <i x="3" s="1"/>
        <i x="5" s="1"/>
        <i x="4" s="1"/>
        <i x="0" s="1"/>
        <i x="6"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Type" xr10:uid="{5BB2F4FD-E44C-4F63-BEB1-9E6BA1425BBB}" sourceName="Payment_Type">
  <pivotTables>
    <pivotTable tabId="4" name="PivotTable1"/>
    <pivotTable tabId="6" name="PivotTable4"/>
    <pivotTable tabId="8" name="PivotTable1"/>
    <pivotTable tabId="9" name="PivotTable13"/>
    <pivotTable tabId="9" name="PivotTable10"/>
    <pivotTable tabId="11" name="PivotTable14"/>
    <pivotTable tabId="6" name="PivotTable18"/>
    <pivotTable tabId="6" name="PivotTable19"/>
    <pivotTable tabId="12" name="PivotTable20"/>
  </pivotTables>
  <data>
    <tabular pivotCacheId="853029340">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me range" xr10:uid="{866A6201-64B6-459D-8D55-0E3D2CD693A5}" cache="Slicer_Time_range" caption="Time range" rowHeight="234950"/>
  <slicer name="Weekdays" xr10:uid="{1EFFCFB0-D8F4-4EEF-AEEF-9825ADBD8CD0}" cache="Slicer_Weekdays" caption="Weekdays" rowHeight="234950"/>
  <slicer name="Payment_Type" xr10:uid="{3101D3D9-9F7A-496D-95D5-0AE9BA5DAD17}" cache="Slicer_Payment_Type" caption="Payment_Typ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me range 2" xr10:uid="{4A654416-299D-42A9-BD13-3BBE762C2F2E}" cache="Slicer_Time_range" caption="Time range"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me range 1" xr10:uid="{902BB9F6-061C-4E93-88E0-3E48FFA769C3}" cache="Slicer_Time_range" caption="Time range" columnCount="2" showCaption="0" style="SlicerStyleLight1 2 2" rowHeight="234950"/>
  <slicer name="Weekdays 1" xr10:uid="{0EA6E2D1-A7C1-4C19-BCE7-BED434B53D95}" cache="Slicer_Weekdays" caption="Weekdays" showCaption="0" style="SlicerStyleLight1 2" rowHeight="396000"/>
  <slicer name="Payment_Type 1" xr10:uid="{0214B95E-AAF1-47D4-A59B-3C7DFB97D358}" cache="Slicer_Payment_Type" caption="Payment_Type" columnCount="3" showCaption="0" style="SlicerStyleLight1 2 3"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61A01B6-9ACC-455D-A9D9-DB83B32148EF}" name="Table1_2" displayName="Table1_2" ref="A1:L999" tableType="queryTable" totalsRowShown="0">
  <autoFilter ref="A1:L999" xr:uid="{E61A01B6-9ACC-455D-A9D9-DB83B32148EF}"/>
  <tableColumns count="12">
    <tableColumn id="12" xr3:uid="{90D1D149-F2DC-4D0F-8C55-3F50FFB0EE87}" uniqueName="12" name="Transaction date with year" queryTableFieldId="21" dataDxfId="9">
      <calculatedColumnFormula>TEXT(B2, "dd-mmm") &amp; " " &amp; C2</calculatedColumnFormula>
    </tableColumn>
    <tableColumn id="1" xr3:uid="{E5C749B5-2E84-4B41-AFAF-3F341D564866}" uniqueName="1" name="Transaction date" queryTableFieldId="1" dataDxfId="8"/>
    <tableColumn id="6" xr3:uid="{510FFA96-2509-415A-88DC-C9121D8C0ADF}" uniqueName="6" name="year" queryTableFieldId="20" dataDxfId="7"/>
    <tableColumn id="11" xr3:uid="{969A9AEA-9B5A-4D0F-968B-C5CBE54346F7}" uniqueName="11" name="Transaction time.1" queryTableFieldId="13" dataDxfId="6"/>
    <tableColumn id="4" xr3:uid="{84C8A4B4-53AD-4752-9FC8-A5A76133B897}" uniqueName="4" name="Time range" queryTableFieldId="18" dataDxfId="5"/>
    <tableColumn id="3" xr3:uid="{F5DEC19A-D9E2-4C5E-BADB-34D133A3620A}" uniqueName="3" name="Product" queryTableFieldId="3" dataDxfId="4"/>
    <tableColumn id="9" xr3:uid="{2FEA89F8-93A1-4D0E-BB9F-DC25FEC0A28F}" uniqueName="9" name="Sales" queryTableFieldId="9"/>
    <tableColumn id="5" xr3:uid="{E2D6AF08-9A3B-4C04-864E-123A4D15571B}" uniqueName="5" name="Payment_Type" queryTableFieldId="5" dataDxfId="3"/>
    <tableColumn id="10" xr3:uid="{57EDF4C7-31EE-469C-8EA7-E95D2667E3BE}" uniqueName="10" name="Buyers name" queryTableFieldId="11"/>
    <tableColumn id="7" xr3:uid="{2B8ADA62-903D-4C38-B024-C8472746B283}" uniqueName="7" name="City" queryTableFieldId="7" dataDxfId="2"/>
    <tableColumn id="8" xr3:uid="{1DDD4CAA-E0E2-4395-A0CF-17A74E246F9B}" uniqueName="8" name="Country" queryTableFieldId="8" dataDxfId="1"/>
    <tableColumn id="2" xr3:uid="{4DF028CF-AEEB-4DF3-A289-53D2A0CB1C03}" uniqueName="2" name="Weekdays" queryTableFieldId="17" dataDxfId="0">
      <calculatedColumnFormula>WEEKDAY(Table1_2[[#This Row],[Transaction date]])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drawing" Target="../drawings/drawing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7.xml"/></Relationships>
</file>

<file path=xl/worksheets/_rels/sheet5.xml.rels><?xml version="1.0" encoding="UTF-8" standalone="yes"?>
<Relationships xmlns="http://schemas.openxmlformats.org/package/2006/relationships"><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0.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999"/>
  <sheetViews>
    <sheetView topLeftCell="B971" workbookViewId="0">
      <selection sqref="A1:N999"/>
    </sheetView>
  </sheetViews>
  <sheetFormatPr defaultRowHeight="14.4" x14ac:dyDescent="0.3"/>
  <cols>
    <col min="1" max="1" width="8.33203125" bestFit="1" customWidth="1"/>
    <col min="2" max="2" width="7" bestFit="1" customWidth="1"/>
    <col min="3" max="3" width="13.77734375" bestFit="1" customWidth="1"/>
    <col min="4" max="4" width="19.33203125" bestFit="1" customWidth="1"/>
    <col min="5" max="5" width="28" bestFit="1" customWidth="1"/>
    <col min="6" max="6" width="23.88671875" bestFit="1" customWidth="1"/>
    <col min="7" max="7" width="18.44140625" bestFit="1" customWidth="1"/>
    <col min="8" max="8" width="21.88671875" customWidth="1"/>
    <col min="9" max="9" width="11.6640625" bestFit="1" customWidth="1"/>
    <col min="10" max="10" width="12.6640625" bestFit="1" customWidth="1"/>
    <col min="11" max="11" width="6.33203125" bestFit="1" customWidth="1"/>
    <col min="13" max="13" width="14.44140625" style="16" bestFit="1" customWidth="1"/>
    <col min="14" max="14" width="12.77734375" customWidth="1"/>
  </cols>
  <sheetData>
    <row r="1" spans="1:15" x14ac:dyDescent="0.3">
      <c r="A1" s="1" t="s">
        <v>0</v>
      </c>
      <c r="B1" s="1" t="s">
        <v>1</v>
      </c>
      <c r="C1" s="1" t="s">
        <v>2</v>
      </c>
      <c r="D1" s="1" t="s">
        <v>3</v>
      </c>
      <c r="E1" s="1" t="s">
        <v>4</v>
      </c>
      <c r="F1" s="1" t="s">
        <v>5</v>
      </c>
      <c r="G1" s="1" t="s">
        <v>6</v>
      </c>
      <c r="H1" s="1" t="s">
        <v>7</v>
      </c>
      <c r="I1" s="1" t="s">
        <v>8</v>
      </c>
      <c r="J1" s="1" t="s">
        <v>9</v>
      </c>
      <c r="K1" s="2" t="s">
        <v>10</v>
      </c>
      <c r="L1" s="17" t="s">
        <v>1742</v>
      </c>
      <c r="M1" s="17" t="s">
        <v>1743</v>
      </c>
      <c r="N1" s="17" t="s">
        <v>1744</v>
      </c>
      <c r="O1" s="17"/>
    </row>
    <row r="2" spans="1:15" x14ac:dyDescent="0.3">
      <c r="A2" s="3" t="s">
        <v>11</v>
      </c>
      <c r="B2" s="3">
        <v>1200</v>
      </c>
      <c r="C2" s="3" t="s">
        <v>12</v>
      </c>
      <c r="D2" s="3" t="s">
        <v>13</v>
      </c>
      <c r="E2" s="3" t="s">
        <v>14</v>
      </c>
      <c r="F2" s="3" t="s">
        <v>15</v>
      </c>
      <c r="G2" s="3" t="s">
        <v>16</v>
      </c>
      <c r="H2" s="15">
        <v>39815.325694444444</v>
      </c>
      <c r="I2" s="3">
        <v>39.195</v>
      </c>
      <c r="J2" s="3">
        <v>-94.681939999999997</v>
      </c>
      <c r="K2" s="5">
        <v>64152</v>
      </c>
      <c r="L2" s="5">
        <f t="shared" ref="L2:L65" si="0">YEAR(H2)</f>
        <v>2009</v>
      </c>
      <c r="M2" s="5">
        <f t="shared" ref="M2:M65" si="1">INT(H2)</f>
        <v>39815</v>
      </c>
      <c r="N2" s="18">
        <v>0.20347222222222222</v>
      </c>
    </row>
    <row r="3" spans="1:15" x14ac:dyDescent="0.3">
      <c r="A3" s="6" t="s">
        <v>11</v>
      </c>
      <c r="B3" s="6">
        <v>1200</v>
      </c>
      <c r="C3" s="6" t="s">
        <v>17</v>
      </c>
      <c r="D3" s="6" t="s">
        <v>18</v>
      </c>
      <c r="E3" s="6" t="s">
        <v>19</v>
      </c>
      <c r="F3" s="6" t="s">
        <v>20</v>
      </c>
      <c r="G3" s="6" t="s">
        <v>16</v>
      </c>
      <c r="H3" s="7">
        <v>39816.522222222222</v>
      </c>
      <c r="I3" s="6">
        <v>46.18806</v>
      </c>
      <c r="J3" s="6">
        <v>-123.83</v>
      </c>
      <c r="K3" s="8">
        <v>97103</v>
      </c>
      <c r="L3" s="8">
        <f t="shared" si="0"/>
        <v>2009</v>
      </c>
      <c r="M3" s="8">
        <f t="shared" si="1"/>
        <v>39816</v>
      </c>
      <c r="N3" s="19">
        <v>4.7222222222222221E-2</v>
      </c>
    </row>
    <row r="4" spans="1:15" x14ac:dyDescent="0.3">
      <c r="A4" s="3" t="s">
        <v>21</v>
      </c>
      <c r="B4" s="3">
        <v>3600</v>
      </c>
      <c r="C4" s="3" t="s">
        <v>12</v>
      </c>
      <c r="D4" s="3" t="s">
        <v>22</v>
      </c>
      <c r="E4" s="3" t="s">
        <v>23</v>
      </c>
      <c r="F4" s="3" t="s">
        <v>24</v>
      </c>
      <c r="G4" s="3" t="s">
        <v>16</v>
      </c>
      <c r="H4" s="4">
        <v>39817.53125</v>
      </c>
      <c r="I4" s="3">
        <v>33.520560000000003</v>
      </c>
      <c r="J4" s="3">
        <v>-86.802499999999995</v>
      </c>
      <c r="K4" s="5">
        <v>35243</v>
      </c>
      <c r="L4" s="5">
        <f t="shared" si="0"/>
        <v>2009</v>
      </c>
      <c r="M4" s="5">
        <f t="shared" si="1"/>
        <v>39817</v>
      </c>
      <c r="N4" s="18">
        <v>0.53888888888888886</v>
      </c>
    </row>
    <row r="5" spans="1:15" x14ac:dyDescent="0.3">
      <c r="A5" s="6" t="s">
        <v>11</v>
      </c>
      <c r="B5" s="6">
        <v>1200</v>
      </c>
      <c r="C5" s="6" t="s">
        <v>12</v>
      </c>
      <c r="D5" s="6" t="s">
        <v>25</v>
      </c>
      <c r="E5" s="6" t="s">
        <v>26</v>
      </c>
      <c r="F5" s="6" t="s">
        <v>27</v>
      </c>
      <c r="G5" s="6" t="s">
        <v>16</v>
      </c>
      <c r="H5" s="7">
        <v>39817.544444444444</v>
      </c>
      <c r="I5" s="6">
        <v>39.79</v>
      </c>
      <c r="J5" s="6">
        <v>-75.238060000000004</v>
      </c>
      <c r="K5" s="8">
        <v>8056</v>
      </c>
      <c r="L5" s="8">
        <f t="shared" si="0"/>
        <v>2009</v>
      </c>
      <c r="M5" s="8">
        <f t="shared" si="1"/>
        <v>39817</v>
      </c>
      <c r="N5" s="19">
        <v>0.53888888888888886</v>
      </c>
    </row>
    <row r="6" spans="1:15" x14ac:dyDescent="0.3">
      <c r="A6" s="3" t="s">
        <v>11</v>
      </c>
      <c r="B6" s="3">
        <v>1200</v>
      </c>
      <c r="C6" s="3" t="s">
        <v>17</v>
      </c>
      <c r="D6" s="3" t="s">
        <v>28</v>
      </c>
      <c r="E6" s="3" t="s">
        <v>29</v>
      </c>
      <c r="F6" s="3" t="s">
        <v>30</v>
      </c>
      <c r="G6" s="3" t="s">
        <v>16</v>
      </c>
      <c r="H6" s="4">
        <v>39817.822916666664</v>
      </c>
      <c r="I6" s="3">
        <v>40.69361</v>
      </c>
      <c r="J6" s="3">
        <v>-89.588890000000006</v>
      </c>
      <c r="K6" s="5">
        <v>61601</v>
      </c>
      <c r="L6" s="5">
        <f t="shared" si="0"/>
        <v>2009</v>
      </c>
      <c r="M6" s="5">
        <f t="shared" si="1"/>
        <v>39817</v>
      </c>
      <c r="N6" s="18">
        <v>0.53888888888888886</v>
      </c>
    </row>
    <row r="7" spans="1:15" x14ac:dyDescent="0.3">
      <c r="A7" s="6" t="s">
        <v>11</v>
      </c>
      <c r="B7" s="6">
        <v>1200</v>
      </c>
      <c r="C7" s="6" t="s">
        <v>17</v>
      </c>
      <c r="D7" s="6" t="s">
        <v>31</v>
      </c>
      <c r="E7" s="6" t="s">
        <v>32</v>
      </c>
      <c r="F7" s="6" t="s">
        <v>33</v>
      </c>
      <c r="G7" s="6" t="s">
        <v>16</v>
      </c>
      <c r="H7" s="7">
        <v>39817.834027777775</v>
      </c>
      <c r="I7" s="6">
        <v>36.343330000000002</v>
      </c>
      <c r="J7" s="6">
        <v>-88.850279999999998</v>
      </c>
      <c r="K7" s="8">
        <v>38237</v>
      </c>
      <c r="L7" s="8">
        <f t="shared" si="0"/>
        <v>2009</v>
      </c>
      <c r="M7" s="8">
        <f t="shared" si="1"/>
        <v>39817</v>
      </c>
      <c r="N7" s="19">
        <v>0.33958333333333335</v>
      </c>
    </row>
    <row r="8" spans="1:15" x14ac:dyDescent="0.3">
      <c r="A8" s="3" t="s">
        <v>11</v>
      </c>
      <c r="B8" s="3">
        <v>1200</v>
      </c>
      <c r="C8" s="3" t="s">
        <v>12</v>
      </c>
      <c r="D8" s="3" t="s">
        <v>34</v>
      </c>
      <c r="E8" s="3" t="s">
        <v>35</v>
      </c>
      <c r="F8" s="3" t="s">
        <v>36</v>
      </c>
      <c r="G8" s="3" t="s">
        <v>16</v>
      </c>
      <c r="H8" s="4">
        <v>39818.207638888889</v>
      </c>
      <c r="I8" s="3">
        <v>40.714170000000003</v>
      </c>
      <c r="J8" s="3">
        <v>-74.006389999999996</v>
      </c>
      <c r="K8" s="5">
        <v>10002</v>
      </c>
      <c r="L8" s="5">
        <f t="shared" si="0"/>
        <v>2009</v>
      </c>
      <c r="M8" s="5">
        <f t="shared" si="1"/>
        <v>39818</v>
      </c>
      <c r="N8" s="18">
        <v>0.1125</v>
      </c>
    </row>
    <row r="9" spans="1:15" x14ac:dyDescent="0.3">
      <c r="A9" s="6" t="s">
        <v>11</v>
      </c>
      <c r="B9" s="6">
        <v>1200</v>
      </c>
      <c r="C9" s="6" t="s">
        <v>17</v>
      </c>
      <c r="D9" s="6" t="s">
        <v>37</v>
      </c>
      <c r="E9" s="6" t="s">
        <v>38</v>
      </c>
      <c r="F9" s="6" t="s">
        <v>39</v>
      </c>
      <c r="G9" s="6" t="s">
        <v>16</v>
      </c>
      <c r="H9" s="7">
        <v>39818.378472222219</v>
      </c>
      <c r="I9" s="6">
        <v>29.42389</v>
      </c>
      <c r="J9" s="6">
        <v>-98.49333</v>
      </c>
      <c r="K9" s="8">
        <v>78230</v>
      </c>
      <c r="L9" s="5">
        <f t="shared" si="0"/>
        <v>2009</v>
      </c>
      <c r="M9" s="5">
        <f t="shared" si="1"/>
        <v>39818</v>
      </c>
      <c r="N9" s="18">
        <v>0.38611111111111113</v>
      </c>
    </row>
    <row r="10" spans="1:15" x14ac:dyDescent="0.3">
      <c r="A10" s="3" t="s">
        <v>11</v>
      </c>
      <c r="B10" s="3">
        <v>1200</v>
      </c>
      <c r="C10" s="3" t="s">
        <v>12</v>
      </c>
      <c r="D10" s="3" t="s">
        <v>40</v>
      </c>
      <c r="E10" s="3" t="s">
        <v>41</v>
      </c>
      <c r="F10" s="3" t="s">
        <v>42</v>
      </c>
      <c r="G10" s="3" t="s">
        <v>16</v>
      </c>
      <c r="H10" s="4">
        <v>39818.420138888891</v>
      </c>
      <c r="I10" s="3">
        <v>43.69556</v>
      </c>
      <c r="J10" s="3">
        <v>-116.35306</v>
      </c>
      <c r="K10" s="5">
        <v>83616</v>
      </c>
      <c r="L10" s="8">
        <f t="shared" si="0"/>
        <v>2009</v>
      </c>
      <c r="M10" s="8">
        <f t="shared" si="1"/>
        <v>39818</v>
      </c>
      <c r="N10" s="19">
        <v>0.42222222222222222</v>
      </c>
    </row>
    <row r="11" spans="1:15" x14ac:dyDescent="0.3">
      <c r="A11" s="6" t="s">
        <v>11</v>
      </c>
      <c r="B11" s="6">
        <v>1200</v>
      </c>
      <c r="C11" s="6" t="s">
        <v>12</v>
      </c>
      <c r="D11" s="6" t="s">
        <v>43</v>
      </c>
      <c r="E11" s="6" t="s">
        <v>44</v>
      </c>
      <c r="F11" s="6" t="s">
        <v>27</v>
      </c>
      <c r="G11" s="6" t="s">
        <v>16</v>
      </c>
      <c r="H11" s="7">
        <v>39818.459027777775</v>
      </c>
      <c r="I11" s="6">
        <v>40.032220000000002</v>
      </c>
      <c r="J11" s="6">
        <v>-74.95778</v>
      </c>
      <c r="K11" s="8">
        <v>8075</v>
      </c>
      <c r="L11" s="5">
        <f t="shared" si="0"/>
        <v>2009</v>
      </c>
      <c r="M11" s="5">
        <f t="shared" si="1"/>
        <v>39818</v>
      </c>
      <c r="N11" s="18">
        <v>9.583333333333334E-2</v>
      </c>
    </row>
    <row r="12" spans="1:15" x14ac:dyDescent="0.3">
      <c r="A12" s="3" t="s">
        <v>11</v>
      </c>
      <c r="B12" s="3">
        <v>1200</v>
      </c>
      <c r="C12" s="3" t="s">
        <v>12</v>
      </c>
      <c r="D12" s="3" t="s">
        <v>45</v>
      </c>
      <c r="E12" s="3" t="s">
        <v>46</v>
      </c>
      <c r="F12" s="3" t="s">
        <v>47</v>
      </c>
      <c r="G12" s="3" t="s">
        <v>16</v>
      </c>
      <c r="H12" s="4">
        <v>39819.452777777777</v>
      </c>
      <c r="I12" s="3">
        <v>40.760829999999999</v>
      </c>
      <c r="J12" s="3">
        <v>-111.89028</v>
      </c>
      <c r="K12" s="5">
        <v>84111</v>
      </c>
      <c r="L12" s="8">
        <f t="shared" si="0"/>
        <v>2009</v>
      </c>
      <c r="M12" s="8">
        <f t="shared" si="1"/>
        <v>39819</v>
      </c>
      <c r="N12" s="19">
        <v>0.31597222222222221</v>
      </c>
    </row>
    <row r="13" spans="1:15" x14ac:dyDescent="0.3">
      <c r="A13" s="6" t="s">
        <v>11</v>
      </c>
      <c r="B13" s="6">
        <v>1200</v>
      </c>
      <c r="C13" s="6" t="s">
        <v>12</v>
      </c>
      <c r="D13" s="6" t="s">
        <v>48</v>
      </c>
      <c r="E13" s="6" t="s">
        <v>49</v>
      </c>
      <c r="F13" s="6" t="s">
        <v>50</v>
      </c>
      <c r="G13" s="6" t="s">
        <v>16</v>
      </c>
      <c r="H13" s="7">
        <v>39820.297222222223</v>
      </c>
      <c r="I13" s="6">
        <v>32.64</v>
      </c>
      <c r="J13" s="6">
        <v>-117.08333</v>
      </c>
      <c r="K13" s="8">
        <v>91910</v>
      </c>
      <c r="L13" s="5">
        <f t="shared" si="0"/>
        <v>2009</v>
      </c>
      <c r="M13" s="5">
        <f t="shared" si="1"/>
        <v>39820</v>
      </c>
      <c r="N13" s="18">
        <v>0.30416666666666664</v>
      </c>
    </row>
    <row r="14" spans="1:15" x14ac:dyDescent="0.3">
      <c r="A14" s="3" t="s">
        <v>11</v>
      </c>
      <c r="B14" s="3">
        <v>1200</v>
      </c>
      <c r="C14" s="3" t="s">
        <v>12</v>
      </c>
      <c r="D14" s="3" t="s">
        <v>51</v>
      </c>
      <c r="E14" s="3" t="s">
        <v>52</v>
      </c>
      <c r="F14" s="3" t="s">
        <v>39</v>
      </c>
      <c r="G14" s="3" t="s">
        <v>16</v>
      </c>
      <c r="H14" s="4">
        <v>39820.452777777777</v>
      </c>
      <c r="I14" s="3">
        <v>29.619440000000001</v>
      </c>
      <c r="J14" s="3">
        <v>-95.634720000000002</v>
      </c>
      <c r="K14" s="5">
        <v>77478</v>
      </c>
      <c r="L14" s="8">
        <f t="shared" si="0"/>
        <v>2009</v>
      </c>
      <c r="M14" s="8">
        <f t="shared" si="1"/>
        <v>39820</v>
      </c>
      <c r="N14" s="19">
        <v>0.1</v>
      </c>
    </row>
    <row r="15" spans="1:15" x14ac:dyDescent="0.3">
      <c r="A15" s="6" t="s">
        <v>11</v>
      </c>
      <c r="B15" s="6">
        <v>1200</v>
      </c>
      <c r="C15" s="6" t="s">
        <v>12</v>
      </c>
      <c r="D15" s="6" t="s">
        <v>53</v>
      </c>
      <c r="E15" s="6" t="s">
        <v>35</v>
      </c>
      <c r="F15" s="6" t="s">
        <v>36</v>
      </c>
      <c r="G15" s="6" t="s">
        <v>16</v>
      </c>
      <c r="H15" s="7">
        <v>39820.526388888888</v>
      </c>
      <c r="I15" s="6">
        <v>40.714170000000003</v>
      </c>
      <c r="J15" s="6">
        <v>-74.006389999999996</v>
      </c>
      <c r="K15" s="8">
        <v>10007</v>
      </c>
      <c r="L15" s="5">
        <f t="shared" si="0"/>
        <v>2009</v>
      </c>
      <c r="M15" s="5">
        <f t="shared" si="1"/>
        <v>39820</v>
      </c>
      <c r="N15" s="18">
        <v>0.33888888888888891</v>
      </c>
    </row>
    <row r="16" spans="1:15" x14ac:dyDescent="0.3">
      <c r="A16" s="3" t="s">
        <v>11</v>
      </c>
      <c r="B16" s="3">
        <v>1200</v>
      </c>
      <c r="C16" s="3" t="s">
        <v>12</v>
      </c>
      <c r="D16" s="3" t="s">
        <v>54</v>
      </c>
      <c r="E16" s="3" t="s">
        <v>55</v>
      </c>
      <c r="F16" s="3" t="s">
        <v>30</v>
      </c>
      <c r="G16" s="3" t="s">
        <v>16</v>
      </c>
      <c r="H16" s="4">
        <v>39820.867361111108</v>
      </c>
      <c r="I16" s="3">
        <v>40.612780000000001</v>
      </c>
      <c r="J16" s="3">
        <v>-89.45917</v>
      </c>
      <c r="K16" s="5">
        <v>61550</v>
      </c>
      <c r="L16" s="5">
        <f t="shared" si="0"/>
        <v>2009</v>
      </c>
      <c r="M16" s="5">
        <f t="shared" si="1"/>
        <v>39820</v>
      </c>
      <c r="N16" s="18">
        <v>0.34791666666666665</v>
      </c>
    </row>
    <row r="17" spans="1:14" x14ac:dyDescent="0.3">
      <c r="A17" s="6" t="s">
        <v>11</v>
      </c>
      <c r="B17" s="6">
        <v>1200</v>
      </c>
      <c r="C17" s="6" t="s">
        <v>12</v>
      </c>
      <c r="D17" s="6" t="s">
        <v>56</v>
      </c>
      <c r="E17" s="6" t="s">
        <v>57</v>
      </c>
      <c r="F17" s="6" t="s">
        <v>50</v>
      </c>
      <c r="G17" s="6" t="s">
        <v>16</v>
      </c>
      <c r="H17" s="7">
        <v>39821.152083333334</v>
      </c>
      <c r="I17" s="6">
        <v>37.226669999999999</v>
      </c>
      <c r="J17" s="6">
        <v>-121.97360999999999</v>
      </c>
      <c r="K17" s="8">
        <v>95032</v>
      </c>
      <c r="L17" s="8">
        <f t="shared" si="0"/>
        <v>2009</v>
      </c>
      <c r="M17" s="8">
        <f t="shared" si="1"/>
        <v>39821</v>
      </c>
      <c r="N17" s="19">
        <v>0.52916666666666667</v>
      </c>
    </row>
    <row r="18" spans="1:14" x14ac:dyDescent="0.3">
      <c r="A18" s="3" t="s">
        <v>11</v>
      </c>
      <c r="B18" s="3">
        <v>1200</v>
      </c>
      <c r="C18" s="3" t="s">
        <v>17</v>
      </c>
      <c r="D18" s="3" t="s">
        <v>58</v>
      </c>
      <c r="E18" s="3" t="s">
        <v>35</v>
      </c>
      <c r="F18" s="3" t="s">
        <v>36</v>
      </c>
      <c r="G18" s="3" t="s">
        <v>16</v>
      </c>
      <c r="H18" s="4">
        <v>39821.263194444444</v>
      </c>
      <c r="I18" s="3">
        <v>40.714170000000003</v>
      </c>
      <c r="J18" s="3">
        <v>-74.006389999999996</v>
      </c>
      <c r="K18" s="5">
        <v>10007</v>
      </c>
      <c r="L18" s="5">
        <f t="shared" si="0"/>
        <v>2009</v>
      </c>
      <c r="M18" s="5">
        <f t="shared" si="1"/>
        <v>39821</v>
      </c>
      <c r="N18" s="18">
        <v>0.16388888888888889</v>
      </c>
    </row>
    <row r="19" spans="1:14" x14ac:dyDescent="0.3">
      <c r="A19" s="6" t="s">
        <v>11</v>
      </c>
      <c r="B19" s="6">
        <v>1200</v>
      </c>
      <c r="C19" s="6" t="s">
        <v>17</v>
      </c>
      <c r="D19" s="6" t="s">
        <v>59</v>
      </c>
      <c r="E19" s="6" t="s">
        <v>60</v>
      </c>
      <c r="F19" s="6" t="s">
        <v>61</v>
      </c>
      <c r="G19" s="6" t="s">
        <v>16</v>
      </c>
      <c r="H19" s="7">
        <v>39821.273611111108</v>
      </c>
      <c r="I19" s="6">
        <v>25.773890000000002</v>
      </c>
      <c r="J19" s="6">
        <v>-80.193889999999996</v>
      </c>
      <c r="K19" s="8">
        <v>33130</v>
      </c>
      <c r="L19" s="8">
        <f t="shared" si="0"/>
        <v>2009</v>
      </c>
      <c r="M19" s="8">
        <f t="shared" si="1"/>
        <v>39821</v>
      </c>
      <c r="N19" s="19">
        <v>0.1361111111111111</v>
      </c>
    </row>
    <row r="20" spans="1:14" x14ac:dyDescent="0.3">
      <c r="A20" s="3" t="s">
        <v>11</v>
      </c>
      <c r="B20" s="3">
        <v>1200</v>
      </c>
      <c r="C20" s="3" t="s">
        <v>12</v>
      </c>
      <c r="D20" s="3" t="s">
        <v>62</v>
      </c>
      <c r="E20" s="3" t="s">
        <v>63</v>
      </c>
      <c r="F20" s="3" t="s">
        <v>36</v>
      </c>
      <c r="G20" s="3" t="s">
        <v>16</v>
      </c>
      <c r="H20" s="4">
        <v>39821.443055555559</v>
      </c>
      <c r="I20" s="3">
        <v>40.65</v>
      </c>
      <c r="J20" s="3">
        <v>-73.95</v>
      </c>
      <c r="K20" s="5">
        <v>11226</v>
      </c>
      <c r="L20" s="5">
        <f t="shared" si="0"/>
        <v>2009</v>
      </c>
      <c r="M20" s="5">
        <f t="shared" si="1"/>
        <v>39821</v>
      </c>
      <c r="N20" s="18">
        <v>0.37708333333333333</v>
      </c>
    </row>
    <row r="21" spans="1:14" x14ac:dyDescent="0.3">
      <c r="A21" s="6" t="s">
        <v>64</v>
      </c>
      <c r="B21" s="6">
        <v>1200</v>
      </c>
      <c r="C21" s="6" t="s">
        <v>65</v>
      </c>
      <c r="D21" s="6" t="s">
        <v>66</v>
      </c>
      <c r="E21" s="6" t="s">
        <v>67</v>
      </c>
      <c r="F21" s="6" t="s">
        <v>68</v>
      </c>
      <c r="G21" s="6" t="s">
        <v>16</v>
      </c>
      <c r="H21" s="7">
        <v>39821.527777777781</v>
      </c>
      <c r="I21" s="6">
        <v>38.968609999999998</v>
      </c>
      <c r="J21" s="6">
        <v>-77.341390000000004</v>
      </c>
      <c r="K21" s="8">
        <v>20190</v>
      </c>
      <c r="L21" s="8">
        <f t="shared" si="0"/>
        <v>2009</v>
      </c>
      <c r="M21" s="8">
        <f t="shared" si="1"/>
        <v>39821</v>
      </c>
      <c r="N21" s="19">
        <v>0.32361111111111113</v>
      </c>
    </row>
    <row r="22" spans="1:14" x14ac:dyDescent="0.3">
      <c r="A22" s="3" t="s">
        <v>11</v>
      </c>
      <c r="B22" s="3">
        <v>1200</v>
      </c>
      <c r="C22" s="3" t="s">
        <v>12</v>
      </c>
      <c r="D22" s="3" t="s">
        <v>69</v>
      </c>
      <c r="E22" s="3" t="s">
        <v>70</v>
      </c>
      <c r="F22" s="3" t="s">
        <v>71</v>
      </c>
      <c r="G22" s="3" t="s">
        <v>16</v>
      </c>
      <c r="H22" s="4">
        <v>39821.770833333336</v>
      </c>
      <c r="I22" s="3">
        <v>33.448329999999999</v>
      </c>
      <c r="J22" s="3">
        <v>-112.07333</v>
      </c>
      <c r="K22" s="5">
        <v>85004</v>
      </c>
      <c r="L22" s="5">
        <f t="shared" si="0"/>
        <v>2009</v>
      </c>
      <c r="M22" s="5">
        <f t="shared" si="1"/>
        <v>39821</v>
      </c>
      <c r="N22" s="18">
        <v>0.18333333333333332</v>
      </c>
    </row>
    <row r="23" spans="1:14" x14ac:dyDescent="0.3">
      <c r="A23" s="6" t="s">
        <v>11</v>
      </c>
      <c r="B23" s="6">
        <v>1200</v>
      </c>
      <c r="C23" s="6" t="s">
        <v>17</v>
      </c>
      <c r="D23" s="6" t="s">
        <v>72</v>
      </c>
      <c r="E23" s="6" t="s">
        <v>73</v>
      </c>
      <c r="F23" s="6" t="s">
        <v>39</v>
      </c>
      <c r="G23" s="6" t="s">
        <v>16</v>
      </c>
      <c r="H23" s="7">
        <v>39822.299305555556</v>
      </c>
      <c r="I23" s="6">
        <v>29.763059999999999</v>
      </c>
      <c r="J23" s="6">
        <v>-95.363060000000004</v>
      </c>
      <c r="K23" s="8">
        <v>77002</v>
      </c>
      <c r="L23" s="5">
        <f t="shared" si="0"/>
        <v>2009</v>
      </c>
      <c r="M23" s="5">
        <f t="shared" si="1"/>
        <v>39822</v>
      </c>
      <c r="N23" s="18">
        <v>0.27708333333333335</v>
      </c>
    </row>
    <row r="24" spans="1:14" x14ac:dyDescent="0.3">
      <c r="A24" s="3" t="s">
        <v>64</v>
      </c>
      <c r="B24" s="3">
        <v>3600</v>
      </c>
      <c r="C24" s="3" t="s">
        <v>65</v>
      </c>
      <c r="D24" s="3" t="s">
        <v>74</v>
      </c>
      <c r="E24" s="3" t="s">
        <v>75</v>
      </c>
      <c r="F24" s="3" t="s">
        <v>76</v>
      </c>
      <c r="G24" s="3" t="s">
        <v>16</v>
      </c>
      <c r="H24" s="4">
        <v>39822.420138888891</v>
      </c>
      <c r="I24" s="3">
        <v>43.772219999999997</v>
      </c>
      <c r="J24" s="3">
        <v>-72.813329999999993</v>
      </c>
      <c r="K24" s="5">
        <v>5762</v>
      </c>
      <c r="L24" s="8">
        <f t="shared" si="0"/>
        <v>2009</v>
      </c>
      <c r="M24" s="8">
        <f t="shared" si="1"/>
        <v>39822</v>
      </c>
      <c r="N24" s="19">
        <v>0.42986111111111114</v>
      </c>
    </row>
    <row r="25" spans="1:14" x14ac:dyDescent="0.3">
      <c r="A25" s="6" t="s">
        <v>64</v>
      </c>
      <c r="B25" s="6">
        <v>3600</v>
      </c>
      <c r="C25" s="6" t="s">
        <v>65</v>
      </c>
      <c r="D25" s="6" t="s">
        <v>77</v>
      </c>
      <c r="E25" s="6" t="s">
        <v>75</v>
      </c>
      <c r="F25" s="6" t="s">
        <v>76</v>
      </c>
      <c r="G25" s="6" t="s">
        <v>16</v>
      </c>
      <c r="H25" s="7">
        <v>39822.420138888891</v>
      </c>
      <c r="I25" s="6">
        <v>43.772219999999997</v>
      </c>
      <c r="J25" s="6">
        <v>-72.813329999999993</v>
      </c>
      <c r="K25" s="8">
        <v>5762</v>
      </c>
      <c r="L25" s="5">
        <f t="shared" si="0"/>
        <v>2009</v>
      </c>
      <c r="M25" s="5">
        <f t="shared" si="1"/>
        <v>39822</v>
      </c>
      <c r="N25" s="18">
        <v>0.45833333333333331</v>
      </c>
    </row>
    <row r="26" spans="1:14" x14ac:dyDescent="0.3">
      <c r="A26" s="3" t="s">
        <v>11</v>
      </c>
      <c r="B26" s="3">
        <v>1200</v>
      </c>
      <c r="C26" s="3" t="s">
        <v>17</v>
      </c>
      <c r="D26" s="3" t="s">
        <v>78</v>
      </c>
      <c r="E26" s="3" t="s">
        <v>79</v>
      </c>
      <c r="F26" s="3" t="s">
        <v>80</v>
      </c>
      <c r="G26" s="3" t="s">
        <v>16</v>
      </c>
      <c r="H26" s="4">
        <v>39822.452777777777</v>
      </c>
      <c r="I26" s="3">
        <v>34.338059999999999</v>
      </c>
      <c r="J26" s="3">
        <v>-84.376670000000004</v>
      </c>
      <c r="K26" s="5">
        <v>30107</v>
      </c>
      <c r="L26" s="8">
        <f t="shared" si="0"/>
        <v>2009</v>
      </c>
      <c r="M26" s="8">
        <f t="shared" si="1"/>
        <v>39822</v>
      </c>
      <c r="N26" s="19">
        <v>0.32222222222222224</v>
      </c>
    </row>
    <row r="27" spans="1:14" x14ac:dyDescent="0.3">
      <c r="A27" s="6" t="s">
        <v>21</v>
      </c>
      <c r="B27" s="6">
        <v>3600</v>
      </c>
      <c r="C27" s="6" t="s">
        <v>12</v>
      </c>
      <c r="D27" s="6" t="s">
        <v>81</v>
      </c>
      <c r="E27" s="6" t="s">
        <v>82</v>
      </c>
      <c r="F27" s="6" t="s">
        <v>30</v>
      </c>
      <c r="G27" s="6" t="s">
        <v>16</v>
      </c>
      <c r="H27" s="7">
        <v>39822.668749999997</v>
      </c>
      <c r="I27" s="6">
        <v>41.54278</v>
      </c>
      <c r="J27" s="6">
        <v>-87.684719999999999</v>
      </c>
      <c r="K27" s="8">
        <v>60422</v>
      </c>
      <c r="L27" s="5">
        <f t="shared" si="0"/>
        <v>2009</v>
      </c>
      <c r="M27" s="5">
        <f t="shared" si="1"/>
        <v>39822</v>
      </c>
      <c r="N27" s="18">
        <v>0.13333333333333333</v>
      </c>
    </row>
    <row r="28" spans="1:14" x14ac:dyDescent="0.3">
      <c r="A28" s="3" t="s">
        <v>64</v>
      </c>
      <c r="B28" s="3">
        <v>1200</v>
      </c>
      <c r="C28" s="3" t="s">
        <v>65</v>
      </c>
      <c r="D28" s="3" t="s">
        <v>83</v>
      </c>
      <c r="E28" s="3" t="s">
        <v>73</v>
      </c>
      <c r="F28" s="3" t="s">
        <v>39</v>
      </c>
      <c r="G28" s="3" t="s">
        <v>16</v>
      </c>
      <c r="H28" s="4">
        <v>39822.834722222222</v>
      </c>
      <c r="I28" s="3">
        <v>29.763059999999999</v>
      </c>
      <c r="J28" s="3">
        <v>-95.363060000000004</v>
      </c>
      <c r="K28" s="5">
        <v>77002</v>
      </c>
      <c r="L28" s="8">
        <f t="shared" si="0"/>
        <v>2009</v>
      </c>
      <c r="M28" s="8">
        <f t="shared" si="1"/>
        <v>39822</v>
      </c>
      <c r="N28" s="19">
        <v>0.34375</v>
      </c>
    </row>
    <row r="29" spans="1:14" x14ac:dyDescent="0.3">
      <c r="A29" s="6" t="s">
        <v>21</v>
      </c>
      <c r="B29" s="6">
        <v>3600</v>
      </c>
      <c r="C29" s="6" t="s">
        <v>12</v>
      </c>
      <c r="D29" s="6" t="s">
        <v>84</v>
      </c>
      <c r="E29" s="6" t="s">
        <v>85</v>
      </c>
      <c r="F29" s="6" t="s">
        <v>61</v>
      </c>
      <c r="G29" s="6" t="s">
        <v>16</v>
      </c>
      <c r="H29" s="7">
        <v>39823.406944444447</v>
      </c>
      <c r="I29" s="6">
        <v>26.461110000000001</v>
      </c>
      <c r="J29" s="6">
        <v>-80.073059999999998</v>
      </c>
      <c r="K29" s="8">
        <v>33444</v>
      </c>
      <c r="L29" s="5">
        <f t="shared" si="0"/>
        <v>2009</v>
      </c>
      <c r="M29" s="5">
        <f t="shared" si="1"/>
        <v>39823</v>
      </c>
      <c r="N29" s="18">
        <v>0.42430555555555555</v>
      </c>
    </row>
    <row r="30" spans="1:14" x14ac:dyDescent="0.3">
      <c r="A30" s="3" t="s">
        <v>64</v>
      </c>
      <c r="B30" s="3">
        <v>1200</v>
      </c>
      <c r="C30" s="3" t="s">
        <v>65</v>
      </c>
      <c r="D30" s="3" t="s">
        <v>86</v>
      </c>
      <c r="E30" s="3" t="s">
        <v>87</v>
      </c>
      <c r="F30" s="3" t="s">
        <v>80</v>
      </c>
      <c r="G30" s="3" t="s">
        <v>16</v>
      </c>
      <c r="H30" s="4">
        <v>39823.589583333334</v>
      </c>
      <c r="I30" s="3">
        <v>33.924169999999997</v>
      </c>
      <c r="J30" s="3">
        <v>-84.378609999999995</v>
      </c>
      <c r="K30" s="5">
        <v>30328</v>
      </c>
      <c r="L30" s="5">
        <f t="shared" si="0"/>
        <v>2009</v>
      </c>
      <c r="M30" s="5">
        <f t="shared" si="1"/>
        <v>39823</v>
      </c>
      <c r="N30" s="18">
        <v>0.5395833333333333</v>
      </c>
    </row>
    <row r="31" spans="1:14" x14ac:dyDescent="0.3">
      <c r="A31" s="6" t="s">
        <v>11</v>
      </c>
      <c r="B31" s="6">
        <v>1200</v>
      </c>
      <c r="C31" s="6" t="s">
        <v>12</v>
      </c>
      <c r="D31" s="6" t="s">
        <v>88</v>
      </c>
      <c r="E31" s="6" t="s">
        <v>89</v>
      </c>
      <c r="F31" s="6" t="s">
        <v>61</v>
      </c>
      <c r="G31" s="6" t="s">
        <v>16</v>
      </c>
      <c r="H31" s="7">
        <v>39823.689583333333</v>
      </c>
      <c r="I31" s="6">
        <v>26.121939999999999</v>
      </c>
      <c r="J31" s="6">
        <v>-80.143609999999995</v>
      </c>
      <c r="K31" s="8">
        <v>33301</v>
      </c>
      <c r="L31" s="8">
        <f t="shared" si="0"/>
        <v>2009</v>
      </c>
      <c r="M31" s="8">
        <f t="shared" si="1"/>
        <v>39823</v>
      </c>
      <c r="N31" s="19">
        <v>0.50347222222222221</v>
      </c>
    </row>
    <row r="32" spans="1:14" x14ac:dyDescent="0.3">
      <c r="A32" s="3" t="s">
        <v>11</v>
      </c>
      <c r="B32" s="3">
        <v>1200</v>
      </c>
      <c r="C32" s="3" t="s">
        <v>12</v>
      </c>
      <c r="D32" s="3" t="s">
        <v>90</v>
      </c>
      <c r="E32" s="3" t="s">
        <v>91</v>
      </c>
      <c r="F32" s="3" t="s">
        <v>92</v>
      </c>
      <c r="G32" s="3" t="s">
        <v>16</v>
      </c>
      <c r="H32" s="4">
        <v>39823.820138888892</v>
      </c>
      <c r="I32" s="3">
        <v>41.72972</v>
      </c>
      <c r="J32" s="3">
        <v>-93.605559999999997</v>
      </c>
      <c r="K32" s="5">
        <v>50023</v>
      </c>
      <c r="L32" s="5">
        <f t="shared" si="0"/>
        <v>2009</v>
      </c>
      <c r="M32" s="5">
        <f t="shared" si="1"/>
        <v>39823</v>
      </c>
      <c r="N32" s="18">
        <v>0.12222222222222222</v>
      </c>
    </row>
    <row r="33" spans="1:14" x14ac:dyDescent="0.3">
      <c r="A33" s="6" t="s">
        <v>11</v>
      </c>
      <c r="B33" s="6">
        <v>1200</v>
      </c>
      <c r="C33" s="6" t="s">
        <v>12</v>
      </c>
      <c r="D33" s="6" t="s">
        <v>93</v>
      </c>
      <c r="E33" s="6" t="s">
        <v>94</v>
      </c>
      <c r="F33" s="6" t="s">
        <v>95</v>
      </c>
      <c r="G33" s="6" t="s">
        <v>16</v>
      </c>
      <c r="H33" s="7">
        <v>39823.834722222222</v>
      </c>
      <c r="I33" s="6">
        <v>35.72</v>
      </c>
      <c r="J33" s="6">
        <v>-79.177499999999995</v>
      </c>
      <c r="K33" s="8">
        <v>27312</v>
      </c>
      <c r="L33" s="8">
        <f t="shared" si="0"/>
        <v>2009</v>
      </c>
      <c r="M33" s="8">
        <f t="shared" si="1"/>
        <v>39823</v>
      </c>
      <c r="N33" s="19">
        <v>0.41736111111111113</v>
      </c>
    </row>
    <row r="34" spans="1:14" x14ac:dyDescent="0.3">
      <c r="A34" s="3" t="s">
        <v>11</v>
      </c>
      <c r="B34" s="3">
        <v>1200</v>
      </c>
      <c r="C34" s="3" t="s">
        <v>17</v>
      </c>
      <c r="D34" s="3" t="s">
        <v>96</v>
      </c>
      <c r="E34" s="3" t="s">
        <v>97</v>
      </c>
      <c r="F34" s="3" t="s">
        <v>36</v>
      </c>
      <c r="G34" s="3" t="s">
        <v>16</v>
      </c>
      <c r="H34" s="4">
        <v>39823.896527777775</v>
      </c>
      <c r="I34" s="3">
        <v>40.911389999999997</v>
      </c>
      <c r="J34" s="3">
        <v>-73.782780000000002</v>
      </c>
      <c r="K34" s="5">
        <v>10801</v>
      </c>
      <c r="L34" s="5">
        <f t="shared" si="0"/>
        <v>2009</v>
      </c>
      <c r="M34" s="5">
        <f t="shared" si="1"/>
        <v>39823</v>
      </c>
      <c r="N34" s="18">
        <v>5.9722222222222225E-2</v>
      </c>
    </row>
    <row r="35" spans="1:14" x14ac:dyDescent="0.3">
      <c r="A35" s="6" t="s">
        <v>11</v>
      </c>
      <c r="B35" s="6">
        <v>1200</v>
      </c>
      <c r="C35" s="6" t="s">
        <v>17</v>
      </c>
      <c r="D35" s="6" t="s">
        <v>98</v>
      </c>
      <c r="E35" s="6" t="s">
        <v>99</v>
      </c>
      <c r="F35" s="6" t="s">
        <v>100</v>
      </c>
      <c r="G35" s="6" t="s">
        <v>16</v>
      </c>
      <c r="H35" s="7">
        <v>39824.815972222219</v>
      </c>
      <c r="I35" s="6">
        <v>41.464440000000003</v>
      </c>
      <c r="J35" s="6">
        <v>-81.508889999999994</v>
      </c>
      <c r="K35" s="8">
        <v>44122</v>
      </c>
      <c r="L35" s="8">
        <f t="shared" si="0"/>
        <v>2009</v>
      </c>
      <c r="M35" s="8">
        <f t="shared" si="1"/>
        <v>39824</v>
      </c>
      <c r="N35" s="19">
        <v>0.26250000000000001</v>
      </c>
    </row>
    <row r="36" spans="1:14" x14ac:dyDescent="0.3">
      <c r="A36" s="3" t="s">
        <v>11</v>
      </c>
      <c r="B36" s="3">
        <v>1200</v>
      </c>
      <c r="C36" s="3" t="s">
        <v>17</v>
      </c>
      <c r="D36" s="3" t="s">
        <v>101</v>
      </c>
      <c r="E36" s="3" t="s">
        <v>102</v>
      </c>
      <c r="F36" s="3" t="s">
        <v>103</v>
      </c>
      <c r="G36" s="3" t="s">
        <v>16</v>
      </c>
      <c r="H36" s="4">
        <v>39825.140277777777</v>
      </c>
      <c r="I36" s="3">
        <v>43.649169999999998</v>
      </c>
      <c r="J36" s="3">
        <v>-72.310829999999996</v>
      </c>
      <c r="K36" s="5">
        <v>3784</v>
      </c>
      <c r="L36" s="5">
        <f t="shared" si="0"/>
        <v>2009</v>
      </c>
      <c r="M36" s="5">
        <f t="shared" si="1"/>
        <v>39825</v>
      </c>
      <c r="N36" s="18">
        <v>0.1423611111111111</v>
      </c>
    </row>
    <row r="37" spans="1:14" x14ac:dyDescent="0.3">
      <c r="A37" s="6" t="s">
        <v>11</v>
      </c>
      <c r="B37" s="6">
        <v>1200</v>
      </c>
      <c r="C37" s="6" t="s">
        <v>12</v>
      </c>
      <c r="D37" s="6" t="s">
        <v>104</v>
      </c>
      <c r="E37" s="6" t="s">
        <v>105</v>
      </c>
      <c r="F37" s="6" t="s">
        <v>106</v>
      </c>
      <c r="G37" s="6" t="s">
        <v>16</v>
      </c>
      <c r="H37" s="7">
        <v>39825.395138888889</v>
      </c>
      <c r="I37" s="6">
        <v>39.533059999999999</v>
      </c>
      <c r="J37" s="6">
        <v>-77.314999999999998</v>
      </c>
      <c r="K37" s="8">
        <v>21798</v>
      </c>
      <c r="L37" s="5">
        <f t="shared" si="0"/>
        <v>2009</v>
      </c>
      <c r="M37" s="5">
        <f t="shared" si="1"/>
        <v>39825</v>
      </c>
      <c r="N37" s="18">
        <v>0.1361111111111111</v>
      </c>
    </row>
    <row r="38" spans="1:14" x14ac:dyDescent="0.3">
      <c r="A38" s="3" t="s">
        <v>11</v>
      </c>
      <c r="B38" s="3">
        <v>1200</v>
      </c>
      <c r="C38" s="3" t="s">
        <v>12</v>
      </c>
      <c r="D38" s="3" t="s">
        <v>107</v>
      </c>
      <c r="E38" s="3" t="s">
        <v>108</v>
      </c>
      <c r="F38" s="3" t="s">
        <v>33</v>
      </c>
      <c r="G38" s="3" t="s">
        <v>16</v>
      </c>
      <c r="H38" s="4">
        <v>39825.554166666669</v>
      </c>
      <c r="I38" s="3">
        <v>35.149439999999998</v>
      </c>
      <c r="J38" s="3">
        <v>-90.04889</v>
      </c>
      <c r="K38" s="5">
        <v>38103</v>
      </c>
      <c r="L38" s="8">
        <f t="shared" si="0"/>
        <v>2009</v>
      </c>
      <c r="M38" s="8">
        <f t="shared" si="1"/>
        <v>39825</v>
      </c>
      <c r="N38" s="19">
        <v>0.41666666666666669</v>
      </c>
    </row>
    <row r="39" spans="1:14" x14ac:dyDescent="0.3">
      <c r="A39" s="6" t="s">
        <v>11</v>
      </c>
      <c r="B39" s="6">
        <v>1200</v>
      </c>
      <c r="C39" s="6" t="s">
        <v>12</v>
      </c>
      <c r="D39" s="6" t="s">
        <v>109</v>
      </c>
      <c r="E39" s="6" t="s">
        <v>110</v>
      </c>
      <c r="F39" s="6" t="s">
        <v>100</v>
      </c>
      <c r="G39" s="6" t="s">
        <v>16</v>
      </c>
      <c r="H39" s="7">
        <v>39825.780555555553</v>
      </c>
      <c r="I39" s="6">
        <v>39.161940000000001</v>
      </c>
      <c r="J39" s="6">
        <v>-84.456940000000003</v>
      </c>
      <c r="K39" s="8">
        <v>45212</v>
      </c>
      <c r="L39" s="5">
        <f t="shared" si="0"/>
        <v>2009</v>
      </c>
      <c r="M39" s="5">
        <f t="shared" si="1"/>
        <v>39825</v>
      </c>
      <c r="N39" s="18">
        <v>4.7222222222222221E-2</v>
      </c>
    </row>
    <row r="40" spans="1:14" x14ac:dyDescent="0.3">
      <c r="A40" s="3" t="s">
        <v>11</v>
      </c>
      <c r="B40" s="3">
        <v>1200</v>
      </c>
      <c r="C40" s="3" t="s">
        <v>12</v>
      </c>
      <c r="D40" s="3" t="s">
        <v>111</v>
      </c>
      <c r="E40" s="3" t="s">
        <v>112</v>
      </c>
      <c r="F40" s="3" t="s">
        <v>36</v>
      </c>
      <c r="G40" s="3" t="s">
        <v>16</v>
      </c>
      <c r="H40" s="4">
        <v>39826.314583333333</v>
      </c>
      <c r="I40" s="3">
        <v>40.636670000000002</v>
      </c>
      <c r="J40" s="3">
        <v>-74.159170000000003</v>
      </c>
      <c r="K40" s="5">
        <v>10303</v>
      </c>
      <c r="L40" s="8">
        <f t="shared" si="0"/>
        <v>2009</v>
      </c>
      <c r="M40" s="8">
        <f t="shared" si="1"/>
        <v>39826</v>
      </c>
      <c r="N40" s="19">
        <v>0.2590277777777778</v>
      </c>
    </row>
    <row r="41" spans="1:14" x14ac:dyDescent="0.3">
      <c r="A41" s="6" t="s">
        <v>11</v>
      </c>
      <c r="B41" s="6">
        <v>1200</v>
      </c>
      <c r="C41" s="6" t="s">
        <v>12</v>
      </c>
      <c r="D41" s="6" t="s">
        <v>113</v>
      </c>
      <c r="E41" s="6" t="s">
        <v>114</v>
      </c>
      <c r="F41" s="6" t="s">
        <v>115</v>
      </c>
      <c r="G41" s="6" t="s">
        <v>16</v>
      </c>
      <c r="H41" s="7">
        <v>39826.773611111108</v>
      </c>
      <c r="I41" s="6">
        <v>42.464440000000003</v>
      </c>
      <c r="J41" s="6">
        <v>-83.376390000000001</v>
      </c>
      <c r="K41" s="8">
        <v>48336</v>
      </c>
      <c r="L41" s="5">
        <f t="shared" si="0"/>
        <v>2009</v>
      </c>
      <c r="M41" s="5">
        <f t="shared" si="1"/>
        <v>39826</v>
      </c>
      <c r="N41" s="18">
        <v>0.48680555555555555</v>
      </c>
    </row>
    <row r="42" spans="1:14" x14ac:dyDescent="0.3">
      <c r="A42" s="3" t="s">
        <v>11</v>
      </c>
      <c r="B42" s="3">
        <v>1200</v>
      </c>
      <c r="C42" s="3" t="s">
        <v>12</v>
      </c>
      <c r="D42" s="3" t="s">
        <v>116</v>
      </c>
      <c r="E42" s="3" t="s">
        <v>117</v>
      </c>
      <c r="F42" s="3" t="s">
        <v>50</v>
      </c>
      <c r="G42" s="3" t="s">
        <v>16</v>
      </c>
      <c r="H42" s="4">
        <v>39826.845138888886</v>
      </c>
      <c r="I42" s="3">
        <v>34.019440000000003</v>
      </c>
      <c r="J42" s="3">
        <v>-118.49028</v>
      </c>
      <c r="K42" s="5">
        <v>90401</v>
      </c>
      <c r="L42" s="8">
        <f t="shared" si="0"/>
        <v>2009</v>
      </c>
      <c r="M42" s="8">
        <f t="shared" si="1"/>
        <v>39826</v>
      </c>
      <c r="N42" s="19">
        <v>0.3263888888888889</v>
      </c>
    </row>
    <row r="43" spans="1:14" x14ac:dyDescent="0.3">
      <c r="A43" s="6" t="s">
        <v>21</v>
      </c>
      <c r="B43" s="6">
        <v>3600</v>
      </c>
      <c r="C43" s="6" t="s">
        <v>17</v>
      </c>
      <c r="D43" s="6" t="s">
        <v>118</v>
      </c>
      <c r="E43" s="6" t="s">
        <v>119</v>
      </c>
      <c r="F43" s="6" t="s">
        <v>50</v>
      </c>
      <c r="G43" s="6" t="s">
        <v>16</v>
      </c>
      <c r="H43" s="7">
        <v>39827.046527777777</v>
      </c>
      <c r="I43" s="6">
        <v>33.669440000000002</v>
      </c>
      <c r="J43" s="6">
        <v>-117.82222</v>
      </c>
      <c r="K43" s="8">
        <v>92614</v>
      </c>
      <c r="L43" s="5">
        <f t="shared" si="0"/>
        <v>2009</v>
      </c>
      <c r="M43" s="5">
        <f t="shared" si="1"/>
        <v>39827</v>
      </c>
      <c r="N43" s="18">
        <v>0.12708333333333333</v>
      </c>
    </row>
    <row r="44" spans="1:14" x14ac:dyDescent="0.3">
      <c r="A44" s="3" t="s">
        <v>11</v>
      </c>
      <c r="B44" s="3">
        <v>1200</v>
      </c>
      <c r="C44" s="3" t="s">
        <v>12</v>
      </c>
      <c r="D44" s="3" t="s">
        <v>120</v>
      </c>
      <c r="E44" s="3" t="s">
        <v>121</v>
      </c>
      <c r="F44" s="3" t="s">
        <v>68</v>
      </c>
      <c r="G44" s="3" t="s">
        <v>16</v>
      </c>
      <c r="H44" s="4">
        <v>39827.11041666667</v>
      </c>
      <c r="I44" s="3">
        <v>37.619169999999997</v>
      </c>
      <c r="J44" s="3">
        <v>-75.764169999999993</v>
      </c>
      <c r="K44" s="5">
        <v>23401</v>
      </c>
      <c r="L44" s="5">
        <f t="shared" si="0"/>
        <v>2009</v>
      </c>
      <c r="M44" s="5">
        <f t="shared" si="1"/>
        <v>39827</v>
      </c>
      <c r="N44" s="18">
        <v>0.47638888888888886</v>
      </c>
    </row>
    <row r="45" spans="1:14" x14ac:dyDescent="0.3">
      <c r="A45" s="6" t="s">
        <v>11</v>
      </c>
      <c r="B45" s="6">
        <v>1200</v>
      </c>
      <c r="C45" s="6" t="s">
        <v>17</v>
      </c>
      <c r="D45" s="6" t="s">
        <v>122</v>
      </c>
      <c r="E45" s="6" t="s">
        <v>123</v>
      </c>
      <c r="F45" s="6" t="s">
        <v>124</v>
      </c>
      <c r="G45" s="6" t="s">
        <v>16</v>
      </c>
      <c r="H45" s="7">
        <v>39827.196527777778</v>
      </c>
      <c r="I45" s="6">
        <v>21.306940000000001</v>
      </c>
      <c r="J45" s="6">
        <v>-157.85833</v>
      </c>
      <c r="K45" s="8">
        <v>96813</v>
      </c>
      <c r="L45" s="8">
        <f t="shared" si="0"/>
        <v>2009</v>
      </c>
      <c r="M45" s="8">
        <f t="shared" si="1"/>
        <v>39827</v>
      </c>
      <c r="N45" s="19">
        <v>0.20416666666666666</v>
      </c>
    </row>
    <row r="46" spans="1:14" x14ac:dyDescent="0.3">
      <c r="A46" s="3" t="s">
        <v>11</v>
      </c>
      <c r="B46" s="3">
        <v>1200</v>
      </c>
      <c r="C46" s="3" t="s">
        <v>12</v>
      </c>
      <c r="D46" s="3" t="s">
        <v>125</v>
      </c>
      <c r="E46" s="3" t="s">
        <v>126</v>
      </c>
      <c r="F46" s="3" t="s">
        <v>61</v>
      </c>
      <c r="G46" s="3" t="s">
        <v>16</v>
      </c>
      <c r="H46" s="4">
        <v>39827.543749999997</v>
      </c>
      <c r="I46" s="3">
        <v>30.669440000000002</v>
      </c>
      <c r="J46" s="3">
        <v>-81.462779999999995</v>
      </c>
      <c r="K46" s="5">
        <v>32034</v>
      </c>
      <c r="L46" s="5">
        <f t="shared" si="0"/>
        <v>2009</v>
      </c>
      <c r="M46" s="5">
        <f t="shared" si="1"/>
        <v>39827</v>
      </c>
      <c r="N46" s="18">
        <v>8.0555555555555561E-2</v>
      </c>
    </row>
    <row r="47" spans="1:14" x14ac:dyDescent="0.3">
      <c r="A47" s="6" t="s">
        <v>11</v>
      </c>
      <c r="B47" s="6">
        <v>1200</v>
      </c>
      <c r="C47" s="6" t="s">
        <v>17</v>
      </c>
      <c r="D47" s="6" t="s">
        <v>127</v>
      </c>
      <c r="E47" s="6" t="s">
        <v>128</v>
      </c>
      <c r="F47" s="6" t="s">
        <v>61</v>
      </c>
      <c r="G47" s="6" t="s">
        <v>16</v>
      </c>
      <c r="H47" s="7">
        <v>39827.636805555558</v>
      </c>
      <c r="I47" s="6">
        <v>25.721109999999999</v>
      </c>
      <c r="J47" s="6">
        <v>-80.268609999999995</v>
      </c>
      <c r="K47" s="8">
        <v>33146</v>
      </c>
      <c r="L47" s="8">
        <f t="shared" si="0"/>
        <v>2009</v>
      </c>
      <c r="M47" s="8">
        <f t="shared" si="1"/>
        <v>39827</v>
      </c>
      <c r="N47" s="19">
        <v>0.49722222222222223</v>
      </c>
    </row>
    <row r="48" spans="1:14" x14ac:dyDescent="0.3">
      <c r="A48" s="3" t="s">
        <v>11</v>
      </c>
      <c r="B48" s="3">
        <v>1200</v>
      </c>
      <c r="C48" s="3" t="s">
        <v>12</v>
      </c>
      <c r="D48" s="3" t="s">
        <v>129</v>
      </c>
      <c r="E48" s="3" t="s">
        <v>60</v>
      </c>
      <c r="F48" s="3" t="s">
        <v>61</v>
      </c>
      <c r="G48" s="3" t="s">
        <v>16</v>
      </c>
      <c r="H48" s="4">
        <v>39827.811111111114</v>
      </c>
      <c r="I48" s="3">
        <v>25.773890000000002</v>
      </c>
      <c r="J48" s="3">
        <v>-80.193889999999996</v>
      </c>
      <c r="K48" s="5">
        <v>33130</v>
      </c>
      <c r="L48" s="5">
        <f t="shared" si="0"/>
        <v>2009</v>
      </c>
      <c r="M48" s="5">
        <f t="shared" si="1"/>
        <v>39827</v>
      </c>
      <c r="N48" s="18">
        <v>0.31388888888888888</v>
      </c>
    </row>
    <row r="49" spans="1:14" x14ac:dyDescent="0.3">
      <c r="A49" s="6" t="s">
        <v>11</v>
      </c>
      <c r="B49" s="6">
        <v>1200</v>
      </c>
      <c r="C49" s="6" t="s">
        <v>12</v>
      </c>
      <c r="D49" s="6" t="s">
        <v>130</v>
      </c>
      <c r="E49" s="6" t="s">
        <v>131</v>
      </c>
      <c r="F49" s="6" t="s">
        <v>132</v>
      </c>
      <c r="G49" s="6" t="s">
        <v>16</v>
      </c>
      <c r="H49" s="7">
        <v>39827.918055555558</v>
      </c>
      <c r="I49" s="6">
        <v>39.647779999999997</v>
      </c>
      <c r="J49" s="6">
        <v>-104.98721999999999</v>
      </c>
      <c r="K49" s="8">
        <v>80113</v>
      </c>
      <c r="L49" s="8">
        <f t="shared" si="0"/>
        <v>2009</v>
      </c>
      <c r="M49" s="8">
        <f t="shared" si="1"/>
        <v>39827</v>
      </c>
      <c r="N49" s="19">
        <v>0.31874999999999998</v>
      </c>
    </row>
    <row r="50" spans="1:14" x14ac:dyDescent="0.3">
      <c r="A50" s="3" t="s">
        <v>11</v>
      </c>
      <c r="B50" s="3">
        <v>1200</v>
      </c>
      <c r="C50" s="3" t="s">
        <v>17</v>
      </c>
      <c r="D50" s="3" t="s">
        <v>133</v>
      </c>
      <c r="E50" s="3" t="s">
        <v>134</v>
      </c>
      <c r="F50" s="3" t="s">
        <v>30</v>
      </c>
      <c r="G50" s="3" t="s">
        <v>16</v>
      </c>
      <c r="H50" s="4">
        <v>39828.086111111108</v>
      </c>
      <c r="I50" s="3">
        <v>42.09722</v>
      </c>
      <c r="J50" s="3">
        <v>-88.692779999999999</v>
      </c>
      <c r="K50" s="5">
        <v>60135</v>
      </c>
      <c r="L50" s="5">
        <f t="shared" si="0"/>
        <v>2009</v>
      </c>
      <c r="M50" s="5">
        <f t="shared" si="1"/>
        <v>39828</v>
      </c>
      <c r="N50" s="18">
        <v>0.1111111111111111</v>
      </c>
    </row>
    <row r="51" spans="1:14" x14ac:dyDescent="0.3">
      <c r="A51" s="6" t="s">
        <v>11</v>
      </c>
      <c r="B51" s="6">
        <v>1200</v>
      </c>
      <c r="C51" s="6" t="s">
        <v>12</v>
      </c>
      <c r="D51" s="6" t="s">
        <v>135</v>
      </c>
      <c r="E51" s="6" t="s">
        <v>136</v>
      </c>
      <c r="F51" s="6" t="s">
        <v>61</v>
      </c>
      <c r="G51" s="6" t="s">
        <v>16</v>
      </c>
      <c r="H51" s="7">
        <v>39828.250694444447</v>
      </c>
      <c r="I51" s="6">
        <v>26.309719999999999</v>
      </c>
      <c r="J51" s="6">
        <v>-80.237499999999997</v>
      </c>
      <c r="K51" s="8">
        <v>33067</v>
      </c>
      <c r="L51" s="5">
        <f t="shared" si="0"/>
        <v>2009</v>
      </c>
      <c r="M51" s="5">
        <f t="shared" si="1"/>
        <v>39828</v>
      </c>
      <c r="N51" s="18">
        <v>0.15208333333333332</v>
      </c>
    </row>
    <row r="52" spans="1:14" x14ac:dyDescent="0.3">
      <c r="A52" s="3" t="s">
        <v>11</v>
      </c>
      <c r="B52" s="3">
        <v>1200</v>
      </c>
      <c r="C52" s="3" t="s">
        <v>65</v>
      </c>
      <c r="D52" s="3" t="s">
        <v>137</v>
      </c>
      <c r="E52" s="3" t="s">
        <v>138</v>
      </c>
      <c r="F52" s="3" t="s">
        <v>50</v>
      </c>
      <c r="G52" s="3" t="s">
        <v>16</v>
      </c>
      <c r="H52" s="4">
        <v>39828.267361111109</v>
      </c>
      <c r="I52" s="3">
        <v>37.774999999999999</v>
      </c>
      <c r="J52" s="3">
        <v>-122.41833</v>
      </c>
      <c r="K52" s="5">
        <v>94103</v>
      </c>
      <c r="L52" s="8">
        <f t="shared" si="0"/>
        <v>2009</v>
      </c>
      <c r="M52" s="8">
        <f t="shared" si="1"/>
        <v>39828</v>
      </c>
      <c r="N52" s="19">
        <v>0.22291666666666668</v>
      </c>
    </row>
    <row r="53" spans="1:14" x14ac:dyDescent="0.3">
      <c r="A53" s="6" t="s">
        <v>11</v>
      </c>
      <c r="B53" s="6">
        <v>1200</v>
      </c>
      <c r="C53" s="6" t="s">
        <v>17</v>
      </c>
      <c r="D53" s="6" t="s">
        <v>139</v>
      </c>
      <c r="E53" s="6" t="s">
        <v>121</v>
      </c>
      <c r="F53" s="6" t="s">
        <v>68</v>
      </c>
      <c r="G53" s="6" t="s">
        <v>16</v>
      </c>
      <c r="H53" s="7">
        <v>39828.290972222225</v>
      </c>
      <c r="I53" s="6">
        <v>37.619169999999997</v>
      </c>
      <c r="J53" s="6">
        <v>-75.764169999999993</v>
      </c>
      <c r="K53" s="8">
        <v>23401</v>
      </c>
      <c r="L53" s="5">
        <f t="shared" si="0"/>
        <v>2009</v>
      </c>
      <c r="M53" s="5">
        <f t="shared" si="1"/>
        <v>39828</v>
      </c>
      <c r="N53" s="18">
        <v>0.17499999999999999</v>
      </c>
    </row>
    <row r="54" spans="1:14" x14ac:dyDescent="0.3">
      <c r="A54" s="3" t="s">
        <v>11</v>
      </c>
      <c r="B54" s="3">
        <v>1200</v>
      </c>
      <c r="C54" s="3" t="s">
        <v>17</v>
      </c>
      <c r="D54" s="3" t="s">
        <v>140</v>
      </c>
      <c r="E54" s="3" t="s">
        <v>141</v>
      </c>
      <c r="F54" s="3" t="s">
        <v>27</v>
      </c>
      <c r="G54" s="3" t="s">
        <v>16</v>
      </c>
      <c r="H54" s="4">
        <v>39828.397222222222</v>
      </c>
      <c r="I54" s="3">
        <v>40.636670000000002</v>
      </c>
      <c r="J54" s="3">
        <v>-74.91028</v>
      </c>
      <c r="K54" s="5">
        <v>8809</v>
      </c>
      <c r="L54" s="8">
        <f t="shared" si="0"/>
        <v>2009</v>
      </c>
      <c r="M54" s="8">
        <f t="shared" si="1"/>
        <v>39828</v>
      </c>
      <c r="N54" s="19">
        <v>0.45</v>
      </c>
    </row>
    <row r="55" spans="1:14" x14ac:dyDescent="0.3">
      <c r="A55" s="6" t="s">
        <v>11</v>
      </c>
      <c r="B55" s="6">
        <v>1200</v>
      </c>
      <c r="C55" s="6" t="s">
        <v>17</v>
      </c>
      <c r="D55" s="6" t="s">
        <v>142</v>
      </c>
      <c r="E55" s="6" t="s">
        <v>143</v>
      </c>
      <c r="F55" s="6" t="s">
        <v>144</v>
      </c>
      <c r="G55" s="6" t="s">
        <v>16</v>
      </c>
      <c r="H55" s="7">
        <v>39828.402777777781</v>
      </c>
      <c r="I55" s="6">
        <v>37.774169999999998</v>
      </c>
      <c r="J55" s="6">
        <v>-87.113330000000005</v>
      </c>
      <c r="K55" s="8">
        <v>42303</v>
      </c>
      <c r="L55" s="5">
        <f t="shared" si="0"/>
        <v>2009</v>
      </c>
      <c r="M55" s="5">
        <f t="shared" si="1"/>
        <v>39828</v>
      </c>
      <c r="N55" s="18">
        <v>0.38194444444444442</v>
      </c>
    </row>
    <row r="56" spans="1:14" x14ac:dyDescent="0.3">
      <c r="A56" s="3" t="s">
        <v>11</v>
      </c>
      <c r="B56" s="3">
        <v>1200</v>
      </c>
      <c r="C56" s="3" t="s">
        <v>12</v>
      </c>
      <c r="D56" s="3" t="s">
        <v>145</v>
      </c>
      <c r="E56" s="3" t="s">
        <v>146</v>
      </c>
      <c r="F56" s="3" t="s">
        <v>39</v>
      </c>
      <c r="G56" s="3" t="s">
        <v>16</v>
      </c>
      <c r="H56" s="4">
        <v>39828.409722222219</v>
      </c>
      <c r="I56" s="3">
        <v>33.142499999999998</v>
      </c>
      <c r="J56" s="3">
        <v>-96.969170000000005</v>
      </c>
      <c r="K56" s="5">
        <v>75068</v>
      </c>
      <c r="L56" s="8">
        <f t="shared" si="0"/>
        <v>2009</v>
      </c>
      <c r="M56" s="8">
        <f t="shared" si="1"/>
        <v>39828</v>
      </c>
      <c r="N56" s="19">
        <v>0.44722222222222224</v>
      </c>
    </row>
    <row r="57" spans="1:14" x14ac:dyDescent="0.3">
      <c r="A57" s="6" t="s">
        <v>11</v>
      </c>
      <c r="B57" s="6">
        <v>1200</v>
      </c>
      <c r="C57" s="6" t="s">
        <v>12</v>
      </c>
      <c r="D57" s="6" t="s">
        <v>147</v>
      </c>
      <c r="E57" s="6" t="s">
        <v>148</v>
      </c>
      <c r="F57" s="6" t="s">
        <v>106</v>
      </c>
      <c r="G57" s="6" t="s">
        <v>16</v>
      </c>
      <c r="H57" s="7">
        <v>39828.561111111114</v>
      </c>
      <c r="I57" s="6">
        <v>38.980559999999997</v>
      </c>
      <c r="J57" s="6">
        <v>-76.937219999999996</v>
      </c>
      <c r="K57" s="8">
        <v>20740</v>
      </c>
      <c r="L57" s="5">
        <f t="shared" si="0"/>
        <v>2009</v>
      </c>
      <c r="M57" s="5">
        <f t="shared" si="1"/>
        <v>39828</v>
      </c>
      <c r="N57" s="18">
        <v>0.5229166666666667</v>
      </c>
    </row>
    <row r="58" spans="1:14" x14ac:dyDescent="0.3">
      <c r="A58" s="3" t="s">
        <v>11</v>
      </c>
      <c r="B58" s="3">
        <v>1200</v>
      </c>
      <c r="C58" s="3" t="s">
        <v>12</v>
      </c>
      <c r="D58" s="3" t="s">
        <v>149</v>
      </c>
      <c r="E58" s="3" t="s">
        <v>150</v>
      </c>
      <c r="F58" s="3" t="s">
        <v>124</v>
      </c>
      <c r="G58" s="3" t="s">
        <v>16</v>
      </c>
      <c r="H58" s="4">
        <v>39828.646527777775</v>
      </c>
      <c r="I58" s="3">
        <v>19.7349</v>
      </c>
      <c r="J58" s="3">
        <v>-155.90029999999999</v>
      </c>
      <c r="K58" s="5">
        <v>96740</v>
      </c>
      <c r="L58" s="5">
        <f t="shared" si="0"/>
        <v>2009</v>
      </c>
      <c r="M58" s="5">
        <f t="shared" si="1"/>
        <v>39828</v>
      </c>
      <c r="N58" s="18">
        <v>0.4826388888888889</v>
      </c>
    </row>
    <row r="59" spans="1:14" x14ac:dyDescent="0.3">
      <c r="A59" s="6" t="s">
        <v>11</v>
      </c>
      <c r="B59" s="6">
        <v>1200</v>
      </c>
      <c r="C59" s="6" t="s">
        <v>65</v>
      </c>
      <c r="D59" s="6" t="s">
        <v>151</v>
      </c>
      <c r="E59" s="6" t="s">
        <v>152</v>
      </c>
      <c r="F59" s="6" t="s">
        <v>50</v>
      </c>
      <c r="G59" s="6" t="s">
        <v>16</v>
      </c>
      <c r="H59" s="7">
        <v>39828.65625</v>
      </c>
      <c r="I59" s="6">
        <v>33.849170000000001</v>
      </c>
      <c r="J59" s="6">
        <v>-118.3875</v>
      </c>
      <c r="K59" s="8">
        <v>90277</v>
      </c>
      <c r="L59" s="8">
        <f t="shared" si="0"/>
        <v>2009</v>
      </c>
      <c r="M59" s="8">
        <f t="shared" si="1"/>
        <v>39828</v>
      </c>
      <c r="N59" s="19">
        <v>0.15277777777777779</v>
      </c>
    </row>
    <row r="60" spans="1:14" x14ac:dyDescent="0.3">
      <c r="A60" s="3" t="s">
        <v>11</v>
      </c>
      <c r="B60" s="3">
        <v>1200</v>
      </c>
      <c r="C60" s="3" t="s">
        <v>65</v>
      </c>
      <c r="D60" s="3" t="s">
        <v>153</v>
      </c>
      <c r="E60" s="3" t="s">
        <v>154</v>
      </c>
      <c r="F60" s="3" t="s">
        <v>71</v>
      </c>
      <c r="G60" s="3" t="s">
        <v>16</v>
      </c>
      <c r="H60" s="4">
        <v>39828.692361111112</v>
      </c>
      <c r="I60" s="3">
        <v>33.611669999999997</v>
      </c>
      <c r="J60" s="3">
        <v>-111.71666999999999</v>
      </c>
      <c r="K60" s="5">
        <v>85268</v>
      </c>
      <c r="L60" s="5">
        <f t="shared" si="0"/>
        <v>2009</v>
      </c>
      <c r="M60" s="5">
        <f t="shared" si="1"/>
        <v>39828</v>
      </c>
      <c r="N60" s="18">
        <v>0.46388888888888891</v>
      </c>
    </row>
    <row r="61" spans="1:14" x14ac:dyDescent="0.3">
      <c r="A61" s="6" t="s">
        <v>11</v>
      </c>
      <c r="B61" s="6">
        <v>2100</v>
      </c>
      <c r="C61" s="6" t="s">
        <v>17</v>
      </c>
      <c r="D61" s="6" t="s">
        <v>155</v>
      </c>
      <c r="E61" s="6" t="s">
        <v>156</v>
      </c>
      <c r="F61" s="6" t="s">
        <v>36</v>
      </c>
      <c r="G61" s="6" t="s">
        <v>16</v>
      </c>
      <c r="H61" s="7">
        <v>39829.255555555559</v>
      </c>
      <c r="I61" s="6">
        <v>41.372219999999999</v>
      </c>
      <c r="J61" s="6">
        <v>-73.733890000000002</v>
      </c>
      <c r="K61" s="8">
        <v>10541</v>
      </c>
      <c r="L61" s="8">
        <f t="shared" si="0"/>
        <v>2009</v>
      </c>
      <c r="M61" s="8">
        <f t="shared" si="1"/>
        <v>39829</v>
      </c>
      <c r="N61" s="19">
        <v>0.30625000000000002</v>
      </c>
    </row>
    <row r="62" spans="1:14" x14ac:dyDescent="0.3">
      <c r="A62" s="3" t="s">
        <v>11</v>
      </c>
      <c r="B62" s="3">
        <v>1200</v>
      </c>
      <c r="C62" s="3" t="s">
        <v>12</v>
      </c>
      <c r="D62" s="3" t="s">
        <v>157</v>
      </c>
      <c r="E62" s="3" t="s">
        <v>158</v>
      </c>
      <c r="F62" s="3" t="s">
        <v>30</v>
      </c>
      <c r="G62" s="3" t="s">
        <v>16</v>
      </c>
      <c r="H62" s="4">
        <v>39829.571527777778</v>
      </c>
      <c r="I62" s="3">
        <v>41.85</v>
      </c>
      <c r="J62" s="3">
        <v>-87.65</v>
      </c>
      <c r="K62" s="5">
        <v>60608</v>
      </c>
      <c r="L62" s="5">
        <f t="shared" si="0"/>
        <v>2009</v>
      </c>
      <c r="M62" s="5">
        <f t="shared" si="1"/>
        <v>39829</v>
      </c>
      <c r="N62" s="18">
        <v>0.41388888888888886</v>
      </c>
    </row>
    <row r="63" spans="1:14" x14ac:dyDescent="0.3">
      <c r="A63" s="6" t="s">
        <v>11</v>
      </c>
      <c r="B63" s="6">
        <v>1200</v>
      </c>
      <c r="C63" s="6" t="s">
        <v>12</v>
      </c>
      <c r="D63" s="6" t="s">
        <v>159</v>
      </c>
      <c r="E63" s="6" t="s">
        <v>160</v>
      </c>
      <c r="F63" s="6" t="s">
        <v>39</v>
      </c>
      <c r="G63" s="6" t="s">
        <v>16</v>
      </c>
      <c r="H63" s="7">
        <v>39829.74722222222</v>
      </c>
      <c r="I63" s="6">
        <v>30.079719999999998</v>
      </c>
      <c r="J63" s="6">
        <v>-95.416939999999997</v>
      </c>
      <c r="K63" s="8">
        <v>77373</v>
      </c>
      <c r="L63" s="8">
        <f t="shared" si="0"/>
        <v>2009</v>
      </c>
      <c r="M63" s="8">
        <f t="shared" si="1"/>
        <v>39829</v>
      </c>
      <c r="N63" s="19">
        <v>0.23680555555555555</v>
      </c>
    </row>
    <row r="64" spans="1:14" x14ac:dyDescent="0.3">
      <c r="A64" s="3" t="s">
        <v>11</v>
      </c>
      <c r="B64" s="3">
        <v>1200</v>
      </c>
      <c r="C64" s="3" t="s">
        <v>12</v>
      </c>
      <c r="D64" s="3" t="s">
        <v>161</v>
      </c>
      <c r="E64" s="3" t="s">
        <v>162</v>
      </c>
      <c r="F64" s="3" t="s">
        <v>50</v>
      </c>
      <c r="G64" s="3" t="s">
        <v>16</v>
      </c>
      <c r="H64" s="4">
        <v>39830.024305555555</v>
      </c>
      <c r="I64" s="3">
        <v>33.119169999999997</v>
      </c>
      <c r="J64" s="3">
        <v>-117.08556</v>
      </c>
      <c r="K64" s="5">
        <v>92025</v>
      </c>
      <c r="L64" s="5">
        <f t="shared" si="0"/>
        <v>2009</v>
      </c>
      <c r="M64" s="5">
        <f t="shared" si="1"/>
        <v>39830</v>
      </c>
      <c r="N64" s="18">
        <v>0.23125000000000001</v>
      </c>
    </row>
    <row r="65" spans="1:14" x14ac:dyDescent="0.3">
      <c r="A65" s="6" t="s">
        <v>11</v>
      </c>
      <c r="B65" s="6">
        <v>1200</v>
      </c>
      <c r="C65" s="6" t="s">
        <v>12</v>
      </c>
      <c r="D65" s="6" t="s">
        <v>163</v>
      </c>
      <c r="E65" s="6" t="s">
        <v>164</v>
      </c>
      <c r="F65" s="6" t="s">
        <v>68</v>
      </c>
      <c r="G65" s="6" t="s">
        <v>16</v>
      </c>
      <c r="H65" s="7">
        <v>39830.370833333334</v>
      </c>
      <c r="I65" s="6">
        <v>39.043610000000001</v>
      </c>
      <c r="J65" s="6">
        <v>-77.487780000000001</v>
      </c>
      <c r="K65" s="8">
        <v>20147</v>
      </c>
      <c r="L65" s="5">
        <f t="shared" si="0"/>
        <v>2009</v>
      </c>
      <c r="M65" s="5">
        <f t="shared" si="1"/>
        <v>39830</v>
      </c>
      <c r="N65" s="18">
        <v>0.37430555555555556</v>
      </c>
    </row>
    <row r="66" spans="1:14" x14ac:dyDescent="0.3">
      <c r="A66" s="3" t="s">
        <v>11</v>
      </c>
      <c r="B66" s="3">
        <v>1200</v>
      </c>
      <c r="C66" s="3" t="s">
        <v>65</v>
      </c>
      <c r="D66" s="3" t="s">
        <v>165</v>
      </c>
      <c r="E66" s="3" t="s">
        <v>166</v>
      </c>
      <c r="F66" s="3" t="s">
        <v>50</v>
      </c>
      <c r="G66" s="3" t="s">
        <v>16</v>
      </c>
      <c r="H66" s="4">
        <v>39830.45416666667</v>
      </c>
      <c r="I66" s="3">
        <v>34.052219999999998</v>
      </c>
      <c r="J66" s="3">
        <v>-118.24278</v>
      </c>
      <c r="K66" s="5">
        <v>90012</v>
      </c>
      <c r="L66" s="8">
        <f t="shared" ref="L66:L129" si="2">YEAR(H66)</f>
        <v>2009</v>
      </c>
      <c r="M66" s="8">
        <f t="shared" ref="M66:M129" si="3">INT(H66)</f>
        <v>39830</v>
      </c>
      <c r="N66" s="19">
        <v>0.16388888888888889</v>
      </c>
    </row>
    <row r="67" spans="1:14" x14ac:dyDescent="0.3">
      <c r="A67" s="6" t="s">
        <v>11</v>
      </c>
      <c r="B67" s="6">
        <v>1200</v>
      </c>
      <c r="C67" s="6" t="s">
        <v>12</v>
      </c>
      <c r="D67" s="6" t="s">
        <v>167</v>
      </c>
      <c r="E67" s="6" t="s">
        <v>168</v>
      </c>
      <c r="F67" s="6" t="s">
        <v>169</v>
      </c>
      <c r="G67" s="6" t="s">
        <v>16</v>
      </c>
      <c r="H67" s="7">
        <v>39830.484722222223</v>
      </c>
      <c r="I67" s="6">
        <v>47.250279999999997</v>
      </c>
      <c r="J67" s="6">
        <v>-122.2925</v>
      </c>
      <c r="K67" s="8">
        <v>98372</v>
      </c>
      <c r="L67" s="5">
        <f t="shared" si="2"/>
        <v>2009</v>
      </c>
      <c r="M67" s="5">
        <f t="shared" si="3"/>
        <v>39830</v>
      </c>
      <c r="N67" s="18">
        <v>0.5131944444444444</v>
      </c>
    </row>
    <row r="68" spans="1:14" x14ac:dyDescent="0.3">
      <c r="A68" s="3" t="s">
        <v>11</v>
      </c>
      <c r="B68" s="3">
        <v>1200</v>
      </c>
      <c r="C68" s="3" t="s">
        <v>12</v>
      </c>
      <c r="D68" s="3" t="s">
        <v>170</v>
      </c>
      <c r="E68" s="3" t="s">
        <v>35</v>
      </c>
      <c r="F68" s="3" t="s">
        <v>36</v>
      </c>
      <c r="G68" s="3" t="s">
        <v>16</v>
      </c>
      <c r="H68" s="4">
        <v>39830.488888888889</v>
      </c>
      <c r="I68" s="3">
        <v>40.714170000000003</v>
      </c>
      <c r="J68" s="3">
        <v>-74.006389999999996</v>
      </c>
      <c r="K68" s="5">
        <v>10007</v>
      </c>
      <c r="L68" s="8">
        <f t="shared" si="2"/>
        <v>2009</v>
      </c>
      <c r="M68" s="8">
        <f t="shared" si="3"/>
        <v>39830</v>
      </c>
      <c r="N68" s="19">
        <v>8.5416666666666669E-2</v>
      </c>
    </row>
    <row r="69" spans="1:14" x14ac:dyDescent="0.3">
      <c r="A69" s="6" t="s">
        <v>11</v>
      </c>
      <c r="B69" s="6">
        <v>1200</v>
      </c>
      <c r="C69" s="6" t="s">
        <v>12</v>
      </c>
      <c r="D69" s="6" t="s">
        <v>171</v>
      </c>
      <c r="E69" s="6" t="s">
        <v>172</v>
      </c>
      <c r="F69" s="6" t="s">
        <v>80</v>
      </c>
      <c r="G69" s="6" t="s">
        <v>16</v>
      </c>
      <c r="H69" s="7">
        <v>39830.678472222222</v>
      </c>
      <c r="I69" s="6">
        <v>33.952500000000001</v>
      </c>
      <c r="J69" s="6">
        <v>-84.55</v>
      </c>
      <c r="K69" s="8">
        <v>30060</v>
      </c>
      <c r="L69" s="5">
        <f t="shared" si="2"/>
        <v>2009</v>
      </c>
      <c r="M69" s="5">
        <f t="shared" si="3"/>
        <v>39830</v>
      </c>
      <c r="N69" s="18">
        <v>0.52569444444444446</v>
      </c>
    </row>
    <row r="70" spans="1:14" x14ac:dyDescent="0.3">
      <c r="A70" s="3" t="s">
        <v>11</v>
      </c>
      <c r="B70" s="3">
        <v>1200</v>
      </c>
      <c r="C70" s="3" t="s">
        <v>17</v>
      </c>
      <c r="D70" s="3" t="s">
        <v>173</v>
      </c>
      <c r="E70" s="3" t="s">
        <v>73</v>
      </c>
      <c r="F70" s="3" t="s">
        <v>39</v>
      </c>
      <c r="G70" s="3" t="s">
        <v>16</v>
      </c>
      <c r="H70" s="4">
        <v>39830.729861111111</v>
      </c>
      <c r="I70" s="3">
        <v>29.763059999999999</v>
      </c>
      <c r="J70" s="3">
        <v>-95.363060000000004</v>
      </c>
      <c r="K70" s="5">
        <v>77002</v>
      </c>
      <c r="L70" s="8">
        <f t="shared" si="2"/>
        <v>2009</v>
      </c>
      <c r="M70" s="8">
        <f t="shared" si="3"/>
        <v>39830</v>
      </c>
      <c r="N70" s="19">
        <v>0.3215277777777778</v>
      </c>
    </row>
    <row r="71" spans="1:14" x14ac:dyDescent="0.3">
      <c r="A71" s="6" t="s">
        <v>11</v>
      </c>
      <c r="B71" s="6">
        <v>1200</v>
      </c>
      <c r="C71" s="6" t="s">
        <v>12</v>
      </c>
      <c r="D71" s="6" t="s">
        <v>174</v>
      </c>
      <c r="E71" s="6" t="s">
        <v>175</v>
      </c>
      <c r="F71" s="6" t="s">
        <v>27</v>
      </c>
      <c r="G71" s="6" t="s">
        <v>16</v>
      </c>
      <c r="H71" s="7">
        <v>39830.779166666667</v>
      </c>
      <c r="I71" s="6">
        <v>40.798609999999996</v>
      </c>
      <c r="J71" s="6">
        <v>-74.239440000000002</v>
      </c>
      <c r="K71" s="8">
        <v>7052</v>
      </c>
      <c r="L71" s="5">
        <f t="shared" si="2"/>
        <v>2009</v>
      </c>
      <c r="M71" s="5">
        <f t="shared" si="3"/>
        <v>39830</v>
      </c>
      <c r="N71" s="18">
        <v>0.18194444444444444</v>
      </c>
    </row>
    <row r="72" spans="1:14" x14ac:dyDescent="0.3">
      <c r="A72" s="3" t="s">
        <v>11</v>
      </c>
      <c r="B72" s="3">
        <v>1200</v>
      </c>
      <c r="C72" s="3" t="s">
        <v>12</v>
      </c>
      <c r="D72" s="3" t="s">
        <v>176</v>
      </c>
      <c r="E72" s="3" t="s">
        <v>177</v>
      </c>
      <c r="F72" s="3" t="s">
        <v>50</v>
      </c>
      <c r="G72" s="3" t="s">
        <v>16</v>
      </c>
      <c r="H72" s="4">
        <v>39831.195833333331</v>
      </c>
      <c r="I72" s="3">
        <v>33.94</v>
      </c>
      <c r="J72" s="3">
        <v>-118.13167</v>
      </c>
      <c r="K72" s="5">
        <v>90241</v>
      </c>
      <c r="L72" s="5">
        <f t="shared" si="2"/>
        <v>2009</v>
      </c>
      <c r="M72" s="5">
        <f t="shared" si="3"/>
        <v>39831</v>
      </c>
      <c r="N72" s="18">
        <v>0.22708333333333333</v>
      </c>
    </row>
    <row r="73" spans="1:14" x14ac:dyDescent="0.3">
      <c r="A73" s="6" t="s">
        <v>11</v>
      </c>
      <c r="B73" s="6">
        <v>1200</v>
      </c>
      <c r="C73" s="6" t="s">
        <v>17</v>
      </c>
      <c r="D73" s="6" t="s">
        <v>120</v>
      </c>
      <c r="E73" s="6" t="s">
        <v>178</v>
      </c>
      <c r="F73" s="6" t="s">
        <v>50</v>
      </c>
      <c r="G73" s="6" t="s">
        <v>16</v>
      </c>
      <c r="H73" s="7">
        <v>39831.363194444442</v>
      </c>
      <c r="I73" s="6">
        <v>37.885829999999999</v>
      </c>
      <c r="J73" s="6">
        <v>-122.11694</v>
      </c>
      <c r="K73" s="8">
        <v>94549</v>
      </c>
      <c r="L73" s="8">
        <f t="shared" si="2"/>
        <v>2009</v>
      </c>
      <c r="M73" s="8">
        <f t="shared" si="3"/>
        <v>39831</v>
      </c>
      <c r="N73" s="19">
        <v>0.20972222222222223</v>
      </c>
    </row>
    <row r="74" spans="1:14" x14ac:dyDescent="0.3">
      <c r="A74" s="3" t="s">
        <v>11</v>
      </c>
      <c r="B74" s="3">
        <v>1200</v>
      </c>
      <c r="C74" s="3" t="s">
        <v>12</v>
      </c>
      <c r="D74" s="3" t="s">
        <v>179</v>
      </c>
      <c r="E74" s="3" t="s">
        <v>180</v>
      </c>
      <c r="F74" s="3" t="s">
        <v>181</v>
      </c>
      <c r="G74" s="3" t="s">
        <v>16</v>
      </c>
      <c r="H74" s="4">
        <v>39831.384027777778</v>
      </c>
      <c r="I74" s="3">
        <v>33.94556</v>
      </c>
      <c r="J74" s="3">
        <v>-93.846940000000004</v>
      </c>
      <c r="K74" s="5">
        <v>71852</v>
      </c>
      <c r="L74" s="5">
        <f t="shared" si="2"/>
        <v>2009</v>
      </c>
      <c r="M74" s="5">
        <f t="shared" si="3"/>
        <v>39831</v>
      </c>
      <c r="N74" s="18">
        <v>9.4444444444444442E-2</v>
      </c>
    </row>
    <row r="75" spans="1:14" x14ac:dyDescent="0.3">
      <c r="A75" s="6" t="s">
        <v>11</v>
      </c>
      <c r="B75" s="6">
        <v>1200</v>
      </c>
      <c r="C75" s="6" t="s">
        <v>12</v>
      </c>
      <c r="D75" s="6" t="s">
        <v>182</v>
      </c>
      <c r="E75" s="6" t="s">
        <v>183</v>
      </c>
      <c r="F75" s="6" t="s">
        <v>106</v>
      </c>
      <c r="G75" s="6" t="s">
        <v>16</v>
      </c>
      <c r="H75" s="7">
        <v>39831.515972222223</v>
      </c>
      <c r="I75" s="6">
        <v>39.433610000000002</v>
      </c>
      <c r="J75" s="6">
        <v>-76.358059999999995</v>
      </c>
      <c r="K75" s="8">
        <v>21085</v>
      </c>
      <c r="L75" s="8">
        <f t="shared" si="2"/>
        <v>2009</v>
      </c>
      <c r="M75" s="8">
        <f t="shared" si="3"/>
        <v>39831</v>
      </c>
      <c r="N75" s="19">
        <v>0.49513888888888891</v>
      </c>
    </row>
    <row r="76" spans="1:14" x14ac:dyDescent="0.3">
      <c r="A76" s="3" t="s">
        <v>11</v>
      </c>
      <c r="B76" s="3">
        <v>1200</v>
      </c>
      <c r="C76" s="3" t="s">
        <v>12</v>
      </c>
      <c r="D76" s="3" t="s">
        <v>184</v>
      </c>
      <c r="E76" s="3" t="s">
        <v>183</v>
      </c>
      <c r="F76" s="3" t="s">
        <v>106</v>
      </c>
      <c r="G76" s="3" t="s">
        <v>16</v>
      </c>
      <c r="H76" s="4">
        <v>39831.515972222223</v>
      </c>
      <c r="I76" s="3">
        <v>39.433610000000002</v>
      </c>
      <c r="J76" s="3">
        <v>-76.358059999999995</v>
      </c>
      <c r="K76" s="5">
        <v>21085</v>
      </c>
      <c r="L76" s="5">
        <f t="shared" si="2"/>
        <v>2009</v>
      </c>
      <c r="M76" s="5">
        <f t="shared" si="3"/>
        <v>39831</v>
      </c>
      <c r="N76" s="18">
        <v>0.50277777777777777</v>
      </c>
    </row>
    <row r="77" spans="1:14" x14ac:dyDescent="0.3">
      <c r="A77" s="6" t="s">
        <v>11</v>
      </c>
      <c r="B77" s="6">
        <v>1200</v>
      </c>
      <c r="C77" s="6" t="s">
        <v>12</v>
      </c>
      <c r="D77" s="6" t="s">
        <v>185</v>
      </c>
      <c r="E77" s="6" t="s">
        <v>186</v>
      </c>
      <c r="F77" s="6" t="s">
        <v>27</v>
      </c>
      <c r="G77" s="6" t="s">
        <v>16</v>
      </c>
      <c r="H77" s="7">
        <v>39831.535416666666</v>
      </c>
      <c r="I77" s="6">
        <v>40.706940000000003</v>
      </c>
      <c r="J77" s="6">
        <v>-74.956389999999999</v>
      </c>
      <c r="K77" s="8">
        <v>8827</v>
      </c>
      <c r="L77" s="8">
        <f t="shared" si="2"/>
        <v>2009</v>
      </c>
      <c r="M77" s="8">
        <f t="shared" si="3"/>
        <v>39831</v>
      </c>
      <c r="N77" s="19">
        <v>0.32916666666666666</v>
      </c>
    </row>
    <row r="78" spans="1:14" x14ac:dyDescent="0.3">
      <c r="A78" s="3" t="s">
        <v>11</v>
      </c>
      <c r="B78" s="3">
        <v>1200</v>
      </c>
      <c r="C78" s="3" t="s">
        <v>17</v>
      </c>
      <c r="D78" s="3" t="s">
        <v>187</v>
      </c>
      <c r="E78" s="3" t="s">
        <v>188</v>
      </c>
      <c r="F78" s="3" t="s">
        <v>144</v>
      </c>
      <c r="G78" s="3" t="s">
        <v>16</v>
      </c>
      <c r="H78" s="4">
        <v>39831.581944444442</v>
      </c>
      <c r="I78" s="3">
        <v>38.254170000000002</v>
      </c>
      <c r="J78" s="3">
        <v>-85.759439999999998</v>
      </c>
      <c r="K78" s="5">
        <v>40202</v>
      </c>
      <c r="L78" s="5">
        <f t="shared" si="2"/>
        <v>2009</v>
      </c>
      <c r="M78" s="5">
        <f t="shared" si="3"/>
        <v>39831</v>
      </c>
      <c r="N78" s="18">
        <v>0.37916666666666665</v>
      </c>
    </row>
    <row r="79" spans="1:14" x14ac:dyDescent="0.3">
      <c r="A79" s="6" t="s">
        <v>11</v>
      </c>
      <c r="B79" s="6">
        <v>1200</v>
      </c>
      <c r="C79" s="6" t="s">
        <v>12</v>
      </c>
      <c r="D79" s="6" t="s">
        <v>189</v>
      </c>
      <c r="E79" s="6" t="s">
        <v>190</v>
      </c>
      <c r="F79" s="6" t="s">
        <v>68</v>
      </c>
      <c r="G79" s="6" t="s">
        <v>16</v>
      </c>
      <c r="H79" s="7">
        <v>39831.586111111108</v>
      </c>
      <c r="I79" s="6">
        <v>39.043610000000001</v>
      </c>
      <c r="J79" s="6">
        <v>-77.487780000000001</v>
      </c>
      <c r="K79" s="8">
        <v>20147</v>
      </c>
      <c r="L79" s="5">
        <f t="shared" si="2"/>
        <v>2009</v>
      </c>
      <c r="M79" s="5">
        <f t="shared" si="3"/>
        <v>39831</v>
      </c>
      <c r="N79" s="18">
        <v>0.2722222222222222</v>
      </c>
    </row>
    <row r="80" spans="1:14" x14ac:dyDescent="0.3">
      <c r="A80" s="3" t="s">
        <v>21</v>
      </c>
      <c r="B80" s="3">
        <v>3600</v>
      </c>
      <c r="C80" s="3" t="s">
        <v>12</v>
      </c>
      <c r="D80" s="3" t="s">
        <v>191</v>
      </c>
      <c r="E80" s="3" t="s">
        <v>166</v>
      </c>
      <c r="F80" s="3" t="s">
        <v>50</v>
      </c>
      <c r="G80" s="3" t="s">
        <v>16</v>
      </c>
      <c r="H80" s="4">
        <v>39831.70416666667</v>
      </c>
      <c r="I80" s="3">
        <v>34.052219999999998</v>
      </c>
      <c r="J80" s="3">
        <v>-118.24278</v>
      </c>
      <c r="K80" s="5">
        <v>90012</v>
      </c>
      <c r="L80" s="8">
        <f t="shared" si="2"/>
        <v>2009</v>
      </c>
      <c r="M80" s="8">
        <f t="shared" si="3"/>
        <v>39831</v>
      </c>
      <c r="N80" s="19">
        <v>0.18888888888888888</v>
      </c>
    </row>
    <row r="81" spans="1:14" x14ac:dyDescent="0.3">
      <c r="A81" s="6" t="s">
        <v>21</v>
      </c>
      <c r="B81" s="6">
        <v>3600</v>
      </c>
      <c r="C81" s="6" t="s">
        <v>12</v>
      </c>
      <c r="D81" s="6" t="s">
        <v>192</v>
      </c>
      <c r="E81" s="6" t="s">
        <v>35</v>
      </c>
      <c r="F81" s="6" t="s">
        <v>36</v>
      </c>
      <c r="G81" s="6" t="s">
        <v>16</v>
      </c>
      <c r="H81" s="7">
        <v>39831.706944444442</v>
      </c>
      <c r="I81" s="6">
        <v>40.714170000000003</v>
      </c>
      <c r="J81" s="6">
        <v>-74.006389999999996</v>
      </c>
      <c r="K81" s="8">
        <v>10007</v>
      </c>
      <c r="L81" s="5">
        <f t="shared" si="2"/>
        <v>2009</v>
      </c>
      <c r="M81" s="5">
        <f t="shared" si="3"/>
        <v>39831</v>
      </c>
      <c r="N81" s="18">
        <v>0.21111111111111111</v>
      </c>
    </row>
    <row r="82" spans="1:14" x14ac:dyDescent="0.3">
      <c r="A82" s="3" t="s">
        <v>21</v>
      </c>
      <c r="B82" s="3">
        <v>3600</v>
      </c>
      <c r="C82" s="3" t="s">
        <v>12</v>
      </c>
      <c r="D82" s="3" t="s">
        <v>193</v>
      </c>
      <c r="E82" s="3" t="s">
        <v>194</v>
      </c>
      <c r="F82" s="3" t="s">
        <v>195</v>
      </c>
      <c r="G82" s="3" t="s">
        <v>16</v>
      </c>
      <c r="H82" s="4">
        <v>39831.719444444447</v>
      </c>
      <c r="I82" s="3">
        <v>44.94444</v>
      </c>
      <c r="J82" s="3">
        <v>-93.093059999999994</v>
      </c>
      <c r="K82" s="5">
        <v>55101</v>
      </c>
      <c r="L82" s="8">
        <f t="shared" si="2"/>
        <v>2009</v>
      </c>
      <c r="M82" s="8">
        <f t="shared" si="3"/>
        <v>39831</v>
      </c>
      <c r="N82" s="19">
        <v>0.22222222222222221</v>
      </c>
    </row>
    <row r="83" spans="1:14" x14ac:dyDescent="0.3">
      <c r="A83" s="6" t="s">
        <v>21</v>
      </c>
      <c r="B83" s="6">
        <v>3600</v>
      </c>
      <c r="C83" s="6" t="s">
        <v>12</v>
      </c>
      <c r="D83" s="6" t="s">
        <v>196</v>
      </c>
      <c r="E83" s="6" t="s">
        <v>35</v>
      </c>
      <c r="F83" s="6" t="s">
        <v>36</v>
      </c>
      <c r="G83" s="6" t="s">
        <v>16</v>
      </c>
      <c r="H83" s="7">
        <v>39831.731944444444</v>
      </c>
      <c r="I83" s="6">
        <v>40.714170000000003</v>
      </c>
      <c r="J83" s="6">
        <v>-74.006389999999996</v>
      </c>
      <c r="K83" s="8">
        <v>10007</v>
      </c>
      <c r="L83" s="5">
        <f t="shared" si="2"/>
        <v>2009</v>
      </c>
      <c r="M83" s="5">
        <f t="shared" si="3"/>
        <v>39831</v>
      </c>
      <c r="N83" s="18">
        <v>0.23541666666666666</v>
      </c>
    </row>
    <row r="84" spans="1:14" x14ac:dyDescent="0.3">
      <c r="A84" s="3" t="s">
        <v>11</v>
      </c>
      <c r="B84" s="3">
        <v>1200</v>
      </c>
      <c r="C84" s="3" t="s">
        <v>12</v>
      </c>
      <c r="D84" s="3" t="s">
        <v>197</v>
      </c>
      <c r="E84" s="3" t="s">
        <v>198</v>
      </c>
      <c r="F84" s="3" t="s">
        <v>195</v>
      </c>
      <c r="G84" s="3" t="s">
        <v>16</v>
      </c>
      <c r="H84" s="4">
        <v>39831.738194444442</v>
      </c>
      <c r="I84" s="3">
        <v>45.107779999999998</v>
      </c>
      <c r="J84" s="3">
        <v>-93.237780000000001</v>
      </c>
      <c r="K84" s="5">
        <v>55432</v>
      </c>
      <c r="L84" s="8">
        <f t="shared" si="2"/>
        <v>2009</v>
      </c>
      <c r="M84" s="8">
        <f t="shared" si="3"/>
        <v>39831</v>
      </c>
      <c r="N84" s="19">
        <v>0.47222222222222221</v>
      </c>
    </row>
    <row r="85" spans="1:14" x14ac:dyDescent="0.3">
      <c r="A85" s="6" t="s">
        <v>11</v>
      </c>
      <c r="B85" s="6">
        <v>1200</v>
      </c>
      <c r="C85" s="6" t="s">
        <v>12</v>
      </c>
      <c r="D85" s="6" t="s">
        <v>199</v>
      </c>
      <c r="E85" s="6" t="s">
        <v>200</v>
      </c>
      <c r="F85" s="6" t="s">
        <v>169</v>
      </c>
      <c r="G85" s="6" t="s">
        <v>16</v>
      </c>
      <c r="H85" s="7">
        <v>39832.056944444441</v>
      </c>
      <c r="I85" s="6">
        <v>47.606389999999998</v>
      </c>
      <c r="J85" s="6">
        <v>-122.33083000000001</v>
      </c>
      <c r="K85" s="8">
        <v>98104</v>
      </c>
      <c r="L85" s="5">
        <f t="shared" si="2"/>
        <v>2009</v>
      </c>
      <c r="M85" s="5">
        <f t="shared" si="3"/>
        <v>39832</v>
      </c>
      <c r="N85" s="18">
        <v>0.2013888888888889</v>
      </c>
    </row>
    <row r="86" spans="1:14" x14ac:dyDescent="0.3">
      <c r="A86" s="3" t="s">
        <v>11</v>
      </c>
      <c r="B86" s="3">
        <v>1200</v>
      </c>
      <c r="C86" s="3" t="s">
        <v>17</v>
      </c>
      <c r="D86" s="3" t="s">
        <v>201</v>
      </c>
      <c r="E86" s="3" t="s">
        <v>202</v>
      </c>
      <c r="F86" s="3" t="s">
        <v>27</v>
      </c>
      <c r="G86" s="3" t="s">
        <v>16</v>
      </c>
      <c r="H86" s="4">
        <v>39832.157638888886</v>
      </c>
      <c r="I86" s="3">
        <v>39.838059999999999</v>
      </c>
      <c r="J86" s="3">
        <v>-75.153059999999996</v>
      </c>
      <c r="K86" s="5">
        <v>8096</v>
      </c>
      <c r="L86" s="5">
        <f t="shared" si="2"/>
        <v>2009</v>
      </c>
      <c r="M86" s="5">
        <f t="shared" si="3"/>
        <v>39832</v>
      </c>
      <c r="N86" s="18">
        <v>0.13333333333333333</v>
      </c>
    </row>
    <row r="87" spans="1:14" x14ac:dyDescent="0.3">
      <c r="A87" s="6" t="s">
        <v>11</v>
      </c>
      <c r="B87" s="6">
        <v>1200</v>
      </c>
      <c r="C87" s="6" t="s">
        <v>12</v>
      </c>
      <c r="D87" s="6" t="s">
        <v>201</v>
      </c>
      <c r="E87" s="6" t="s">
        <v>203</v>
      </c>
      <c r="F87" s="6" t="s">
        <v>80</v>
      </c>
      <c r="G87" s="6" t="s">
        <v>16</v>
      </c>
      <c r="H87" s="7">
        <v>39832.258333333331</v>
      </c>
      <c r="I87" s="6">
        <v>34.075279999999999</v>
      </c>
      <c r="J87" s="6">
        <v>-84.294169999999994</v>
      </c>
      <c r="K87" s="8">
        <v>30009</v>
      </c>
      <c r="L87" s="8">
        <f t="shared" si="2"/>
        <v>2009</v>
      </c>
      <c r="M87" s="8">
        <f t="shared" si="3"/>
        <v>39832</v>
      </c>
      <c r="N87" s="19">
        <v>0.28611111111111109</v>
      </c>
    </row>
    <row r="88" spans="1:14" x14ac:dyDescent="0.3">
      <c r="A88" s="3" t="s">
        <v>11</v>
      </c>
      <c r="B88" s="3">
        <v>1200</v>
      </c>
      <c r="C88" s="3" t="s">
        <v>12</v>
      </c>
      <c r="D88" s="3" t="s">
        <v>204</v>
      </c>
      <c r="E88" s="3" t="s">
        <v>205</v>
      </c>
      <c r="F88" s="3" t="s">
        <v>206</v>
      </c>
      <c r="G88" s="3" t="s">
        <v>16</v>
      </c>
      <c r="H88" s="4">
        <v>39832.259027777778</v>
      </c>
      <c r="I88" s="3">
        <v>38.895000000000003</v>
      </c>
      <c r="J88" s="3">
        <v>-77.036670000000001</v>
      </c>
      <c r="K88" s="5">
        <v>20004</v>
      </c>
      <c r="L88" s="5">
        <f t="shared" si="2"/>
        <v>2009</v>
      </c>
      <c r="M88" s="5">
        <f t="shared" si="3"/>
        <v>39832</v>
      </c>
      <c r="N88" s="18">
        <v>0.47013888888888888</v>
      </c>
    </row>
    <row r="89" spans="1:14" x14ac:dyDescent="0.3">
      <c r="A89" s="6" t="s">
        <v>11</v>
      </c>
      <c r="B89" s="6">
        <v>1200</v>
      </c>
      <c r="C89" s="6" t="s">
        <v>65</v>
      </c>
      <c r="D89" s="6" t="s">
        <v>207</v>
      </c>
      <c r="E89" s="6" t="s">
        <v>205</v>
      </c>
      <c r="F89" s="6" t="s">
        <v>206</v>
      </c>
      <c r="G89" s="6" t="s">
        <v>16</v>
      </c>
      <c r="H89" s="7">
        <v>39832.320833333331</v>
      </c>
      <c r="I89" s="6">
        <v>38.895000000000003</v>
      </c>
      <c r="J89" s="6">
        <v>-77.036670000000001</v>
      </c>
      <c r="K89" s="8">
        <v>20004</v>
      </c>
      <c r="L89" s="8">
        <f t="shared" si="2"/>
        <v>2009</v>
      </c>
      <c r="M89" s="8">
        <f t="shared" si="3"/>
        <v>39832</v>
      </c>
      <c r="N89" s="19">
        <v>0.31736111111111109</v>
      </c>
    </row>
    <row r="90" spans="1:14" x14ac:dyDescent="0.3">
      <c r="A90" s="3" t="s">
        <v>11</v>
      </c>
      <c r="B90" s="3">
        <v>1200</v>
      </c>
      <c r="C90" s="3" t="s">
        <v>12</v>
      </c>
      <c r="D90" s="3" t="s">
        <v>208</v>
      </c>
      <c r="E90" s="3" t="s">
        <v>209</v>
      </c>
      <c r="F90" s="3" t="s">
        <v>80</v>
      </c>
      <c r="G90" s="3" t="s">
        <v>16</v>
      </c>
      <c r="H90" s="4">
        <v>39832.472916666666</v>
      </c>
      <c r="I90" s="3">
        <v>33.960830000000001</v>
      </c>
      <c r="J90" s="3">
        <v>-83.378060000000005</v>
      </c>
      <c r="K90" s="5">
        <v>30601</v>
      </c>
      <c r="L90" s="5">
        <f t="shared" si="2"/>
        <v>2009</v>
      </c>
      <c r="M90" s="5">
        <f t="shared" si="3"/>
        <v>39832</v>
      </c>
      <c r="N90" s="18">
        <v>0.26458333333333334</v>
      </c>
    </row>
    <row r="91" spans="1:14" x14ac:dyDescent="0.3">
      <c r="A91" s="6" t="s">
        <v>11</v>
      </c>
      <c r="B91" s="6">
        <v>1200</v>
      </c>
      <c r="C91" s="6" t="s">
        <v>12</v>
      </c>
      <c r="D91" s="6" t="s">
        <v>210</v>
      </c>
      <c r="E91" s="6" t="s">
        <v>211</v>
      </c>
      <c r="F91" s="6" t="s">
        <v>80</v>
      </c>
      <c r="G91" s="6" t="s">
        <v>16</v>
      </c>
      <c r="H91" s="7">
        <v>39832.532638888886</v>
      </c>
      <c r="I91" s="6">
        <v>34.09639</v>
      </c>
      <c r="J91" s="6">
        <v>-83.761390000000006</v>
      </c>
      <c r="K91" s="8">
        <v>30548</v>
      </c>
      <c r="L91" s="8">
        <f t="shared" si="2"/>
        <v>2009</v>
      </c>
      <c r="M91" s="8">
        <f t="shared" si="3"/>
        <v>39832</v>
      </c>
      <c r="N91" s="19">
        <v>0.29236111111111113</v>
      </c>
    </row>
    <row r="92" spans="1:14" x14ac:dyDescent="0.3">
      <c r="A92" s="3" t="s">
        <v>11</v>
      </c>
      <c r="B92" s="3">
        <v>1200</v>
      </c>
      <c r="C92" s="3" t="s">
        <v>12</v>
      </c>
      <c r="D92" s="3" t="s">
        <v>212</v>
      </c>
      <c r="E92" s="3" t="s">
        <v>213</v>
      </c>
      <c r="F92" s="3" t="s">
        <v>115</v>
      </c>
      <c r="G92" s="3" t="s">
        <v>16</v>
      </c>
      <c r="H92" s="4">
        <v>39832.624305555553</v>
      </c>
      <c r="I92" s="3">
        <v>42.489440000000002</v>
      </c>
      <c r="J92" s="3">
        <v>-83.144720000000007</v>
      </c>
      <c r="K92" s="5">
        <v>48067</v>
      </c>
      <c r="L92" s="5">
        <f t="shared" si="2"/>
        <v>2009</v>
      </c>
      <c r="M92" s="5">
        <f t="shared" si="3"/>
        <v>39832</v>
      </c>
      <c r="N92" s="18">
        <v>0.33819444444444446</v>
      </c>
    </row>
    <row r="93" spans="1:14" x14ac:dyDescent="0.3">
      <c r="A93" s="6" t="s">
        <v>11</v>
      </c>
      <c r="B93" s="6">
        <v>1200</v>
      </c>
      <c r="C93" s="6" t="s">
        <v>12</v>
      </c>
      <c r="D93" s="6" t="s">
        <v>214</v>
      </c>
      <c r="E93" s="6" t="s">
        <v>213</v>
      </c>
      <c r="F93" s="6" t="s">
        <v>115</v>
      </c>
      <c r="G93" s="6" t="s">
        <v>16</v>
      </c>
      <c r="H93" s="7">
        <v>39832.624305555553</v>
      </c>
      <c r="I93" s="6">
        <v>42.489440000000002</v>
      </c>
      <c r="J93" s="6">
        <v>-83.144720000000007</v>
      </c>
      <c r="K93" s="8">
        <v>48067</v>
      </c>
      <c r="L93" s="5">
        <f t="shared" si="2"/>
        <v>2009</v>
      </c>
      <c r="M93" s="5">
        <f t="shared" si="3"/>
        <v>39832</v>
      </c>
      <c r="N93" s="18">
        <v>0.34027777777777779</v>
      </c>
    </row>
    <row r="94" spans="1:14" x14ac:dyDescent="0.3">
      <c r="A94" s="3" t="s">
        <v>11</v>
      </c>
      <c r="B94" s="3">
        <v>1200</v>
      </c>
      <c r="C94" s="3" t="s">
        <v>17</v>
      </c>
      <c r="D94" s="3" t="s">
        <v>215</v>
      </c>
      <c r="E94" s="3" t="s">
        <v>216</v>
      </c>
      <c r="F94" s="3" t="s">
        <v>217</v>
      </c>
      <c r="G94" s="3" t="s">
        <v>16</v>
      </c>
      <c r="H94" s="4">
        <v>39832.65</v>
      </c>
      <c r="I94" s="3">
        <v>42.395829999999997</v>
      </c>
      <c r="J94" s="3">
        <v>-71.179169999999999</v>
      </c>
      <c r="K94" s="5">
        <v>2478</v>
      </c>
      <c r="L94" s="8">
        <f t="shared" si="2"/>
        <v>2009</v>
      </c>
      <c r="M94" s="8">
        <f t="shared" si="3"/>
        <v>39832</v>
      </c>
      <c r="N94" s="19">
        <v>0.23958333333333334</v>
      </c>
    </row>
    <row r="95" spans="1:14" x14ac:dyDescent="0.3">
      <c r="A95" s="6" t="s">
        <v>11</v>
      </c>
      <c r="B95" s="6">
        <v>1200</v>
      </c>
      <c r="C95" s="6" t="s">
        <v>17</v>
      </c>
      <c r="D95" s="6" t="s">
        <v>218</v>
      </c>
      <c r="E95" s="6" t="s">
        <v>219</v>
      </c>
      <c r="F95" s="6" t="s">
        <v>220</v>
      </c>
      <c r="G95" s="6" t="s">
        <v>16</v>
      </c>
      <c r="H95" s="7">
        <v>39832.666666666664</v>
      </c>
      <c r="I95" s="6">
        <v>41.022779999999997</v>
      </c>
      <c r="J95" s="6">
        <v>-73.565280000000001</v>
      </c>
      <c r="K95" s="8">
        <v>6870</v>
      </c>
      <c r="L95" s="5">
        <f t="shared" si="2"/>
        <v>2009</v>
      </c>
      <c r="M95" s="5">
        <f t="shared" si="3"/>
        <v>39832</v>
      </c>
      <c r="N95" s="18">
        <v>0.1736111111111111</v>
      </c>
    </row>
    <row r="96" spans="1:14" x14ac:dyDescent="0.3">
      <c r="A96" s="3" t="s">
        <v>11</v>
      </c>
      <c r="B96" s="3">
        <v>1200</v>
      </c>
      <c r="C96" s="3" t="s">
        <v>17</v>
      </c>
      <c r="D96" s="3" t="s">
        <v>221</v>
      </c>
      <c r="E96" s="3" t="s">
        <v>222</v>
      </c>
      <c r="F96" s="3" t="s">
        <v>61</v>
      </c>
      <c r="G96" s="3" t="s">
        <v>16</v>
      </c>
      <c r="H96" s="4">
        <v>39832.679166666669</v>
      </c>
      <c r="I96" s="3">
        <v>25.712219999999999</v>
      </c>
      <c r="J96" s="3">
        <v>-80.257220000000004</v>
      </c>
      <c r="K96" s="5">
        <v>33133</v>
      </c>
      <c r="L96" s="8">
        <f t="shared" si="2"/>
        <v>2009</v>
      </c>
      <c r="M96" s="8">
        <f t="shared" si="3"/>
        <v>39832</v>
      </c>
      <c r="N96" s="19">
        <v>0.2048611111111111</v>
      </c>
    </row>
    <row r="97" spans="1:14" x14ac:dyDescent="0.3">
      <c r="A97" s="6" t="s">
        <v>11</v>
      </c>
      <c r="B97" s="6">
        <v>1200</v>
      </c>
      <c r="C97" s="6" t="s">
        <v>12</v>
      </c>
      <c r="D97" s="6" t="s">
        <v>223</v>
      </c>
      <c r="E97" s="6" t="s">
        <v>224</v>
      </c>
      <c r="F97" s="6" t="s">
        <v>68</v>
      </c>
      <c r="G97" s="6" t="s">
        <v>16</v>
      </c>
      <c r="H97" s="7">
        <v>39832.744444444441</v>
      </c>
      <c r="I97" s="6">
        <v>38.901110000000003</v>
      </c>
      <c r="J97" s="6">
        <v>-77.265559999999994</v>
      </c>
      <c r="K97" s="8">
        <v>22180</v>
      </c>
      <c r="L97" s="5">
        <f t="shared" si="2"/>
        <v>2009</v>
      </c>
      <c r="M97" s="5">
        <f t="shared" si="3"/>
        <v>39832</v>
      </c>
      <c r="N97" s="18">
        <v>0.23680555555555555</v>
      </c>
    </row>
    <row r="98" spans="1:14" x14ac:dyDescent="0.3">
      <c r="A98" s="3" t="s">
        <v>21</v>
      </c>
      <c r="B98" s="3">
        <v>3600</v>
      </c>
      <c r="C98" s="3" t="s">
        <v>12</v>
      </c>
      <c r="D98" s="3" t="s">
        <v>225</v>
      </c>
      <c r="E98" s="3" t="s">
        <v>226</v>
      </c>
      <c r="F98" s="3" t="s">
        <v>50</v>
      </c>
      <c r="G98" s="3" t="s">
        <v>16</v>
      </c>
      <c r="H98" s="4">
        <v>39832.754861111112</v>
      </c>
      <c r="I98" s="3">
        <v>37.78</v>
      </c>
      <c r="J98" s="3">
        <v>-121.97694</v>
      </c>
      <c r="K98" s="5">
        <v>94526</v>
      </c>
      <c r="L98" s="8">
        <f t="shared" si="2"/>
        <v>2009</v>
      </c>
      <c r="M98" s="8">
        <f t="shared" si="3"/>
        <v>39832</v>
      </c>
      <c r="N98" s="19">
        <v>7.5694444444444439E-2</v>
      </c>
    </row>
    <row r="99" spans="1:14" x14ac:dyDescent="0.3">
      <c r="A99" s="6" t="s">
        <v>11</v>
      </c>
      <c r="B99" s="6">
        <v>1200</v>
      </c>
      <c r="C99" s="6" t="s">
        <v>12</v>
      </c>
      <c r="D99" s="6" t="s">
        <v>227</v>
      </c>
      <c r="E99" s="6" t="s">
        <v>228</v>
      </c>
      <c r="F99" s="6" t="s">
        <v>68</v>
      </c>
      <c r="G99" s="6" t="s">
        <v>16</v>
      </c>
      <c r="H99" s="7">
        <v>39832.949999999997</v>
      </c>
      <c r="I99" s="6">
        <v>36.846670000000003</v>
      </c>
      <c r="J99" s="6">
        <v>-76.285560000000004</v>
      </c>
      <c r="K99" s="8">
        <v>23510</v>
      </c>
      <c r="L99" s="5">
        <f t="shared" si="2"/>
        <v>2009</v>
      </c>
      <c r="M99" s="5">
        <f t="shared" si="3"/>
        <v>39832</v>
      </c>
      <c r="N99" s="18">
        <v>0.24097222222222223</v>
      </c>
    </row>
    <row r="100" spans="1:14" x14ac:dyDescent="0.3">
      <c r="A100" s="3" t="s">
        <v>11</v>
      </c>
      <c r="B100" s="3">
        <v>1200</v>
      </c>
      <c r="C100" s="3" t="s">
        <v>17</v>
      </c>
      <c r="D100" s="3" t="s">
        <v>229</v>
      </c>
      <c r="E100" s="3" t="s">
        <v>228</v>
      </c>
      <c r="F100" s="3" t="s">
        <v>68</v>
      </c>
      <c r="G100" s="3" t="s">
        <v>16</v>
      </c>
      <c r="H100" s="4">
        <v>39832.953472222223</v>
      </c>
      <c r="I100" s="3">
        <v>36.846670000000003</v>
      </c>
      <c r="J100" s="3">
        <v>-76.285560000000004</v>
      </c>
      <c r="K100" s="5">
        <v>23510</v>
      </c>
      <c r="L100" s="5">
        <f t="shared" si="2"/>
        <v>2009</v>
      </c>
      <c r="M100" s="5">
        <f t="shared" si="3"/>
        <v>39832</v>
      </c>
      <c r="N100" s="18">
        <v>0.46250000000000002</v>
      </c>
    </row>
    <row r="101" spans="1:14" x14ac:dyDescent="0.3">
      <c r="A101" s="6" t="s">
        <v>11</v>
      </c>
      <c r="B101" s="6">
        <v>1200</v>
      </c>
      <c r="C101" s="6" t="s">
        <v>12</v>
      </c>
      <c r="D101" s="6" t="s">
        <v>230</v>
      </c>
      <c r="E101" s="6" t="s">
        <v>231</v>
      </c>
      <c r="F101" s="6" t="s">
        <v>106</v>
      </c>
      <c r="G101" s="6" t="s">
        <v>16</v>
      </c>
      <c r="H101" s="7">
        <v>39833.282638888886</v>
      </c>
      <c r="I101" s="6">
        <v>39.018059999999998</v>
      </c>
      <c r="J101" s="6">
        <v>-77.208889999999997</v>
      </c>
      <c r="K101" s="8">
        <v>20854</v>
      </c>
      <c r="L101" s="8">
        <f t="shared" si="2"/>
        <v>2009</v>
      </c>
      <c r="M101" s="8">
        <f t="shared" si="3"/>
        <v>39833</v>
      </c>
      <c r="N101" s="19">
        <v>0.45277777777777778</v>
      </c>
    </row>
    <row r="102" spans="1:14" x14ac:dyDescent="0.3">
      <c r="A102" s="3" t="s">
        <v>64</v>
      </c>
      <c r="B102" s="3">
        <v>7500</v>
      </c>
      <c r="C102" s="3" t="s">
        <v>17</v>
      </c>
      <c r="D102" s="3" t="s">
        <v>232</v>
      </c>
      <c r="E102" s="3" t="s">
        <v>233</v>
      </c>
      <c r="F102" s="3" t="s">
        <v>234</v>
      </c>
      <c r="G102" s="3" t="s">
        <v>16</v>
      </c>
      <c r="H102" s="4">
        <v>39833.302083333336</v>
      </c>
      <c r="I102" s="3">
        <v>32.524999999999999</v>
      </c>
      <c r="J102" s="3">
        <v>-93.75</v>
      </c>
      <c r="K102" s="5">
        <v>71107</v>
      </c>
      <c r="L102" s="5">
        <f t="shared" si="2"/>
        <v>2009</v>
      </c>
      <c r="M102" s="5">
        <f t="shared" si="3"/>
        <v>39833</v>
      </c>
      <c r="N102" s="18">
        <v>0.22500000000000001</v>
      </c>
    </row>
    <row r="103" spans="1:14" x14ac:dyDescent="0.3">
      <c r="A103" s="6" t="s">
        <v>11</v>
      </c>
      <c r="B103" s="6">
        <v>1200</v>
      </c>
      <c r="C103" s="6" t="s">
        <v>17</v>
      </c>
      <c r="D103" s="6" t="s">
        <v>235</v>
      </c>
      <c r="E103" s="6" t="s">
        <v>233</v>
      </c>
      <c r="F103" s="6" t="s">
        <v>234</v>
      </c>
      <c r="G103" s="6" t="s">
        <v>16</v>
      </c>
      <c r="H103" s="7">
        <v>39833.302083333336</v>
      </c>
      <c r="I103" s="6">
        <v>32.524999999999999</v>
      </c>
      <c r="J103" s="6">
        <v>-93.75</v>
      </c>
      <c r="K103" s="8">
        <v>71107</v>
      </c>
      <c r="L103" s="8">
        <f t="shared" si="2"/>
        <v>2009</v>
      </c>
      <c r="M103" s="8">
        <f t="shared" si="3"/>
        <v>39833</v>
      </c>
      <c r="N103" s="19">
        <v>0.25208333333333333</v>
      </c>
    </row>
    <row r="104" spans="1:14" x14ac:dyDescent="0.3">
      <c r="A104" s="3" t="s">
        <v>11</v>
      </c>
      <c r="B104" s="3">
        <v>1200</v>
      </c>
      <c r="C104" s="3" t="s">
        <v>65</v>
      </c>
      <c r="D104" s="3" t="s">
        <v>236</v>
      </c>
      <c r="E104" s="3" t="s">
        <v>237</v>
      </c>
      <c r="F104" s="3" t="s">
        <v>27</v>
      </c>
      <c r="G104" s="3" t="s">
        <v>16</v>
      </c>
      <c r="H104" s="4">
        <v>39833.320833333331</v>
      </c>
      <c r="I104" s="3">
        <v>40.336669999999998</v>
      </c>
      <c r="J104" s="3">
        <v>-74.047499999999999</v>
      </c>
      <c r="K104" s="5">
        <v>7739</v>
      </c>
      <c r="L104" s="5">
        <f t="shared" si="2"/>
        <v>2009</v>
      </c>
      <c r="M104" s="5">
        <f t="shared" si="3"/>
        <v>39833</v>
      </c>
      <c r="N104" s="18">
        <v>0.48402777777777778</v>
      </c>
    </row>
    <row r="105" spans="1:14" x14ac:dyDescent="0.3">
      <c r="A105" s="6" t="s">
        <v>11</v>
      </c>
      <c r="B105" s="6">
        <v>1200</v>
      </c>
      <c r="C105" s="6" t="s">
        <v>65</v>
      </c>
      <c r="D105" s="6" t="s">
        <v>238</v>
      </c>
      <c r="E105" s="6" t="s">
        <v>239</v>
      </c>
      <c r="F105" s="6" t="s">
        <v>240</v>
      </c>
      <c r="G105" s="6" t="s">
        <v>16</v>
      </c>
      <c r="H105" s="7">
        <v>39833.42291666667</v>
      </c>
      <c r="I105" s="6">
        <v>39.952219999999997</v>
      </c>
      <c r="J105" s="6">
        <v>-75.164169999999999</v>
      </c>
      <c r="K105" s="8">
        <v>19107</v>
      </c>
      <c r="L105" s="8">
        <f t="shared" si="2"/>
        <v>2009</v>
      </c>
      <c r="M105" s="8">
        <f t="shared" si="3"/>
        <v>39833</v>
      </c>
      <c r="N105" s="19">
        <v>0.18888888888888888</v>
      </c>
    </row>
    <row r="106" spans="1:14" x14ac:dyDescent="0.3">
      <c r="A106" s="3" t="s">
        <v>11</v>
      </c>
      <c r="B106" s="3">
        <v>1200</v>
      </c>
      <c r="C106" s="3" t="s">
        <v>12</v>
      </c>
      <c r="D106" s="3" t="s">
        <v>241</v>
      </c>
      <c r="E106" s="3" t="s">
        <v>242</v>
      </c>
      <c r="F106" s="3" t="s">
        <v>80</v>
      </c>
      <c r="G106" s="3" t="s">
        <v>16</v>
      </c>
      <c r="H106" s="4">
        <v>39833.464583333334</v>
      </c>
      <c r="I106" s="3">
        <v>33.748890000000003</v>
      </c>
      <c r="J106" s="3">
        <v>-84.388059999999996</v>
      </c>
      <c r="K106" s="5">
        <v>30334</v>
      </c>
      <c r="L106" s="5">
        <f t="shared" si="2"/>
        <v>2009</v>
      </c>
      <c r="M106" s="5">
        <f t="shared" si="3"/>
        <v>39833</v>
      </c>
      <c r="N106" s="18">
        <v>0.44583333333333336</v>
      </c>
    </row>
    <row r="107" spans="1:14" x14ac:dyDescent="0.3">
      <c r="A107" s="6" t="s">
        <v>11</v>
      </c>
      <c r="B107" s="6">
        <v>1200</v>
      </c>
      <c r="C107" s="6" t="s">
        <v>17</v>
      </c>
      <c r="D107" s="6" t="s">
        <v>243</v>
      </c>
      <c r="E107" s="6" t="s">
        <v>244</v>
      </c>
      <c r="F107" s="6" t="s">
        <v>36</v>
      </c>
      <c r="G107" s="6" t="s">
        <v>16</v>
      </c>
      <c r="H107" s="7">
        <v>39833.538194444445</v>
      </c>
      <c r="I107" s="6">
        <v>40.714170000000003</v>
      </c>
      <c r="J107" s="6">
        <v>-74.006389999999996</v>
      </c>
      <c r="K107" s="8">
        <v>10007</v>
      </c>
      <c r="L107" s="5">
        <f t="shared" si="2"/>
        <v>2009</v>
      </c>
      <c r="M107" s="5">
        <f t="shared" si="3"/>
        <v>39833</v>
      </c>
      <c r="N107" s="18">
        <v>0.52361111111111114</v>
      </c>
    </row>
    <row r="108" spans="1:14" x14ac:dyDescent="0.3">
      <c r="A108" s="3" t="s">
        <v>11</v>
      </c>
      <c r="B108" s="3">
        <v>1200</v>
      </c>
      <c r="C108" s="3" t="s">
        <v>12</v>
      </c>
      <c r="D108" s="3" t="s">
        <v>83</v>
      </c>
      <c r="E108" s="3" t="s">
        <v>245</v>
      </c>
      <c r="F108" s="3" t="s">
        <v>217</v>
      </c>
      <c r="G108" s="3" t="s">
        <v>16</v>
      </c>
      <c r="H108" s="4">
        <v>39833.584027777775</v>
      </c>
      <c r="I108" s="3">
        <v>42.331670000000003</v>
      </c>
      <c r="J108" s="3">
        <v>-71.121669999999995</v>
      </c>
      <c r="K108" s="5">
        <v>2445</v>
      </c>
      <c r="L108" s="8">
        <f t="shared" si="2"/>
        <v>2009</v>
      </c>
      <c r="M108" s="8">
        <f t="shared" si="3"/>
        <v>39833</v>
      </c>
      <c r="N108" s="19">
        <v>0.47638888888888886</v>
      </c>
    </row>
    <row r="109" spans="1:14" x14ac:dyDescent="0.3">
      <c r="A109" s="6" t="s">
        <v>11</v>
      </c>
      <c r="B109" s="6">
        <v>1200</v>
      </c>
      <c r="C109" s="6" t="s">
        <v>17</v>
      </c>
      <c r="D109" s="6" t="s">
        <v>246</v>
      </c>
      <c r="E109" s="6" t="s">
        <v>247</v>
      </c>
      <c r="F109" s="6" t="s">
        <v>39</v>
      </c>
      <c r="G109" s="6" t="s">
        <v>16</v>
      </c>
      <c r="H109" s="7">
        <v>39833.751388888886</v>
      </c>
      <c r="I109" s="6">
        <v>32.813890000000001</v>
      </c>
      <c r="J109" s="6">
        <v>-96.948610000000002</v>
      </c>
      <c r="K109" s="8">
        <v>75060</v>
      </c>
      <c r="L109" s="5">
        <f t="shared" si="2"/>
        <v>2009</v>
      </c>
      <c r="M109" s="5">
        <f t="shared" si="3"/>
        <v>39833</v>
      </c>
      <c r="N109" s="18">
        <v>0.32430555555555557</v>
      </c>
    </row>
    <row r="110" spans="1:14" x14ac:dyDescent="0.3">
      <c r="A110" s="3" t="s">
        <v>11</v>
      </c>
      <c r="B110" s="3">
        <v>1200</v>
      </c>
      <c r="C110" s="3" t="s">
        <v>65</v>
      </c>
      <c r="D110" s="3" t="s">
        <v>248</v>
      </c>
      <c r="E110" s="3" t="s">
        <v>249</v>
      </c>
      <c r="F110" s="3" t="s">
        <v>100</v>
      </c>
      <c r="G110" s="3" t="s">
        <v>16</v>
      </c>
      <c r="H110" s="4">
        <v>39833.752083333333</v>
      </c>
      <c r="I110" s="3">
        <v>41.664169999999999</v>
      </c>
      <c r="J110" s="3">
        <v>-83.643330000000006</v>
      </c>
      <c r="K110" s="5">
        <v>43606</v>
      </c>
      <c r="L110" s="8">
        <f t="shared" si="2"/>
        <v>2009</v>
      </c>
      <c r="M110" s="8">
        <f t="shared" si="3"/>
        <v>39833</v>
      </c>
      <c r="N110" s="19">
        <v>0.30555555555555558</v>
      </c>
    </row>
    <row r="111" spans="1:14" x14ac:dyDescent="0.3">
      <c r="A111" s="6" t="s">
        <v>21</v>
      </c>
      <c r="B111" s="6">
        <v>3600</v>
      </c>
      <c r="C111" s="6" t="s">
        <v>17</v>
      </c>
      <c r="D111" s="6" t="s">
        <v>250</v>
      </c>
      <c r="E111" s="6" t="s">
        <v>251</v>
      </c>
      <c r="F111" s="6" t="s">
        <v>50</v>
      </c>
      <c r="G111" s="6" t="s">
        <v>16</v>
      </c>
      <c r="H111" s="7">
        <v>39833.92083333333</v>
      </c>
      <c r="I111" s="6">
        <v>37.384169999999997</v>
      </c>
      <c r="J111" s="6">
        <v>-122.23417000000001</v>
      </c>
      <c r="K111" s="8">
        <v>94028</v>
      </c>
      <c r="L111" s="5">
        <f t="shared" si="2"/>
        <v>2009</v>
      </c>
      <c r="M111" s="5">
        <f t="shared" si="3"/>
        <v>39833</v>
      </c>
      <c r="N111" s="18">
        <v>0.35625000000000001</v>
      </c>
    </row>
    <row r="112" spans="1:14" x14ac:dyDescent="0.3">
      <c r="A112" s="3" t="s">
        <v>64</v>
      </c>
      <c r="B112" s="3">
        <v>7500</v>
      </c>
      <c r="C112" s="3" t="s">
        <v>12</v>
      </c>
      <c r="D112" s="3" t="s">
        <v>252</v>
      </c>
      <c r="E112" s="3" t="s">
        <v>253</v>
      </c>
      <c r="F112" s="3" t="s">
        <v>47</v>
      </c>
      <c r="G112" s="3" t="s">
        <v>16</v>
      </c>
      <c r="H112" s="4">
        <v>39834.043055555558</v>
      </c>
      <c r="I112" s="3">
        <v>40.659999999999997</v>
      </c>
      <c r="J112" s="3">
        <v>-111.99556</v>
      </c>
      <c r="K112" s="5">
        <v>84118</v>
      </c>
      <c r="L112" s="8">
        <f t="shared" si="2"/>
        <v>2009</v>
      </c>
      <c r="M112" s="8">
        <f t="shared" si="3"/>
        <v>39834</v>
      </c>
      <c r="N112" s="19">
        <v>0.11180555555555556</v>
      </c>
    </row>
    <row r="113" spans="1:14" x14ac:dyDescent="0.3">
      <c r="A113" s="6" t="s">
        <v>11</v>
      </c>
      <c r="B113" s="6">
        <v>1200</v>
      </c>
      <c r="C113" s="6" t="s">
        <v>65</v>
      </c>
      <c r="D113" s="6" t="s">
        <v>254</v>
      </c>
      <c r="E113" s="6" t="s">
        <v>63</v>
      </c>
      <c r="F113" s="6" t="s">
        <v>36</v>
      </c>
      <c r="G113" s="6" t="s">
        <v>16</v>
      </c>
      <c r="H113" s="7">
        <v>39834.219444444447</v>
      </c>
      <c r="I113" s="6">
        <v>40.65</v>
      </c>
      <c r="J113" s="6">
        <v>-73.95</v>
      </c>
      <c r="K113" s="8">
        <v>11226</v>
      </c>
      <c r="L113" s="5">
        <f t="shared" si="2"/>
        <v>2009</v>
      </c>
      <c r="M113" s="5">
        <f t="shared" si="3"/>
        <v>39834</v>
      </c>
      <c r="N113" s="18">
        <v>0.34027777777777779</v>
      </c>
    </row>
    <row r="114" spans="1:14" x14ac:dyDescent="0.3">
      <c r="A114" s="3" t="s">
        <v>64</v>
      </c>
      <c r="B114" s="3">
        <v>3600</v>
      </c>
      <c r="C114" s="3" t="s">
        <v>65</v>
      </c>
      <c r="D114" s="3" t="s">
        <v>255</v>
      </c>
      <c r="E114" s="3" t="s">
        <v>256</v>
      </c>
      <c r="F114" s="3" t="s">
        <v>50</v>
      </c>
      <c r="G114" s="3" t="s">
        <v>16</v>
      </c>
      <c r="H114" s="4">
        <v>39834.470833333333</v>
      </c>
      <c r="I114" s="3">
        <v>38.299720000000001</v>
      </c>
      <c r="J114" s="3">
        <v>-122.66556</v>
      </c>
      <c r="K114" s="5">
        <v>94951</v>
      </c>
      <c r="L114" s="5">
        <f t="shared" si="2"/>
        <v>2009</v>
      </c>
      <c r="M114" s="5">
        <f t="shared" si="3"/>
        <v>39834</v>
      </c>
      <c r="N114" s="18">
        <v>0.53125</v>
      </c>
    </row>
    <row r="115" spans="1:14" x14ac:dyDescent="0.3">
      <c r="A115" s="6" t="s">
        <v>11</v>
      </c>
      <c r="B115" s="6">
        <v>1200</v>
      </c>
      <c r="C115" s="6" t="s">
        <v>12</v>
      </c>
      <c r="D115" s="6" t="s">
        <v>257</v>
      </c>
      <c r="E115" s="6" t="s">
        <v>258</v>
      </c>
      <c r="F115" s="6" t="s">
        <v>30</v>
      </c>
      <c r="G115" s="6" t="s">
        <v>16</v>
      </c>
      <c r="H115" s="7">
        <v>39834.482638888891</v>
      </c>
      <c r="I115" s="6">
        <v>41.673609999999996</v>
      </c>
      <c r="J115" s="6">
        <v>-88.001670000000004</v>
      </c>
      <c r="K115" s="8">
        <v>60439</v>
      </c>
      <c r="L115" s="8">
        <f t="shared" si="2"/>
        <v>2009</v>
      </c>
      <c r="M115" s="8">
        <f t="shared" si="3"/>
        <v>39834</v>
      </c>
      <c r="N115" s="19">
        <v>0.34236111111111112</v>
      </c>
    </row>
    <row r="116" spans="1:14" x14ac:dyDescent="0.3">
      <c r="A116" s="3" t="s">
        <v>11</v>
      </c>
      <c r="B116" s="3">
        <v>1200</v>
      </c>
      <c r="C116" s="3" t="s">
        <v>17</v>
      </c>
      <c r="D116" s="3" t="s">
        <v>259</v>
      </c>
      <c r="E116" s="3" t="s">
        <v>260</v>
      </c>
      <c r="F116" s="3" t="s">
        <v>50</v>
      </c>
      <c r="G116" s="3" t="s">
        <v>16</v>
      </c>
      <c r="H116" s="4">
        <v>39834.5</v>
      </c>
      <c r="I116" s="3">
        <v>37.507219999999997</v>
      </c>
      <c r="J116" s="3">
        <v>-122.25944</v>
      </c>
      <c r="K116" s="5">
        <v>94070</v>
      </c>
      <c r="L116" s="5">
        <f t="shared" si="2"/>
        <v>2009</v>
      </c>
      <c r="M116" s="5">
        <f t="shared" si="3"/>
        <v>39834</v>
      </c>
      <c r="N116" s="18">
        <v>9.375E-2</v>
      </c>
    </row>
    <row r="117" spans="1:14" x14ac:dyDescent="0.3">
      <c r="A117" s="6" t="s">
        <v>11</v>
      </c>
      <c r="B117" s="6">
        <v>1200</v>
      </c>
      <c r="C117" s="6" t="s">
        <v>17</v>
      </c>
      <c r="D117" s="6" t="s">
        <v>261</v>
      </c>
      <c r="E117" s="6" t="s">
        <v>158</v>
      </c>
      <c r="F117" s="6" t="s">
        <v>30</v>
      </c>
      <c r="G117" s="6" t="s">
        <v>16</v>
      </c>
      <c r="H117" s="7">
        <v>39834.561111111114</v>
      </c>
      <c r="I117" s="6">
        <v>41.85</v>
      </c>
      <c r="J117" s="6">
        <v>-87.65</v>
      </c>
      <c r="K117" s="8">
        <v>60608</v>
      </c>
      <c r="L117" s="8">
        <f t="shared" si="2"/>
        <v>2009</v>
      </c>
      <c r="M117" s="8">
        <f t="shared" si="3"/>
        <v>39834</v>
      </c>
      <c r="N117" s="19">
        <v>0.14374999999999999</v>
      </c>
    </row>
    <row r="118" spans="1:14" x14ac:dyDescent="0.3">
      <c r="A118" s="3" t="s">
        <v>11</v>
      </c>
      <c r="B118" s="3">
        <v>1200</v>
      </c>
      <c r="C118" s="3" t="s">
        <v>12</v>
      </c>
      <c r="D118" s="3" t="s">
        <v>37</v>
      </c>
      <c r="E118" s="3" t="s">
        <v>262</v>
      </c>
      <c r="F118" s="3" t="s">
        <v>36</v>
      </c>
      <c r="G118" s="3" t="s">
        <v>16</v>
      </c>
      <c r="H118" s="4">
        <v>39834.587500000001</v>
      </c>
      <c r="I118" s="3">
        <v>40.683610000000002</v>
      </c>
      <c r="J118" s="3">
        <v>-73.510559999999998</v>
      </c>
      <c r="K118" s="5">
        <v>11793</v>
      </c>
      <c r="L118" s="5">
        <f t="shared" si="2"/>
        <v>2009</v>
      </c>
      <c r="M118" s="5">
        <f t="shared" si="3"/>
        <v>39834</v>
      </c>
      <c r="N118" s="18">
        <v>8.7499999999999994E-2</v>
      </c>
    </row>
    <row r="119" spans="1:14" x14ac:dyDescent="0.3">
      <c r="A119" s="6" t="s">
        <v>11</v>
      </c>
      <c r="B119" s="6">
        <v>1200</v>
      </c>
      <c r="C119" s="6" t="s">
        <v>12</v>
      </c>
      <c r="D119" s="6" t="s">
        <v>263</v>
      </c>
      <c r="E119" s="6" t="s">
        <v>264</v>
      </c>
      <c r="F119" s="6" t="s">
        <v>80</v>
      </c>
      <c r="G119" s="6" t="s">
        <v>16</v>
      </c>
      <c r="H119" s="7">
        <v>39834.709722222222</v>
      </c>
      <c r="I119" s="6">
        <v>34.948889999999999</v>
      </c>
      <c r="J119" s="6">
        <v>-85.25694</v>
      </c>
      <c r="K119" s="8">
        <v>30742</v>
      </c>
      <c r="L119" s="8">
        <f t="shared" si="2"/>
        <v>2009</v>
      </c>
      <c r="M119" s="8">
        <f t="shared" si="3"/>
        <v>39834</v>
      </c>
      <c r="N119" s="19">
        <v>0.29652777777777778</v>
      </c>
    </row>
    <row r="120" spans="1:14" x14ac:dyDescent="0.3">
      <c r="A120" s="3" t="s">
        <v>11</v>
      </c>
      <c r="B120" s="3">
        <v>1200</v>
      </c>
      <c r="C120" s="3" t="s">
        <v>17</v>
      </c>
      <c r="D120" s="3" t="s">
        <v>265</v>
      </c>
      <c r="E120" s="3" t="s">
        <v>266</v>
      </c>
      <c r="F120" s="3" t="s">
        <v>27</v>
      </c>
      <c r="G120" s="3" t="s">
        <v>16</v>
      </c>
      <c r="H120" s="4">
        <v>39834.715277777781</v>
      </c>
      <c r="I120" s="3">
        <v>39.241669999999999</v>
      </c>
      <c r="J120" s="3">
        <v>-74.815560000000005</v>
      </c>
      <c r="K120" s="5">
        <v>8270</v>
      </c>
      <c r="L120" s="5">
        <f t="shared" si="2"/>
        <v>2009</v>
      </c>
      <c r="M120" s="5">
        <f t="shared" si="3"/>
        <v>39834</v>
      </c>
      <c r="N120" s="18">
        <v>0.26874999999999999</v>
      </c>
    </row>
    <row r="121" spans="1:14" x14ac:dyDescent="0.3">
      <c r="A121" s="6" t="s">
        <v>11</v>
      </c>
      <c r="B121" s="6">
        <v>1200</v>
      </c>
      <c r="C121" s="6" t="s">
        <v>17</v>
      </c>
      <c r="D121" s="6" t="s">
        <v>267</v>
      </c>
      <c r="E121" s="6" t="s">
        <v>268</v>
      </c>
      <c r="F121" s="6" t="s">
        <v>50</v>
      </c>
      <c r="G121" s="6" t="s">
        <v>16</v>
      </c>
      <c r="H121" s="7">
        <v>39834.725694444445</v>
      </c>
      <c r="I121" s="6">
        <v>32.857219999999998</v>
      </c>
      <c r="J121" s="6">
        <v>-116.92139</v>
      </c>
      <c r="K121" s="8">
        <v>92040</v>
      </c>
      <c r="L121" s="5">
        <f t="shared" si="2"/>
        <v>2009</v>
      </c>
      <c r="M121" s="5">
        <f t="shared" si="3"/>
        <v>39834</v>
      </c>
      <c r="N121" s="18">
        <v>0.49861111111111112</v>
      </c>
    </row>
    <row r="122" spans="1:14" x14ac:dyDescent="0.3">
      <c r="A122" s="3" t="s">
        <v>11</v>
      </c>
      <c r="B122" s="3">
        <v>1200</v>
      </c>
      <c r="C122" s="3" t="s">
        <v>12</v>
      </c>
      <c r="D122" s="3" t="s">
        <v>269</v>
      </c>
      <c r="E122" s="3" t="s">
        <v>270</v>
      </c>
      <c r="F122" s="3" t="s">
        <v>61</v>
      </c>
      <c r="G122" s="3" t="s">
        <v>16</v>
      </c>
      <c r="H122" s="4">
        <v>39834.795138888891</v>
      </c>
      <c r="I122" s="3">
        <v>26.309719999999999</v>
      </c>
      <c r="J122" s="3">
        <v>-80.237499999999997</v>
      </c>
      <c r="K122" s="5">
        <v>33067</v>
      </c>
      <c r="L122" s="8">
        <f t="shared" si="2"/>
        <v>2009</v>
      </c>
      <c r="M122" s="8">
        <f t="shared" si="3"/>
        <v>39834</v>
      </c>
      <c r="N122" s="19">
        <v>0.18888888888888888</v>
      </c>
    </row>
    <row r="123" spans="1:14" x14ac:dyDescent="0.3">
      <c r="A123" s="6" t="s">
        <v>11</v>
      </c>
      <c r="B123" s="6">
        <v>1200</v>
      </c>
      <c r="C123" s="6" t="s">
        <v>65</v>
      </c>
      <c r="D123" s="6" t="s">
        <v>271</v>
      </c>
      <c r="E123" s="6" t="s">
        <v>272</v>
      </c>
      <c r="F123" s="6" t="s">
        <v>61</v>
      </c>
      <c r="G123" s="6" t="s">
        <v>16</v>
      </c>
      <c r="H123" s="7">
        <v>39834.801388888889</v>
      </c>
      <c r="I123" s="6">
        <v>26.705279999999998</v>
      </c>
      <c r="J123" s="6">
        <v>-80.036670000000001</v>
      </c>
      <c r="K123" s="8">
        <v>33480</v>
      </c>
      <c r="L123" s="5">
        <f t="shared" si="2"/>
        <v>2009</v>
      </c>
      <c r="M123" s="5">
        <f t="shared" si="3"/>
        <v>39834</v>
      </c>
      <c r="N123" s="18">
        <v>0.29791666666666666</v>
      </c>
    </row>
    <row r="124" spans="1:14" x14ac:dyDescent="0.3">
      <c r="A124" s="3" t="s">
        <v>11</v>
      </c>
      <c r="B124" s="3">
        <v>1200</v>
      </c>
      <c r="C124" s="3" t="s">
        <v>12</v>
      </c>
      <c r="D124" s="3" t="s">
        <v>273</v>
      </c>
      <c r="E124" s="3" t="s">
        <v>35</v>
      </c>
      <c r="F124" s="3" t="s">
        <v>36</v>
      </c>
      <c r="G124" s="3" t="s">
        <v>16</v>
      </c>
      <c r="H124" s="4">
        <v>39834.856944444444</v>
      </c>
      <c r="I124" s="3">
        <v>40.714170000000003</v>
      </c>
      <c r="J124" s="3">
        <v>-74.006389999999996</v>
      </c>
      <c r="K124" s="5">
        <v>10007</v>
      </c>
      <c r="L124" s="8">
        <f t="shared" si="2"/>
        <v>2009</v>
      </c>
      <c r="M124" s="8">
        <f t="shared" si="3"/>
        <v>39834</v>
      </c>
      <c r="N124" s="19">
        <v>0.12152777777777778</v>
      </c>
    </row>
    <row r="125" spans="1:14" x14ac:dyDescent="0.3">
      <c r="A125" s="6" t="s">
        <v>11</v>
      </c>
      <c r="B125" s="6">
        <v>1200</v>
      </c>
      <c r="C125" s="6" t="s">
        <v>17</v>
      </c>
      <c r="D125" s="6" t="s">
        <v>274</v>
      </c>
      <c r="E125" s="6" t="s">
        <v>275</v>
      </c>
      <c r="F125" s="6" t="s">
        <v>276</v>
      </c>
      <c r="G125" s="6" t="s">
        <v>16</v>
      </c>
      <c r="H125" s="7">
        <v>39834.9375</v>
      </c>
      <c r="I125" s="6">
        <v>61.218060000000001</v>
      </c>
      <c r="J125" s="6">
        <v>-149.90028000000001</v>
      </c>
      <c r="K125" s="8">
        <v>99501</v>
      </c>
      <c r="L125" s="5">
        <f t="shared" si="2"/>
        <v>2009</v>
      </c>
      <c r="M125" s="5">
        <f t="shared" si="3"/>
        <v>39834</v>
      </c>
      <c r="N125" s="18">
        <v>0.43680555555555556</v>
      </c>
    </row>
    <row r="126" spans="1:14" x14ac:dyDescent="0.3">
      <c r="A126" s="3" t="s">
        <v>11</v>
      </c>
      <c r="B126" s="3">
        <v>1200</v>
      </c>
      <c r="C126" s="3" t="s">
        <v>12</v>
      </c>
      <c r="D126" s="3" t="s">
        <v>277</v>
      </c>
      <c r="E126" s="3" t="s">
        <v>278</v>
      </c>
      <c r="F126" s="3" t="s">
        <v>27</v>
      </c>
      <c r="G126" s="3" t="s">
        <v>16</v>
      </c>
      <c r="H126" s="4">
        <v>39835.053472222222</v>
      </c>
      <c r="I126" s="3">
        <v>40.4497</v>
      </c>
      <c r="J126" s="3">
        <v>-74.481999999999999</v>
      </c>
      <c r="K126" s="5">
        <v>8902</v>
      </c>
      <c r="L126" s="8">
        <f t="shared" si="2"/>
        <v>2009</v>
      </c>
      <c r="M126" s="8">
        <f t="shared" si="3"/>
        <v>39835</v>
      </c>
      <c r="N126" s="19">
        <v>0.2013888888888889</v>
      </c>
    </row>
    <row r="127" spans="1:14" x14ac:dyDescent="0.3">
      <c r="A127" s="6" t="s">
        <v>21</v>
      </c>
      <c r="B127" s="6">
        <v>3600</v>
      </c>
      <c r="C127" s="6" t="s">
        <v>12</v>
      </c>
      <c r="D127" s="6" t="s">
        <v>279</v>
      </c>
      <c r="E127" s="6" t="s">
        <v>280</v>
      </c>
      <c r="F127" s="6" t="s">
        <v>61</v>
      </c>
      <c r="G127" s="6" t="s">
        <v>16</v>
      </c>
      <c r="H127" s="7">
        <v>39835.259027777778</v>
      </c>
      <c r="I127" s="6">
        <v>30.331939999999999</v>
      </c>
      <c r="J127" s="6">
        <v>-81.655829999999995</v>
      </c>
      <c r="K127" s="8">
        <v>32202</v>
      </c>
      <c r="L127" s="5">
        <f t="shared" si="2"/>
        <v>2009</v>
      </c>
      <c r="M127" s="5">
        <f t="shared" si="3"/>
        <v>39835</v>
      </c>
      <c r="N127" s="18">
        <v>0.50555555555555554</v>
      </c>
    </row>
    <row r="128" spans="1:14" x14ac:dyDescent="0.3">
      <c r="A128" s="3" t="s">
        <v>11</v>
      </c>
      <c r="B128" s="3">
        <v>1200</v>
      </c>
      <c r="C128" s="3" t="s">
        <v>12</v>
      </c>
      <c r="D128" s="3" t="s">
        <v>281</v>
      </c>
      <c r="E128" s="3" t="s">
        <v>282</v>
      </c>
      <c r="F128" s="3" t="s">
        <v>39</v>
      </c>
      <c r="G128" s="3" t="s">
        <v>16</v>
      </c>
      <c r="H128" s="4">
        <v>39835.287499999999</v>
      </c>
      <c r="I128" s="3">
        <v>29.735279999999999</v>
      </c>
      <c r="J128" s="3">
        <v>-94.977220000000003</v>
      </c>
      <c r="K128" s="5">
        <v>77520</v>
      </c>
      <c r="L128" s="5">
        <f t="shared" si="2"/>
        <v>2009</v>
      </c>
      <c r="M128" s="5">
        <f t="shared" si="3"/>
        <v>39835</v>
      </c>
      <c r="N128" s="18">
        <v>0.27847222222222223</v>
      </c>
    </row>
    <row r="129" spans="1:14" x14ac:dyDescent="0.3">
      <c r="A129" s="6" t="s">
        <v>11</v>
      </c>
      <c r="B129" s="6">
        <v>1200</v>
      </c>
      <c r="C129" s="6" t="s">
        <v>17</v>
      </c>
      <c r="D129" s="6" t="s">
        <v>283</v>
      </c>
      <c r="E129" s="6" t="s">
        <v>284</v>
      </c>
      <c r="F129" s="6" t="s">
        <v>61</v>
      </c>
      <c r="G129" s="6" t="s">
        <v>16</v>
      </c>
      <c r="H129" s="7">
        <v>39835.332638888889</v>
      </c>
      <c r="I129" s="6">
        <v>28.021940000000001</v>
      </c>
      <c r="J129" s="6">
        <v>-81.733059999999995</v>
      </c>
      <c r="K129" s="8">
        <v>33880</v>
      </c>
      <c r="L129" s="8">
        <f t="shared" si="2"/>
        <v>2009</v>
      </c>
      <c r="M129" s="8">
        <f t="shared" si="3"/>
        <v>39835</v>
      </c>
      <c r="N129" s="19">
        <v>0.39097222222222222</v>
      </c>
    </row>
    <row r="130" spans="1:14" x14ac:dyDescent="0.3">
      <c r="A130" s="3" t="s">
        <v>11</v>
      </c>
      <c r="B130" s="3">
        <v>1200</v>
      </c>
      <c r="C130" s="3" t="s">
        <v>12</v>
      </c>
      <c r="D130" s="3" t="s">
        <v>285</v>
      </c>
      <c r="E130" s="3" t="s">
        <v>286</v>
      </c>
      <c r="F130" s="3" t="s">
        <v>169</v>
      </c>
      <c r="G130" s="3" t="s">
        <v>16</v>
      </c>
      <c r="H130" s="4">
        <v>39835.343055555553</v>
      </c>
      <c r="I130" s="3">
        <v>47.65889</v>
      </c>
      <c r="J130" s="3">
        <v>-117.425</v>
      </c>
      <c r="K130" s="5">
        <v>99201</v>
      </c>
      <c r="L130" s="5">
        <f t="shared" ref="L130:L193" si="4">YEAR(H130)</f>
        <v>2009</v>
      </c>
      <c r="M130" s="5">
        <f t="shared" ref="M130:M193" si="5">INT(H130)</f>
        <v>39835</v>
      </c>
      <c r="N130" s="18">
        <v>0.34930555555555554</v>
      </c>
    </row>
    <row r="131" spans="1:14" x14ac:dyDescent="0.3">
      <c r="A131" s="6" t="s">
        <v>11</v>
      </c>
      <c r="B131" s="6">
        <v>1200</v>
      </c>
      <c r="C131" s="6" t="s">
        <v>12</v>
      </c>
      <c r="D131" s="6" t="s">
        <v>78</v>
      </c>
      <c r="E131" s="6" t="s">
        <v>287</v>
      </c>
      <c r="F131" s="6" t="s">
        <v>217</v>
      </c>
      <c r="G131" s="6" t="s">
        <v>16</v>
      </c>
      <c r="H131" s="7">
        <v>39835.755555555559</v>
      </c>
      <c r="I131" s="6">
        <v>42.452219999999997</v>
      </c>
      <c r="J131" s="6">
        <v>-71.137500000000003</v>
      </c>
      <c r="K131" s="8">
        <v>1890</v>
      </c>
      <c r="L131" s="8">
        <f t="shared" si="4"/>
        <v>2009</v>
      </c>
      <c r="M131" s="8">
        <f t="shared" si="5"/>
        <v>39835</v>
      </c>
      <c r="N131" s="19">
        <v>0.36875000000000002</v>
      </c>
    </row>
    <row r="132" spans="1:14" x14ac:dyDescent="0.3">
      <c r="A132" s="3" t="s">
        <v>11</v>
      </c>
      <c r="B132" s="3">
        <v>1200</v>
      </c>
      <c r="C132" s="3" t="s">
        <v>12</v>
      </c>
      <c r="D132" s="3" t="s">
        <v>288</v>
      </c>
      <c r="E132" s="3" t="s">
        <v>289</v>
      </c>
      <c r="F132" s="3" t="s">
        <v>39</v>
      </c>
      <c r="G132" s="3" t="s">
        <v>16</v>
      </c>
      <c r="H132" s="4">
        <v>39835.90347222222</v>
      </c>
      <c r="I132" s="3">
        <v>32.783329999999999</v>
      </c>
      <c r="J132" s="3">
        <v>-96.8</v>
      </c>
      <c r="K132" s="5">
        <v>75201</v>
      </c>
      <c r="L132" s="5">
        <f t="shared" si="4"/>
        <v>2009</v>
      </c>
      <c r="M132" s="5">
        <f t="shared" si="5"/>
        <v>39835</v>
      </c>
      <c r="N132" s="18">
        <v>0.35694444444444445</v>
      </c>
    </row>
    <row r="133" spans="1:14" x14ac:dyDescent="0.3">
      <c r="A133" s="6" t="s">
        <v>21</v>
      </c>
      <c r="B133" s="6">
        <v>3600</v>
      </c>
      <c r="C133" s="6" t="s">
        <v>17</v>
      </c>
      <c r="D133" s="6" t="s">
        <v>290</v>
      </c>
      <c r="E133" s="6" t="s">
        <v>194</v>
      </c>
      <c r="F133" s="6" t="s">
        <v>195</v>
      </c>
      <c r="G133" s="6" t="s">
        <v>16</v>
      </c>
      <c r="H133" s="7">
        <v>39836.125</v>
      </c>
      <c r="I133" s="6">
        <v>44.94444</v>
      </c>
      <c r="J133" s="6">
        <v>-93.093059999999994</v>
      </c>
      <c r="K133" s="8">
        <v>55101</v>
      </c>
      <c r="L133" s="8">
        <f t="shared" si="4"/>
        <v>2009</v>
      </c>
      <c r="M133" s="8">
        <f t="shared" si="5"/>
        <v>39836</v>
      </c>
      <c r="N133" s="19">
        <v>0.14791666666666667</v>
      </c>
    </row>
    <row r="134" spans="1:14" x14ac:dyDescent="0.3">
      <c r="A134" s="3" t="s">
        <v>11</v>
      </c>
      <c r="B134" s="3">
        <v>1200</v>
      </c>
      <c r="C134" s="3" t="s">
        <v>65</v>
      </c>
      <c r="D134" s="3" t="s">
        <v>291</v>
      </c>
      <c r="E134" s="3" t="s">
        <v>292</v>
      </c>
      <c r="F134" s="3" t="s">
        <v>293</v>
      </c>
      <c r="G134" s="3" t="s">
        <v>16</v>
      </c>
      <c r="H134" s="4">
        <v>39836.440972222219</v>
      </c>
      <c r="I134" s="3">
        <v>39.247500000000002</v>
      </c>
      <c r="J134" s="3">
        <v>-114.88778000000001</v>
      </c>
      <c r="K134" s="5">
        <v>89301</v>
      </c>
      <c r="L134" s="5">
        <f t="shared" si="4"/>
        <v>2009</v>
      </c>
      <c r="M134" s="5">
        <f t="shared" si="5"/>
        <v>39836</v>
      </c>
      <c r="N134" s="18">
        <v>9.375E-2</v>
      </c>
    </row>
    <row r="135" spans="1:14" x14ac:dyDescent="0.3">
      <c r="A135" s="6" t="s">
        <v>11</v>
      </c>
      <c r="B135" s="6">
        <v>1200</v>
      </c>
      <c r="C135" s="6" t="s">
        <v>65</v>
      </c>
      <c r="D135" s="6" t="s">
        <v>294</v>
      </c>
      <c r="E135" s="6" t="s">
        <v>228</v>
      </c>
      <c r="F135" s="6" t="s">
        <v>68</v>
      </c>
      <c r="G135" s="6" t="s">
        <v>16</v>
      </c>
      <c r="H135" s="7">
        <v>39836.533333333333</v>
      </c>
      <c r="I135" s="6">
        <v>36.846670000000003</v>
      </c>
      <c r="J135" s="6">
        <v>-76.285560000000004</v>
      </c>
      <c r="K135" s="8">
        <v>23510</v>
      </c>
      <c r="L135" s="5">
        <f t="shared" si="4"/>
        <v>2009</v>
      </c>
      <c r="M135" s="5">
        <f t="shared" si="5"/>
        <v>39836</v>
      </c>
      <c r="N135" s="18">
        <v>0.27708333333333335</v>
      </c>
    </row>
    <row r="136" spans="1:14" x14ac:dyDescent="0.3">
      <c r="A136" s="3" t="s">
        <v>11</v>
      </c>
      <c r="B136" s="3">
        <v>1200</v>
      </c>
      <c r="C136" s="3" t="s">
        <v>12</v>
      </c>
      <c r="D136" s="3" t="s">
        <v>295</v>
      </c>
      <c r="E136" s="3" t="s">
        <v>73</v>
      </c>
      <c r="F136" s="3" t="s">
        <v>39</v>
      </c>
      <c r="G136" s="3" t="s">
        <v>16</v>
      </c>
      <c r="H136" s="4">
        <v>39836.536111111112</v>
      </c>
      <c r="I136" s="3">
        <v>29.763059999999999</v>
      </c>
      <c r="J136" s="3">
        <v>-95.363060000000004</v>
      </c>
      <c r="K136" s="5">
        <v>77002</v>
      </c>
      <c r="L136" s="8">
        <f t="shared" si="4"/>
        <v>2009</v>
      </c>
      <c r="M136" s="8">
        <f t="shared" si="5"/>
        <v>39836</v>
      </c>
      <c r="N136" s="19">
        <v>0.34305555555555556</v>
      </c>
    </row>
    <row r="137" spans="1:14" x14ac:dyDescent="0.3">
      <c r="A137" s="6" t="s">
        <v>11</v>
      </c>
      <c r="B137" s="6">
        <v>1200</v>
      </c>
      <c r="C137" s="6" t="s">
        <v>17</v>
      </c>
      <c r="D137" s="6" t="s">
        <v>296</v>
      </c>
      <c r="E137" s="6" t="s">
        <v>297</v>
      </c>
      <c r="F137" s="6" t="s">
        <v>30</v>
      </c>
      <c r="G137" s="6" t="s">
        <v>16</v>
      </c>
      <c r="H137" s="7">
        <v>39836.920138888891</v>
      </c>
      <c r="I137" s="6">
        <v>41.981110000000001</v>
      </c>
      <c r="J137" s="6">
        <v>-89.594999999999999</v>
      </c>
      <c r="K137" s="8">
        <v>61064</v>
      </c>
      <c r="L137" s="5">
        <f t="shared" si="4"/>
        <v>2009</v>
      </c>
      <c r="M137" s="5">
        <f t="shared" si="5"/>
        <v>39836</v>
      </c>
      <c r="N137" s="18">
        <v>0.4826388888888889</v>
      </c>
    </row>
    <row r="138" spans="1:14" x14ac:dyDescent="0.3">
      <c r="A138" s="3" t="s">
        <v>11</v>
      </c>
      <c r="B138" s="3">
        <v>1200</v>
      </c>
      <c r="C138" s="3" t="s">
        <v>12</v>
      </c>
      <c r="D138" s="3" t="s">
        <v>298</v>
      </c>
      <c r="E138" s="3" t="s">
        <v>299</v>
      </c>
      <c r="F138" s="3" t="s">
        <v>240</v>
      </c>
      <c r="G138" s="3" t="s">
        <v>16</v>
      </c>
      <c r="H138" s="4">
        <v>39837.250694444447</v>
      </c>
      <c r="I138" s="3">
        <v>39.896940000000001</v>
      </c>
      <c r="J138" s="3">
        <v>-76.163889999999995</v>
      </c>
      <c r="K138" s="5">
        <v>17566</v>
      </c>
      <c r="L138" s="8">
        <f t="shared" si="4"/>
        <v>2009</v>
      </c>
      <c r="M138" s="8">
        <f t="shared" si="5"/>
        <v>39837</v>
      </c>
      <c r="N138" s="19">
        <v>0.33263888888888887</v>
      </c>
    </row>
    <row r="139" spans="1:14" x14ac:dyDescent="0.3">
      <c r="A139" s="6" t="s">
        <v>64</v>
      </c>
      <c r="B139" s="6">
        <v>3600</v>
      </c>
      <c r="C139" s="6" t="s">
        <v>65</v>
      </c>
      <c r="D139" s="6" t="s">
        <v>300</v>
      </c>
      <c r="E139" s="6" t="s">
        <v>60</v>
      </c>
      <c r="F139" s="6" t="s">
        <v>61</v>
      </c>
      <c r="G139" s="6" t="s">
        <v>16</v>
      </c>
      <c r="H139" s="7">
        <v>39837.287499999999</v>
      </c>
      <c r="I139" s="6">
        <v>25.773890000000002</v>
      </c>
      <c r="J139" s="6">
        <v>-80.193889999999996</v>
      </c>
      <c r="K139" s="8">
        <v>33130</v>
      </c>
      <c r="L139" s="5">
        <f t="shared" si="4"/>
        <v>2009</v>
      </c>
      <c r="M139" s="5">
        <f t="shared" si="5"/>
        <v>39837</v>
      </c>
      <c r="N139" s="18">
        <v>0.31736111111111109</v>
      </c>
    </row>
    <row r="140" spans="1:14" x14ac:dyDescent="0.3">
      <c r="A140" s="3" t="s">
        <v>11</v>
      </c>
      <c r="B140" s="3">
        <v>1200</v>
      </c>
      <c r="C140" s="3" t="s">
        <v>12</v>
      </c>
      <c r="D140" s="3" t="s">
        <v>301</v>
      </c>
      <c r="E140" s="3" t="s">
        <v>302</v>
      </c>
      <c r="F140" s="3" t="s">
        <v>106</v>
      </c>
      <c r="G140" s="3" t="s">
        <v>16</v>
      </c>
      <c r="H140" s="4">
        <v>39837.313194444447</v>
      </c>
      <c r="I140" s="3">
        <v>38.990560000000002</v>
      </c>
      <c r="J140" s="3">
        <v>-77.026390000000006</v>
      </c>
      <c r="K140" s="5">
        <v>20910</v>
      </c>
      <c r="L140" s="8">
        <f t="shared" si="4"/>
        <v>2009</v>
      </c>
      <c r="M140" s="8">
        <f t="shared" si="5"/>
        <v>39837</v>
      </c>
      <c r="N140" s="19">
        <v>0.11041666666666666</v>
      </c>
    </row>
    <row r="141" spans="1:14" x14ac:dyDescent="0.3">
      <c r="A141" s="6" t="s">
        <v>11</v>
      </c>
      <c r="B141" s="6">
        <v>1200</v>
      </c>
      <c r="C141" s="6" t="s">
        <v>12</v>
      </c>
      <c r="D141" s="6" t="s">
        <v>303</v>
      </c>
      <c r="E141" s="6" t="s">
        <v>304</v>
      </c>
      <c r="F141" s="6" t="s">
        <v>20</v>
      </c>
      <c r="G141" s="6" t="s">
        <v>16</v>
      </c>
      <c r="H141" s="7">
        <v>39837.370833333334</v>
      </c>
      <c r="I141" s="6">
        <v>45.523609999999998</v>
      </c>
      <c r="J141" s="6">
        <v>-122.675</v>
      </c>
      <c r="K141" s="8">
        <v>97209</v>
      </c>
      <c r="L141" s="5">
        <f t="shared" si="4"/>
        <v>2009</v>
      </c>
      <c r="M141" s="5">
        <f t="shared" si="5"/>
        <v>39837</v>
      </c>
      <c r="N141" s="18">
        <v>0.30763888888888891</v>
      </c>
    </row>
    <row r="142" spans="1:14" x14ac:dyDescent="0.3">
      <c r="A142" s="3" t="s">
        <v>11</v>
      </c>
      <c r="B142" s="3">
        <v>1200</v>
      </c>
      <c r="C142" s="3" t="s">
        <v>12</v>
      </c>
      <c r="D142" s="3" t="s">
        <v>305</v>
      </c>
      <c r="E142" s="3" t="s">
        <v>112</v>
      </c>
      <c r="F142" s="3" t="s">
        <v>36</v>
      </c>
      <c r="G142" s="3" t="s">
        <v>16</v>
      </c>
      <c r="H142" s="4">
        <v>39837.374305555553</v>
      </c>
      <c r="I142" s="3">
        <v>40.564720000000001</v>
      </c>
      <c r="J142" s="3">
        <v>-74.127499999999998</v>
      </c>
      <c r="K142" s="5">
        <v>10306</v>
      </c>
      <c r="L142" s="5">
        <f t="shared" si="4"/>
        <v>2009</v>
      </c>
      <c r="M142" s="5">
        <f t="shared" si="5"/>
        <v>39837</v>
      </c>
      <c r="N142" s="18">
        <v>0.48402777777777778</v>
      </c>
    </row>
    <row r="143" spans="1:14" x14ac:dyDescent="0.3">
      <c r="A143" s="6" t="s">
        <v>11</v>
      </c>
      <c r="B143" s="6">
        <v>1200</v>
      </c>
      <c r="C143" s="6" t="s">
        <v>17</v>
      </c>
      <c r="D143" s="6" t="s">
        <v>306</v>
      </c>
      <c r="E143" s="6" t="s">
        <v>307</v>
      </c>
      <c r="F143" s="6" t="s">
        <v>39</v>
      </c>
      <c r="G143" s="6" t="s">
        <v>16</v>
      </c>
      <c r="H143" s="7">
        <v>39837.43472222222</v>
      </c>
      <c r="I143" s="6">
        <v>29.42389</v>
      </c>
      <c r="J143" s="6">
        <v>-98.49333</v>
      </c>
      <c r="K143" s="8">
        <v>78205</v>
      </c>
      <c r="L143" s="8">
        <f t="shared" si="4"/>
        <v>2009</v>
      </c>
      <c r="M143" s="8">
        <f t="shared" si="5"/>
        <v>39837</v>
      </c>
      <c r="N143" s="19">
        <v>0.12638888888888888</v>
      </c>
    </row>
    <row r="144" spans="1:14" x14ac:dyDescent="0.3">
      <c r="A144" s="3" t="s">
        <v>21</v>
      </c>
      <c r="B144" s="3">
        <v>3600</v>
      </c>
      <c r="C144" s="3" t="s">
        <v>17</v>
      </c>
      <c r="D144" s="3" t="s">
        <v>308</v>
      </c>
      <c r="E144" s="3" t="s">
        <v>131</v>
      </c>
      <c r="F144" s="3" t="s">
        <v>132</v>
      </c>
      <c r="G144" s="3" t="s">
        <v>16</v>
      </c>
      <c r="H144" s="4">
        <v>39837.804861111108</v>
      </c>
      <c r="I144" s="3">
        <v>39.647779999999997</v>
      </c>
      <c r="J144" s="3">
        <v>-104.98721999999999</v>
      </c>
      <c r="K144" s="5">
        <v>80113</v>
      </c>
      <c r="L144" s="5">
        <f t="shared" si="4"/>
        <v>2009</v>
      </c>
      <c r="M144" s="5">
        <f t="shared" si="5"/>
        <v>39837</v>
      </c>
      <c r="N144" s="18">
        <v>0.29375000000000001</v>
      </c>
    </row>
    <row r="145" spans="1:14" x14ac:dyDescent="0.3">
      <c r="A145" s="6" t="s">
        <v>11</v>
      </c>
      <c r="B145" s="6">
        <v>1200</v>
      </c>
      <c r="C145" s="6" t="s">
        <v>12</v>
      </c>
      <c r="D145" s="6" t="s">
        <v>309</v>
      </c>
      <c r="E145" s="6" t="s">
        <v>307</v>
      </c>
      <c r="F145" s="6" t="s">
        <v>39</v>
      </c>
      <c r="G145" s="6" t="s">
        <v>16</v>
      </c>
      <c r="H145" s="7">
        <v>39837.895138888889</v>
      </c>
      <c r="I145" s="6">
        <v>29.42389</v>
      </c>
      <c r="J145" s="6">
        <v>-98.49333</v>
      </c>
      <c r="K145" s="8">
        <v>78205</v>
      </c>
      <c r="L145" s="8">
        <f t="shared" si="4"/>
        <v>2009</v>
      </c>
      <c r="M145" s="8">
        <f t="shared" si="5"/>
        <v>39837</v>
      </c>
      <c r="N145" s="19">
        <v>8.4722222222222227E-2</v>
      </c>
    </row>
    <row r="146" spans="1:14" x14ac:dyDescent="0.3">
      <c r="A146" s="3" t="s">
        <v>11</v>
      </c>
      <c r="B146" s="3">
        <v>1200</v>
      </c>
      <c r="C146" s="3" t="s">
        <v>12</v>
      </c>
      <c r="D146" s="3" t="s">
        <v>310</v>
      </c>
      <c r="E146" s="3" t="s">
        <v>311</v>
      </c>
      <c r="F146" s="3" t="s">
        <v>124</v>
      </c>
      <c r="G146" s="3" t="s">
        <v>16</v>
      </c>
      <c r="H146" s="4">
        <v>39838.008333333331</v>
      </c>
      <c r="I146" s="3">
        <v>22.223610000000001</v>
      </c>
      <c r="J146" s="3">
        <v>-159.48527999999999</v>
      </c>
      <c r="K146" s="5">
        <v>96722</v>
      </c>
      <c r="L146" s="5">
        <f t="shared" si="4"/>
        <v>2009</v>
      </c>
      <c r="M146" s="5">
        <f t="shared" si="5"/>
        <v>39838</v>
      </c>
      <c r="N146" s="18">
        <v>0.50624999999999998</v>
      </c>
    </row>
    <row r="147" spans="1:14" x14ac:dyDescent="0.3">
      <c r="A147" s="6" t="s">
        <v>11</v>
      </c>
      <c r="B147" s="6">
        <v>1200</v>
      </c>
      <c r="C147" s="6" t="s">
        <v>17</v>
      </c>
      <c r="D147" s="6" t="s">
        <v>176</v>
      </c>
      <c r="E147" s="6" t="s">
        <v>178</v>
      </c>
      <c r="F147" s="6" t="s">
        <v>50</v>
      </c>
      <c r="G147" s="6" t="s">
        <v>16</v>
      </c>
      <c r="H147" s="7">
        <v>39838.429861111108</v>
      </c>
      <c r="I147" s="6">
        <v>37.885829999999999</v>
      </c>
      <c r="J147" s="6">
        <v>-122.11694</v>
      </c>
      <c r="K147" s="8">
        <v>94549</v>
      </c>
      <c r="L147" s="8">
        <f t="shared" si="4"/>
        <v>2009</v>
      </c>
      <c r="M147" s="8">
        <f t="shared" si="5"/>
        <v>39838</v>
      </c>
      <c r="N147" s="19">
        <v>0.41111111111111109</v>
      </c>
    </row>
    <row r="148" spans="1:14" x14ac:dyDescent="0.3">
      <c r="A148" s="3" t="s">
        <v>11</v>
      </c>
      <c r="B148" s="3">
        <v>1200</v>
      </c>
      <c r="C148" s="3" t="s">
        <v>12</v>
      </c>
      <c r="D148" s="3" t="s">
        <v>312</v>
      </c>
      <c r="E148" s="3" t="s">
        <v>313</v>
      </c>
      <c r="F148" s="3" t="s">
        <v>36</v>
      </c>
      <c r="G148" s="3" t="s">
        <v>16</v>
      </c>
      <c r="H148" s="4">
        <v>39838.481249999997</v>
      </c>
      <c r="I148" s="3">
        <v>42.683610000000002</v>
      </c>
      <c r="J148" s="3">
        <v>-78.338059999999999</v>
      </c>
      <c r="K148" s="5">
        <v>14113</v>
      </c>
      <c r="L148" s="5">
        <f t="shared" si="4"/>
        <v>2009</v>
      </c>
      <c r="M148" s="5">
        <f t="shared" si="5"/>
        <v>39838</v>
      </c>
      <c r="N148" s="18">
        <v>0.12013888888888889</v>
      </c>
    </row>
    <row r="149" spans="1:14" x14ac:dyDescent="0.3">
      <c r="A149" s="6" t="s">
        <v>11</v>
      </c>
      <c r="B149" s="6">
        <v>1200</v>
      </c>
      <c r="C149" s="6" t="s">
        <v>12</v>
      </c>
      <c r="D149" s="6" t="s">
        <v>314</v>
      </c>
      <c r="E149" s="6" t="s">
        <v>315</v>
      </c>
      <c r="F149" s="6" t="s">
        <v>39</v>
      </c>
      <c r="G149" s="6" t="s">
        <v>16</v>
      </c>
      <c r="H149" s="7">
        <v>39838.511805555558</v>
      </c>
      <c r="I149" s="6">
        <v>30.266940000000002</v>
      </c>
      <c r="J149" s="6">
        <v>-97.742779999999996</v>
      </c>
      <c r="K149" s="8">
        <v>78701</v>
      </c>
      <c r="L149" s="5">
        <f t="shared" si="4"/>
        <v>2009</v>
      </c>
      <c r="M149" s="5">
        <f t="shared" si="5"/>
        <v>39838</v>
      </c>
      <c r="N149" s="18">
        <v>0.19236111111111112</v>
      </c>
    </row>
    <row r="150" spans="1:14" x14ac:dyDescent="0.3">
      <c r="A150" s="3" t="s">
        <v>11</v>
      </c>
      <c r="B150" s="3">
        <v>1200</v>
      </c>
      <c r="C150" s="3" t="s">
        <v>17</v>
      </c>
      <c r="D150" s="3" t="s">
        <v>316</v>
      </c>
      <c r="E150" s="3" t="s">
        <v>317</v>
      </c>
      <c r="F150" s="3" t="s">
        <v>27</v>
      </c>
      <c r="G150" s="3" t="s">
        <v>16</v>
      </c>
      <c r="H150" s="4">
        <v>39838.583333333336</v>
      </c>
      <c r="I150" s="3">
        <v>40.989170000000001</v>
      </c>
      <c r="J150" s="3">
        <v>-74.141109999999998</v>
      </c>
      <c r="K150" s="5">
        <v>7432</v>
      </c>
      <c r="L150" s="8">
        <f t="shared" si="4"/>
        <v>2009</v>
      </c>
      <c r="M150" s="8">
        <f t="shared" si="5"/>
        <v>39838</v>
      </c>
      <c r="N150" s="19">
        <v>0.22291666666666668</v>
      </c>
    </row>
    <row r="151" spans="1:14" x14ac:dyDescent="0.3">
      <c r="A151" s="6" t="s">
        <v>11</v>
      </c>
      <c r="B151" s="6">
        <v>1200</v>
      </c>
      <c r="C151" s="6" t="s">
        <v>65</v>
      </c>
      <c r="D151" s="6" t="s">
        <v>318</v>
      </c>
      <c r="E151" s="6" t="s">
        <v>319</v>
      </c>
      <c r="F151" s="6" t="s">
        <v>36</v>
      </c>
      <c r="G151" s="6" t="s">
        <v>16</v>
      </c>
      <c r="H151" s="7">
        <v>39838.584027777775</v>
      </c>
      <c r="I151" s="6">
        <v>40.885280000000002</v>
      </c>
      <c r="J151" s="6">
        <v>-73.376670000000004</v>
      </c>
      <c r="K151" s="8">
        <v>11721</v>
      </c>
      <c r="L151" s="5">
        <f t="shared" si="4"/>
        <v>2009</v>
      </c>
      <c r="M151" s="5">
        <f t="shared" si="5"/>
        <v>39838</v>
      </c>
      <c r="N151" s="18">
        <v>0.13750000000000001</v>
      </c>
    </row>
    <row r="152" spans="1:14" x14ac:dyDescent="0.3">
      <c r="A152" s="3" t="s">
        <v>11</v>
      </c>
      <c r="B152" s="3">
        <v>1200</v>
      </c>
      <c r="C152" s="3" t="s">
        <v>12</v>
      </c>
      <c r="D152" s="3" t="s">
        <v>320</v>
      </c>
      <c r="E152" s="3" t="s">
        <v>321</v>
      </c>
      <c r="F152" s="3" t="s">
        <v>195</v>
      </c>
      <c r="G152" s="3" t="s">
        <v>16</v>
      </c>
      <c r="H152" s="4">
        <v>39838.617361111108</v>
      </c>
      <c r="I152" s="3">
        <v>44.903329999999997</v>
      </c>
      <c r="J152" s="3">
        <v>-93.566109999999995</v>
      </c>
      <c r="K152" s="5">
        <v>55331</v>
      </c>
      <c r="L152" s="8">
        <f t="shared" si="4"/>
        <v>2009</v>
      </c>
      <c r="M152" s="8">
        <f t="shared" si="5"/>
        <v>39838</v>
      </c>
      <c r="N152" s="19">
        <v>4.583333333333333E-2</v>
      </c>
    </row>
    <row r="153" spans="1:14" x14ac:dyDescent="0.3">
      <c r="A153" s="6" t="s">
        <v>11</v>
      </c>
      <c r="B153" s="6">
        <v>1200</v>
      </c>
      <c r="C153" s="6" t="s">
        <v>12</v>
      </c>
      <c r="D153" s="6" t="s">
        <v>107</v>
      </c>
      <c r="E153" s="6" t="s">
        <v>322</v>
      </c>
      <c r="F153" s="6" t="s">
        <v>39</v>
      </c>
      <c r="G153" s="6" t="s">
        <v>16</v>
      </c>
      <c r="H153" s="7">
        <v>39838.626388888886</v>
      </c>
      <c r="I153" s="6">
        <v>32.941110000000002</v>
      </c>
      <c r="J153" s="6">
        <v>-97.133889999999994</v>
      </c>
      <c r="K153" s="8">
        <v>76092</v>
      </c>
      <c r="L153" s="5">
        <f t="shared" si="4"/>
        <v>2009</v>
      </c>
      <c r="M153" s="5">
        <f t="shared" si="5"/>
        <v>39838</v>
      </c>
      <c r="N153" s="18">
        <v>0.28055555555555556</v>
      </c>
    </row>
    <row r="154" spans="1:14" x14ac:dyDescent="0.3">
      <c r="A154" s="3" t="s">
        <v>11</v>
      </c>
      <c r="B154" s="3">
        <v>1200</v>
      </c>
      <c r="C154" s="3" t="s">
        <v>17</v>
      </c>
      <c r="D154" s="3" t="s">
        <v>323</v>
      </c>
      <c r="E154" s="3" t="s">
        <v>324</v>
      </c>
      <c r="F154" s="3" t="s">
        <v>36</v>
      </c>
      <c r="G154" s="3" t="s">
        <v>16</v>
      </c>
      <c r="H154" s="4">
        <v>39838.73541666667</v>
      </c>
      <c r="I154" s="3">
        <v>40.86806</v>
      </c>
      <c r="J154" s="3">
        <v>-73.426109999999994</v>
      </c>
      <c r="K154" s="5">
        <v>11743</v>
      </c>
      <c r="L154" s="8">
        <f t="shared" si="4"/>
        <v>2009</v>
      </c>
      <c r="M154" s="8">
        <f t="shared" si="5"/>
        <v>39838</v>
      </c>
      <c r="N154" s="19">
        <v>0.37361111111111112</v>
      </c>
    </row>
    <row r="155" spans="1:14" x14ac:dyDescent="0.3">
      <c r="A155" s="6" t="s">
        <v>11</v>
      </c>
      <c r="B155" s="6">
        <v>1200</v>
      </c>
      <c r="C155" s="6" t="s">
        <v>17</v>
      </c>
      <c r="D155" s="6" t="s">
        <v>325</v>
      </c>
      <c r="E155" s="6" t="s">
        <v>326</v>
      </c>
      <c r="F155" s="6" t="s">
        <v>39</v>
      </c>
      <c r="G155" s="6" t="s">
        <v>16</v>
      </c>
      <c r="H155" s="7">
        <v>39838.765972222223</v>
      </c>
      <c r="I155" s="6">
        <v>30.157779999999999</v>
      </c>
      <c r="J155" s="6">
        <v>-95.489170000000001</v>
      </c>
      <c r="K155" s="8">
        <v>77381</v>
      </c>
      <c r="L155" s="5">
        <f t="shared" si="4"/>
        <v>2009</v>
      </c>
      <c r="M155" s="5">
        <f t="shared" si="5"/>
        <v>39838</v>
      </c>
      <c r="N155" s="18">
        <v>0.41249999999999998</v>
      </c>
    </row>
    <row r="156" spans="1:14" x14ac:dyDescent="0.3">
      <c r="A156" s="3" t="s">
        <v>11</v>
      </c>
      <c r="B156" s="3">
        <v>1200</v>
      </c>
      <c r="C156" s="3" t="s">
        <v>17</v>
      </c>
      <c r="D156" s="3" t="s">
        <v>327</v>
      </c>
      <c r="E156" s="3" t="s">
        <v>328</v>
      </c>
      <c r="F156" s="3" t="s">
        <v>33</v>
      </c>
      <c r="G156" s="3" t="s">
        <v>16</v>
      </c>
      <c r="H156" s="4">
        <v>39838.815972222219</v>
      </c>
      <c r="I156" s="3">
        <v>36.470280000000002</v>
      </c>
      <c r="J156" s="3">
        <v>-86.651390000000006</v>
      </c>
      <c r="K156" s="5">
        <v>37188</v>
      </c>
      <c r="L156" s="5">
        <f t="shared" si="4"/>
        <v>2009</v>
      </c>
      <c r="M156" s="5">
        <f t="shared" si="5"/>
        <v>39838</v>
      </c>
      <c r="N156" s="18">
        <v>0.43194444444444446</v>
      </c>
    </row>
    <row r="157" spans="1:14" x14ac:dyDescent="0.3">
      <c r="A157" s="6" t="s">
        <v>11</v>
      </c>
      <c r="B157" s="6">
        <v>1200</v>
      </c>
      <c r="C157" s="6" t="s">
        <v>17</v>
      </c>
      <c r="D157" s="6" t="s">
        <v>329</v>
      </c>
      <c r="E157" s="6" t="s">
        <v>330</v>
      </c>
      <c r="F157" s="6" t="s">
        <v>36</v>
      </c>
      <c r="G157" s="6" t="s">
        <v>16</v>
      </c>
      <c r="H157" s="7">
        <v>39839.131944444445</v>
      </c>
      <c r="I157" s="6">
        <v>41.372219999999999</v>
      </c>
      <c r="J157" s="6">
        <v>-73.733890000000002</v>
      </c>
      <c r="K157" s="8">
        <v>10541</v>
      </c>
      <c r="L157" s="8">
        <f t="shared" si="4"/>
        <v>2009</v>
      </c>
      <c r="M157" s="8">
        <f t="shared" si="5"/>
        <v>39839</v>
      </c>
      <c r="N157" s="19">
        <v>0.15486111111111112</v>
      </c>
    </row>
    <row r="158" spans="1:14" x14ac:dyDescent="0.3">
      <c r="A158" s="3" t="s">
        <v>21</v>
      </c>
      <c r="B158" s="3">
        <v>3600</v>
      </c>
      <c r="C158" s="3" t="s">
        <v>12</v>
      </c>
      <c r="D158" s="3" t="s">
        <v>331</v>
      </c>
      <c r="E158" s="3" t="s">
        <v>332</v>
      </c>
      <c r="F158" s="3" t="s">
        <v>61</v>
      </c>
      <c r="G158" s="3" t="s">
        <v>16</v>
      </c>
      <c r="H158" s="4">
        <v>39839.154166666667</v>
      </c>
      <c r="I158" s="3">
        <v>26.121939999999999</v>
      </c>
      <c r="J158" s="3">
        <v>-80.143609999999995</v>
      </c>
      <c r="K158" s="5">
        <v>33301</v>
      </c>
      <c r="L158" s="5">
        <f t="shared" si="4"/>
        <v>2009</v>
      </c>
      <c r="M158" s="5">
        <f t="shared" si="5"/>
        <v>39839</v>
      </c>
      <c r="N158" s="18">
        <v>5.2777777777777778E-2</v>
      </c>
    </row>
    <row r="159" spans="1:14" x14ac:dyDescent="0.3">
      <c r="A159" s="6" t="s">
        <v>64</v>
      </c>
      <c r="B159" s="6">
        <v>800</v>
      </c>
      <c r="C159" s="6" t="s">
        <v>65</v>
      </c>
      <c r="D159" s="6" t="s">
        <v>333</v>
      </c>
      <c r="E159" s="6" t="s">
        <v>334</v>
      </c>
      <c r="F159" s="6" t="s">
        <v>68</v>
      </c>
      <c r="G159" s="6" t="s">
        <v>16</v>
      </c>
      <c r="H159" s="7">
        <v>39839.265972222223</v>
      </c>
      <c r="I159" s="6">
        <v>38.890279999999997</v>
      </c>
      <c r="J159" s="6">
        <v>-77.084440000000001</v>
      </c>
      <c r="K159" s="8">
        <v>22201</v>
      </c>
      <c r="L159" s="8">
        <f t="shared" si="4"/>
        <v>2009</v>
      </c>
      <c r="M159" s="8">
        <f t="shared" si="5"/>
        <v>39839</v>
      </c>
      <c r="N159" s="19">
        <v>0.4777777777777778</v>
      </c>
    </row>
    <row r="160" spans="1:14" x14ac:dyDescent="0.3">
      <c r="A160" s="3" t="s">
        <v>11</v>
      </c>
      <c r="B160" s="3">
        <v>1200</v>
      </c>
      <c r="C160" s="3" t="s">
        <v>12</v>
      </c>
      <c r="D160" s="3" t="s">
        <v>335</v>
      </c>
      <c r="E160" s="3" t="s">
        <v>336</v>
      </c>
      <c r="F160" s="3" t="s">
        <v>337</v>
      </c>
      <c r="G160" s="3" t="s">
        <v>16</v>
      </c>
      <c r="H160" s="4">
        <v>39839.324999999997</v>
      </c>
      <c r="I160" s="3">
        <v>38.998060000000002</v>
      </c>
      <c r="J160" s="3">
        <v>-77.288610000000006</v>
      </c>
      <c r="K160" s="5">
        <v>22066</v>
      </c>
      <c r="L160" s="5">
        <f t="shared" si="4"/>
        <v>2009</v>
      </c>
      <c r="M160" s="5">
        <f t="shared" si="5"/>
        <v>39839</v>
      </c>
      <c r="N160" s="18">
        <v>0.1875</v>
      </c>
    </row>
    <row r="161" spans="1:14" x14ac:dyDescent="0.3">
      <c r="A161" s="6" t="s">
        <v>11</v>
      </c>
      <c r="B161" s="6">
        <v>1200</v>
      </c>
      <c r="C161" s="6" t="s">
        <v>12</v>
      </c>
      <c r="D161" s="6" t="s">
        <v>78</v>
      </c>
      <c r="E161" s="6" t="s">
        <v>338</v>
      </c>
      <c r="F161" s="6" t="s">
        <v>106</v>
      </c>
      <c r="G161" s="6" t="s">
        <v>16</v>
      </c>
      <c r="H161" s="7">
        <v>39839.482638888891</v>
      </c>
      <c r="I161" s="6">
        <v>39.22</v>
      </c>
      <c r="J161" s="6">
        <v>-77.424440000000004</v>
      </c>
      <c r="K161" s="8">
        <v>20842</v>
      </c>
      <c r="L161" s="8">
        <f t="shared" si="4"/>
        <v>2009</v>
      </c>
      <c r="M161" s="8">
        <f t="shared" si="5"/>
        <v>39839</v>
      </c>
      <c r="N161" s="19">
        <v>0.24374999999999999</v>
      </c>
    </row>
    <row r="162" spans="1:14" x14ac:dyDescent="0.3">
      <c r="A162" s="3" t="s">
        <v>11</v>
      </c>
      <c r="B162" s="3">
        <v>1200</v>
      </c>
      <c r="C162" s="3" t="s">
        <v>17</v>
      </c>
      <c r="D162" s="3" t="s">
        <v>51</v>
      </c>
      <c r="E162" s="3" t="s">
        <v>339</v>
      </c>
      <c r="F162" s="3" t="s">
        <v>27</v>
      </c>
      <c r="G162" s="3" t="s">
        <v>16</v>
      </c>
      <c r="H162" s="4">
        <v>39839.546527777777</v>
      </c>
      <c r="I162" s="3">
        <v>40.348610000000001</v>
      </c>
      <c r="J162" s="3">
        <v>-74.659440000000004</v>
      </c>
      <c r="K162" s="5">
        <v>8542</v>
      </c>
      <c r="L162" s="5">
        <f t="shared" si="4"/>
        <v>2009</v>
      </c>
      <c r="M162" s="5">
        <f t="shared" si="5"/>
        <v>39839</v>
      </c>
      <c r="N162" s="18">
        <v>0.34444444444444444</v>
      </c>
    </row>
    <row r="163" spans="1:14" x14ac:dyDescent="0.3">
      <c r="A163" s="6" t="s">
        <v>11</v>
      </c>
      <c r="B163" s="6">
        <v>1200</v>
      </c>
      <c r="C163" s="6" t="s">
        <v>12</v>
      </c>
      <c r="D163" s="6" t="s">
        <v>340</v>
      </c>
      <c r="E163" s="6" t="s">
        <v>341</v>
      </c>
      <c r="F163" s="6" t="s">
        <v>50</v>
      </c>
      <c r="G163" s="6" t="s">
        <v>16</v>
      </c>
      <c r="H163" s="7">
        <v>39839.895138888889</v>
      </c>
      <c r="I163" s="6">
        <v>33.76444</v>
      </c>
      <c r="J163" s="6">
        <v>-117.79306</v>
      </c>
      <c r="K163" s="8">
        <v>92705</v>
      </c>
      <c r="L163" s="5">
        <f t="shared" si="4"/>
        <v>2009</v>
      </c>
      <c r="M163" s="5">
        <f t="shared" si="5"/>
        <v>39839</v>
      </c>
      <c r="N163" s="18">
        <v>0.27986111111111112</v>
      </c>
    </row>
    <row r="164" spans="1:14" x14ac:dyDescent="0.3">
      <c r="A164" s="3" t="s">
        <v>11</v>
      </c>
      <c r="B164" s="3">
        <v>1200</v>
      </c>
      <c r="C164" s="3" t="s">
        <v>12</v>
      </c>
      <c r="D164" s="3" t="s">
        <v>342</v>
      </c>
      <c r="E164" s="3" t="s">
        <v>343</v>
      </c>
      <c r="F164" s="3" t="s">
        <v>240</v>
      </c>
      <c r="G164" s="3" t="s">
        <v>16</v>
      </c>
      <c r="H164" s="4">
        <v>39840.165277777778</v>
      </c>
      <c r="I164" s="3">
        <v>40.040559999999999</v>
      </c>
      <c r="J164" s="3">
        <v>-75.279439999999994</v>
      </c>
      <c r="K164" s="5">
        <v>19035</v>
      </c>
      <c r="L164" s="8">
        <f t="shared" si="4"/>
        <v>2009</v>
      </c>
      <c r="M164" s="8">
        <f t="shared" si="5"/>
        <v>39840</v>
      </c>
      <c r="N164" s="19">
        <v>0.2673611111111111</v>
      </c>
    </row>
    <row r="165" spans="1:14" x14ac:dyDescent="0.3">
      <c r="A165" s="6" t="s">
        <v>11</v>
      </c>
      <c r="B165" s="6">
        <v>1200</v>
      </c>
      <c r="C165" s="6" t="s">
        <v>17</v>
      </c>
      <c r="D165" s="6" t="s">
        <v>344</v>
      </c>
      <c r="E165" s="6" t="s">
        <v>73</v>
      </c>
      <c r="F165" s="6" t="s">
        <v>39</v>
      </c>
      <c r="G165" s="6" t="s">
        <v>16</v>
      </c>
      <c r="H165" s="7">
        <v>39840.196527777778</v>
      </c>
      <c r="I165" s="6">
        <v>29.763059999999999</v>
      </c>
      <c r="J165" s="6">
        <v>-95.363060000000004</v>
      </c>
      <c r="K165" s="8">
        <v>77002</v>
      </c>
      <c r="L165" s="5">
        <f t="shared" si="4"/>
        <v>2009</v>
      </c>
      <c r="M165" s="5">
        <f t="shared" si="5"/>
        <v>39840</v>
      </c>
      <c r="N165" s="18">
        <v>0.20624999999999999</v>
      </c>
    </row>
    <row r="166" spans="1:14" x14ac:dyDescent="0.3">
      <c r="A166" s="3" t="s">
        <v>21</v>
      </c>
      <c r="B166" s="3">
        <v>3600</v>
      </c>
      <c r="C166" s="3" t="s">
        <v>12</v>
      </c>
      <c r="D166" s="3" t="s">
        <v>345</v>
      </c>
      <c r="E166" s="3" t="s">
        <v>346</v>
      </c>
      <c r="F166" s="3" t="s">
        <v>240</v>
      </c>
      <c r="G166" s="3" t="s">
        <v>16</v>
      </c>
      <c r="H166" s="4">
        <v>39840.276388888888</v>
      </c>
      <c r="I166" s="3">
        <v>40.006390000000003</v>
      </c>
      <c r="J166" s="3">
        <v>-75.703609999999998</v>
      </c>
      <c r="K166" s="5">
        <v>19335</v>
      </c>
      <c r="L166" s="8">
        <f t="shared" si="4"/>
        <v>2009</v>
      </c>
      <c r="M166" s="8">
        <f t="shared" si="5"/>
        <v>39840</v>
      </c>
      <c r="N166" s="19">
        <v>0.29722222222222222</v>
      </c>
    </row>
    <row r="167" spans="1:14" x14ac:dyDescent="0.3">
      <c r="A167" s="6" t="s">
        <v>11</v>
      </c>
      <c r="B167" s="6">
        <v>1200</v>
      </c>
      <c r="C167" s="6" t="s">
        <v>12</v>
      </c>
      <c r="D167" s="6" t="s">
        <v>347</v>
      </c>
      <c r="E167" s="6" t="s">
        <v>348</v>
      </c>
      <c r="F167" s="6" t="s">
        <v>39</v>
      </c>
      <c r="G167" s="6" t="s">
        <v>16</v>
      </c>
      <c r="H167" s="7">
        <v>39840.27847222222</v>
      </c>
      <c r="I167" s="6">
        <v>33.156669999999998</v>
      </c>
      <c r="J167" s="6">
        <v>-94.968059999999994</v>
      </c>
      <c r="K167" s="8">
        <v>75455</v>
      </c>
      <c r="L167" s="5">
        <f t="shared" si="4"/>
        <v>2009</v>
      </c>
      <c r="M167" s="5">
        <f t="shared" si="5"/>
        <v>39840</v>
      </c>
      <c r="N167" s="18">
        <v>0.10138888888888889</v>
      </c>
    </row>
    <row r="168" spans="1:14" x14ac:dyDescent="0.3">
      <c r="A168" s="3" t="s">
        <v>21</v>
      </c>
      <c r="B168" s="3">
        <v>3600</v>
      </c>
      <c r="C168" s="3" t="s">
        <v>12</v>
      </c>
      <c r="D168" s="3" t="s">
        <v>349</v>
      </c>
      <c r="E168" s="3" t="s">
        <v>350</v>
      </c>
      <c r="F168" s="3" t="s">
        <v>39</v>
      </c>
      <c r="G168" s="3" t="s">
        <v>16</v>
      </c>
      <c r="H168" s="4">
        <v>39840.325694444444</v>
      </c>
      <c r="I168" s="3">
        <v>29.78556</v>
      </c>
      <c r="J168" s="3">
        <v>-95.824169999999995</v>
      </c>
      <c r="K168" s="5">
        <v>77494</v>
      </c>
      <c r="L168" s="8">
        <f t="shared" si="4"/>
        <v>2009</v>
      </c>
      <c r="M168" s="8">
        <f t="shared" si="5"/>
        <v>39840</v>
      </c>
      <c r="N168" s="19">
        <v>0.34097222222222223</v>
      </c>
    </row>
    <row r="169" spans="1:14" x14ac:dyDescent="0.3">
      <c r="A169" s="6" t="s">
        <v>11</v>
      </c>
      <c r="B169" s="6">
        <v>1200</v>
      </c>
      <c r="C169" s="6" t="s">
        <v>12</v>
      </c>
      <c r="D169" s="6" t="s">
        <v>351</v>
      </c>
      <c r="E169" s="6" t="s">
        <v>352</v>
      </c>
      <c r="F169" s="6" t="s">
        <v>353</v>
      </c>
      <c r="G169" s="6" t="s">
        <v>16</v>
      </c>
      <c r="H169" s="7">
        <v>39840.402777777781</v>
      </c>
      <c r="I169" s="6">
        <v>45.776110000000003</v>
      </c>
      <c r="J169" s="6">
        <v>-111.17610999999999</v>
      </c>
      <c r="K169" s="8">
        <v>59714</v>
      </c>
      <c r="L169" s="5">
        <f t="shared" si="4"/>
        <v>2009</v>
      </c>
      <c r="M169" s="5">
        <f t="shared" si="5"/>
        <v>39840</v>
      </c>
      <c r="N169" s="18">
        <v>0.28611111111111109</v>
      </c>
    </row>
    <row r="170" spans="1:14" x14ac:dyDescent="0.3">
      <c r="A170" s="3" t="s">
        <v>11</v>
      </c>
      <c r="B170" s="3">
        <v>1200</v>
      </c>
      <c r="C170" s="3" t="s">
        <v>12</v>
      </c>
      <c r="D170" s="3" t="s">
        <v>58</v>
      </c>
      <c r="E170" s="3" t="s">
        <v>354</v>
      </c>
      <c r="F170" s="3" t="s">
        <v>355</v>
      </c>
      <c r="G170" s="3" t="s">
        <v>16</v>
      </c>
      <c r="H170" s="4">
        <v>39840.636805555558</v>
      </c>
      <c r="I170" s="3">
        <v>35.237780000000001</v>
      </c>
      <c r="J170" s="3">
        <v>-106.60611</v>
      </c>
      <c r="K170" s="5">
        <v>87048</v>
      </c>
      <c r="L170" s="5">
        <f t="shared" si="4"/>
        <v>2009</v>
      </c>
      <c r="M170" s="5">
        <f t="shared" si="5"/>
        <v>39840</v>
      </c>
      <c r="N170" s="18">
        <v>0.14444444444444443</v>
      </c>
    </row>
    <row r="171" spans="1:14" x14ac:dyDescent="0.3">
      <c r="A171" s="6" t="s">
        <v>11</v>
      </c>
      <c r="B171" s="6">
        <v>1200</v>
      </c>
      <c r="C171" s="6" t="s">
        <v>12</v>
      </c>
      <c r="D171" s="6" t="s">
        <v>356</v>
      </c>
      <c r="E171" s="6" t="s">
        <v>357</v>
      </c>
      <c r="F171" s="6" t="s">
        <v>27</v>
      </c>
      <c r="G171" s="6" t="s">
        <v>16</v>
      </c>
      <c r="H171" s="7">
        <v>39840.758333333331</v>
      </c>
      <c r="I171" s="6">
        <v>40.925280000000001</v>
      </c>
      <c r="J171" s="6">
        <v>-73.963329999999999</v>
      </c>
      <c r="K171" s="8">
        <v>7670</v>
      </c>
      <c r="L171" s="8">
        <f t="shared" si="4"/>
        <v>2009</v>
      </c>
      <c r="M171" s="8">
        <f t="shared" si="5"/>
        <v>39840</v>
      </c>
      <c r="N171" s="19">
        <v>0.27847222222222223</v>
      </c>
    </row>
    <row r="172" spans="1:14" x14ac:dyDescent="0.3">
      <c r="A172" s="3" t="s">
        <v>11</v>
      </c>
      <c r="B172" s="3">
        <v>1200</v>
      </c>
      <c r="C172" s="3" t="s">
        <v>12</v>
      </c>
      <c r="D172" s="3" t="s">
        <v>358</v>
      </c>
      <c r="E172" s="3" t="s">
        <v>359</v>
      </c>
      <c r="F172" s="3" t="s">
        <v>68</v>
      </c>
      <c r="G172" s="3" t="s">
        <v>16</v>
      </c>
      <c r="H172" s="4">
        <v>39840.775694444441</v>
      </c>
      <c r="I172" s="3">
        <v>39.115560000000002</v>
      </c>
      <c r="J172" s="3">
        <v>-77.563890000000001</v>
      </c>
      <c r="K172" s="5">
        <v>20176</v>
      </c>
      <c r="L172" s="5">
        <f t="shared" si="4"/>
        <v>2009</v>
      </c>
      <c r="M172" s="5">
        <f t="shared" si="5"/>
        <v>39840</v>
      </c>
      <c r="N172" s="18">
        <v>0.27361111111111114</v>
      </c>
    </row>
    <row r="173" spans="1:14" x14ac:dyDescent="0.3">
      <c r="A173" s="6" t="s">
        <v>11</v>
      </c>
      <c r="B173" s="6">
        <v>1200</v>
      </c>
      <c r="C173" s="6" t="s">
        <v>17</v>
      </c>
      <c r="D173" s="6" t="s">
        <v>360</v>
      </c>
      <c r="E173" s="6" t="s">
        <v>361</v>
      </c>
      <c r="F173" s="6" t="s">
        <v>61</v>
      </c>
      <c r="G173" s="6" t="s">
        <v>16</v>
      </c>
      <c r="H173" s="7">
        <v>39841.000694444447</v>
      </c>
      <c r="I173" s="6">
        <v>30.384440000000001</v>
      </c>
      <c r="J173" s="6">
        <v>-81.938890000000001</v>
      </c>
      <c r="K173" s="8">
        <v>32009</v>
      </c>
      <c r="L173" s="8">
        <f t="shared" si="4"/>
        <v>2009</v>
      </c>
      <c r="M173" s="8">
        <f t="shared" si="5"/>
        <v>39841</v>
      </c>
      <c r="N173" s="19">
        <v>0.52777777777777779</v>
      </c>
    </row>
    <row r="174" spans="1:14" x14ac:dyDescent="0.3">
      <c r="A174" s="3" t="s">
        <v>11</v>
      </c>
      <c r="B174" s="3">
        <v>1200</v>
      </c>
      <c r="C174" s="3" t="s">
        <v>12</v>
      </c>
      <c r="D174" s="3" t="s">
        <v>362</v>
      </c>
      <c r="E174" s="3" t="s">
        <v>363</v>
      </c>
      <c r="F174" s="3" t="s">
        <v>68</v>
      </c>
      <c r="G174" s="3" t="s">
        <v>16</v>
      </c>
      <c r="H174" s="4">
        <v>39841.31527777778</v>
      </c>
      <c r="I174" s="3">
        <v>36.777500000000003</v>
      </c>
      <c r="J174" s="3">
        <v>-82.941670000000002</v>
      </c>
      <c r="K174" s="5">
        <v>24243</v>
      </c>
      <c r="L174" s="5">
        <f t="shared" si="4"/>
        <v>2009</v>
      </c>
      <c r="M174" s="5">
        <f t="shared" si="5"/>
        <v>39841</v>
      </c>
      <c r="N174" s="18">
        <v>0.31319444444444444</v>
      </c>
    </row>
    <row r="175" spans="1:14" x14ac:dyDescent="0.3">
      <c r="A175" s="6" t="s">
        <v>11</v>
      </c>
      <c r="B175" s="6">
        <v>1200</v>
      </c>
      <c r="C175" s="6" t="s">
        <v>12</v>
      </c>
      <c r="D175" s="6" t="s">
        <v>364</v>
      </c>
      <c r="E175" s="6" t="s">
        <v>365</v>
      </c>
      <c r="F175" s="6" t="s">
        <v>95</v>
      </c>
      <c r="G175" s="6" t="s">
        <v>16</v>
      </c>
      <c r="H175" s="7">
        <v>39841.324305555558</v>
      </c>
      <c r="I175" s="6">
        <v>35.052500000000002</v>
      </c>
      <c r="J175" s="6">
        <v>-78.878609999999995</v>
      </c>
      <c r="K175" s="8">
        <v>28301</v>
      </c>
      <c r="L175" s="8">
        <f t="shared" si="4"/>
        <v>2009</v>
      </c>
      <c r="M175" s="8">
        <f t="shared" si="5"/>
        <v>39841</v>
      </c>
      <c r="N175" s="19">
        <v>0.32569444444444445</v>
      </c>
    </row>
    <row r="176" spans="1:14" x14ac:dyDescent="0.3">
      <c r="A176" s="3" t="s">
        <v>21</v>
      </c>
      <c r="B176" s="3">
        <v>3600</v>
      </c>
      <c r="C176" s="3" t="s">
        <v>12</v>
      </c>
      <c r="D176" s="3" t="s">
        <v>366</v>
      </c>
      <c r="E176" s="3" t="s">
        <v>367</v>
      </c>
      <c r="F176" s="3" t="s">
        <v>368</v>
      </c>
      <c r="G176" s="3" t="s">
        <v>16</v>
      </c>
      <c r="H176" s="4">
        <v>39841.390972222223</v>
      </c>
      <c r="I176" s="3">
        <v>38.982219999999998</v>
      </c>
      <c r="J176" s="3">
        <v>-94.670559999999995</v>
      </c>
      <c r="K176" s="5">
        <v>66204</v>
      </c>
      <c r="L176" s="5">
        <f t="shared" si="4"/>
        <v>2009</v>
      </c>
      <c r="M176" s="5">
        <f t="shared" si="5"/>
        <v>39841</v>
      </c>
      <c r="N176" s="18">
        <v>0.47013888888888888</v>
      </c>
    </row>
    <row r="177" spans="1:14" x14ac:dyDescent="0.3">
      <c r="A177" s="6" t="s">
        <v>21</v>
      </c>
      <c r="B177" s="6">
        <v>3600</v>
      </c>
      <c r="C177" s="6" t="s">
        <v>12</v>
      </c>
      <c r="D177" s="6" t="s">
        <v>369</v>
      </c>
      <c r="E177" s="6" t="s">
        <v>370</v>
      </c>
      <c r="F177" s="6" t="s">
        <v>371</v>
      </c>
      <c r="G177" s="6" t="s">
        <v>16</v>
      </c>
      <c r="H177" s="7">
        <v>39841.463888888888</v>
      </c>
      <c r="I177" s="6">
        <v>34.6175</v>
      </c>
      <c r="J177" s="6">
        <v>-89.968609999999998</v>
      </c>
      <c r="K177" s="8">
        <v>38668</v>
      </c>
      <c r="L177" s="5">
        <f t="shared" si="4"/>
        <v>2009</v>
      </c>
      <c r="M177" s="5">
        <f t="shared" si="5"/>
        <v>39841</v>
      </c>
      <c r="N177" s="18">
        <v>0.44097222222222221</v>
      </c>
    </row>
    <row r="178" spans="1:14" x14ac:dyDescent="0.3">
      <c r="A178" s="3" t="s">
        <v>11</v>
      </c>
      <c r="B178" s="3">
        <v>1200</v>
      </c>
      <c r="C178" s="3" t="s">
        <v>17</v>
      </c>
      <c r="D178" s="3" t="s">
        <v>372</v>
      </c>
      <c r="E178" s="3" t="s">
        <v>373</v>
      </c>
      <c r="F178" s="3" t="s">
        <v>106</v>
      </c>
      <c r="G178" s="3" t="s">
        <v>16</v>
      </c>
      <c r="H178" s="4">
        <v>39841.504861111112</v>
      </c>
      <c r="I178" s="3">
        <v>38.62444</v>
      </c>
      <c r="J178" s="3">
        <v>-76.939440000000005</v>
      </c>
      <c r="K178" s="5">
        <v>20603</v>
      </c>
      <c r="L178" s="8">
        <f t="shared" si="4"/>
        <v>2009</v>
      </c>
      <c r="M178" s="8">
        <f t="shared" si="5"/>
        <v>39841</v>
      </c>
      <c r="N178" s="19">
        <v>0.51111111111111107</v>
      </c>
    </row>
    <row r="179" spans="1:14" x14ac:dyDescent="0.3">
      <c r="A179" s="6" t="s">
        <v>11</v>
      </c>
      <c r="B179" s="6">
        <v>1200</v>
      </c>
      <c r="C179" s="6" t="s">
        <v>12</v>
      </c>
      <c r="D179" s="6" t="s">
        <v>374</v>
      </c>
      <c r="E179" s="6" t="s">
        <v>63</v>
      </c>
      <c r="F179" s="6" t="s">
        <v>36</v>
      </c>
      <c r="G179" s="6" t="s">
        <v>16</v>
      </c>
      <c r="H179" s="7">
        <v>39841.520833333336</v>
      </c>
      <c r="I179" s="6">
        <v>40.65</v>
      </c>
      <c r="J179" s="6">
        <v>-73.95</v>
      </c>
      <c r="K179" s="8">
        <v>11226</v>
      </c>
      <c r="L179" s="5">
        <f t="shared" si="4"/>
        <v>2009</v>
      </c>
      <c r="M179" s="5">
        <f t="shared" si="5"/>
        <v>39841</v>
      </c>
      <c r="N179" s="18">
        <v>0.52152777777777781</v>
      </c>
    </row>
    <row r="180" spans="1:14" x14ac:dyDescent="0.3">
      <c r="A180" s="3" t="s">
        <v>11</v>
      </c>
      <c r="B180" s="3">
        <v>1200</v>
      </c>
      <c r="C180" s="3" t="s">
        <v>17</v>
      </c>
      <c r="D180" s="3" t="s">
        <v>375</v>
      </c>
      <c r="E180" s="3" t="s">
        <v>376</v>
      </c>
      <c r="F180" s="3" t="s">
        <v>195</v>
      </c>
      <c r="G180" s="3" t="s">
        <v>16</v>
      </c>
      <c r="H180" s="4">
        <v>39841.525694444441</v>
      </c>
      <c r="I180" s="3">
        <v>44.649720000000002</v>
      </c>
      <c r="J180" s="3">
        <v>-93.242500000000007</v>
      </c>
      <c r="K180" s="5">
        <v>55044</v>
      </c>
      <c r="L180" s="8">
        <f t="shared" si="4"/>
        <v>2009</v>
      </c>
      <c r="M180" s="8">
        <f t="shared" si="5"/>
        <v>39841</v>
      </c>
      <c r="N180" s="19">
        <v>0.50486111111111109</v>
      </c>
    </row>
    <row r="181" spans="1:14" x14ac:dyDescent="0.3">
      <c r="A181" s="6" t="s">
        <v>11</v>
      </c>
      <c r="B181" s="6">
        <v>1200</v>
      </c>
      <c r="C181" s="6" t="s">
        <v>65</v>
      </c>
      <c r="D181" s="6" t="s">
        <v>377</v>
      </c>
      <c r="E181" s="6" t="s">
        <v>378</v>
      </c>
      <c r="F181" s="6" t="s">
        <v>220</v>
      </c>
      <c r="G181" s="6" t="s">
        <v>16</v>
      </c>
      <c r="H181" s="7">
        <v>39841.558333333334</v>
      </c>
      <c r="I181" s="6">
        <v>41.053330000000003</v>
      </c>
      <c r="J181" s="6">
        <v>-73.539169999999999</v>
      </c>
      <c r="K181" s="8">
        <v>6901</v>
      </c>
      <c r="L181" s="5">
        <f t="shared" si="4"/>
        <v>2009</v>
      </c>
      <c r="M181" s="5">
        <f t="shared" si="5"/>
        <v>39841</v>
      </c>
      <c r="N181" s="18">
        <v>0.53819444444444442</v>
      </c>
    </row>
    <row r="182" spans="1:14" x14ac:dyDescent="0.3">
      <c r="A182" s="3" t="s">
        <v>11</v>
      </c>
      <c r="B182" s="3">
        <v>1200</v>
      </c>
      <c r="C182" s="3" t="s">
        <v>17</v>
      </c>
      <c r="D182" s="3" t="s">
        <v>379</v>
      </c>
      <c r="E182" s="3" t="s">
        <v>380</v>
      </c>
      <c r="F182" s="3" t="s">
        <v>115</v>
      </c>
      <c r="G182" s="3" t="s">
        <v>16</v>
      </c>
      <c r="H182" s="4">
        <v>39841.609027777777</v>
      </c>
      <c r="I182" s="3">
        <v>42.607219999999998</v>
      </c>
      <c r="J182" s="3">
        <v>-83.92944</v>
      </c>
      <c r="K182" s="5">
        <v>48843</v>
      </c>
      <c r="L182" s="8">
        <f t="shared" si="4"/>
        <v>2009</v>
      </c>
      <c r="M182" s="8">
        <f t="shared" si="5"/>
        <v>39841</v>
      </c>
      <c r="N182" s="19">
        <v>0.37222222222222223</v>
      </c>
    </row>
    <row r="183" spans="1:14" x14ac:dyDescent="0.3">
      <c r="A183" s="6" t="s">
        <v>11</v>
      </c>
      <c r="B183" s="6">
        <v>1200</v>
      </c>
      <c r="C183" s="6" t="s">
        <v>65</v>
      </c>
      <c r="D183" s="6" t="s">
        <v>381</v>
      </c>
      <c r="E183" s="6" t="s">
        <v>382</v>
      </c>
      <c r="F183" s="6" t="s">
        <v>50</v>
      </c>
      <c r="G183" s="6" t="s">
        <v>16</v>
      </c>
      <c r="H183" s="7">
        <v>39841.634027777778</v>
      </c>
      <c r="I183" s="6">
        <v>33.036940000000001</v>
      </c>
      <c r="J183" s="6">
        <v>-117.29111</v>
      </c>
      <c r="K183" s="8">
        <v>92024</v>
      </c>
      <c r="L183" s="5">
        <f t="shared" si="4"/>
        <v>2009</v>
      </c>
      <c r="M183" s="5">
        <f t="shared" si="5"/>
        <v>39841</v>
      </c>
      <c r="N183" s="18">
        <v>0.24583333333333332</v>
      </c>
    </row>
    <row r="184" spans="1:14" x14ac:dyDescent="0.3">
      <c r="A184" s="3" t="s">
        <v>11</v>
      </c>
      <c r="B184" s="3">
        <v>1200</v>
      </c>
      <c r="C184" s="3" t="s">
        <v>12</v>
      </c>
      <c r="D184" s="3" t="s">
        <v>383</v>
      </c>
      <c r="E184" s="3" t="s">
        <v>384</v>
      </c>
      <c r="F184" s="3" t="s">
        <v>368</v>
      </c>
      <c r="G184" s="3" t="s">
        <v>16</v>
      </c>
      <c r="H184" s="4">
        <v>39841.715277777781</v>
      </c>
      <c r="I184" s="3">
        <v>39.56306</v>
      </c>
      <c r="J184" s="3">
        <v>-95.121390000000005</v>
      </c>
      <c r="K184" s="5">
        <v>66002</v>
      </c>
      <c r="L184" s="5">
        <f t="shared" si="4"/>
        <v>2009</v>
      </c>
      <c r="M184" s="5">
        <f t="shared" si="5"/>
        <v>39841</v>
      </c>
      <c r="N184" s="18">
        <v>7.3611111111111113E-2</v>
      </c>
    </row>
    <row r="185" spans="1:14" x14ac:dyDescent="0.3">
      <c r="A185" s="6" t="s">
        <v>64</v>
      </c>
      <c r="B185" s="6">
        <v>3600</v>
      </c>
      <c r="C185" s="6" t="s">
        <v>65</v>
      </c>
      <c r="D185" s="6" t="s">
        <v>383</v>
      </c>
      <c r="E185" s="6" t="s">
        <v>385</v>
      </c>
      <c r="F185" s="6" t="s">
        <v>124</v>
      </c>
      <c r="G185" s="6" t="s">
        <v>16</v>
      </c>
      <c r="H185" s="7">
        <v>39841.759027777778</v>
      </c>
      <c r="I185" s="6">
        <v>21.425560000000001</v>
      </c>
      <c r="J185" s="6">
        <v>-157.96082999999999</v>
      </c>
      <c r="K185" s="8">
        <v>96782</v>
      </c>
      <c r="L185" s="8">
        <f t="shared" si="4"/>
        <v>2009</v>
      </c>
      <c r="M185" s="8">
        <f t="shared" si="5"/>
        <v>39841</v>
      </c>
      <c r="N185" s="19">
        <v>0.45069444444444445</v>
      </c>
    </row>
    <row r="186" spans="1:14" x14ac:dyDescent="0.3">
      <c r="A186" s="3" t="s">
        <v>11</v>
      </c>
      <c r="B186" s="3">
        <v>1200</v>
      </c>
      <c r="C186" s="3" t="s">
        <v>12</v>
      </c>
      <c r="D186" s="3" t="s">
        <v>386</v>
      </c>
      <c r="E186" s="3" t="s">
        <v>387</v>
      </c>
      <c r="F186" s="3" t="s">
        <v>36</v>
      </c>
      <c r="G186" s="3" t="s">
        <v>16</v>
      </c>
      <c r="H186" s="4">
        <v>39841.763194444444</v>
      </c>
      <c r="I186" s="3">
        <v>42.982500000000002</v>
      </c>
      <c r="J186" s="3">
        <v>-77.409170000000003</v>
      </c>
      <c r="K186" s="5">
        <v>14564</v>
      </c>
      <c r="L186" s="5">
        <f t="shared" si="4"/>
        <v>2009</v>
      </c>
      <c r="M186" s="5">
        <f t="shared" si="5"/>
        <v>39841</v>
      </c>
      <c r="N186" s="18">
        <v>0.26666666666666666</v>
      </c>
    </row>
    <row r="187" spans="1:14" x14ac:dyDescent="0.3">
      <c r="A187" s="6" t="s">
        <v>11</v>
      </c>
      <c r="B187" s="6">
        <v>1200</v>
      </c>
      <c r="C187" s="6" t="s">
        <v>12</v>
      </c>
      <c r="D187" s="6" t="s">
        <v>388</v>
      </c>
      <c r="E187" s="6" t="s">
        <v>389</v>
      </c>
      <c r="F187" s="6" t="s">
        <v>276</v>
      </c>
      <c r="G187" s="6" t="s">
        <v>16</v>
      </c>
      <c r="H187" s="7">
        <v>39841.99722222222</v>
      </c>
      <c r="I187" s="6">
        <v>64.837779999999995</v>
      </c>
      <c r="J187" s="6">
        <v>-147.71638999999999</v>
      </c>
      <c r="K187" s="8">
        <v>99701</v>
      </c>
      <c r="L187" s="8">
        <f t="shared" si="4"/>
        <v>2009</v>
      </c>
      <c r="M187" s="8">
        <f t="shared" si="5"/>
        <v>39841</v>
      </c>
      <c r="N187" s="19">
        <v>0.1673611111111111</v>
      </c>
    </row>
    <row r="188" spans="1:14" x14ac:dyDescent="0.3">
      <c r="A188" s="3" t="s">
        <v>11</v>
      </c>
      <c r="B188" s="3">
        <v>1200</v>
      </c>
      <c r="C188" s="3" t="s">
        <v>65</v>
      </c>
      <c r="D188" s="3" t="s">
        <v>390</v>
      </c>
      <c r="E188" s="3" t="s">
        <v>391</v>
      </c>
      <c r="F188" s="3" t="s">
        <v>106</v>
      </c>
      <c r="G188" s="3" t="s">
        <v>16</v>
      </c>
      <c r="H188" s="4">
        <v>39842.194444444445</v>
      </c>
      <c r="I188" s="3">
        <v>38.667499999999997</v>
      </c>
      <c r="J188" s="3">
        <v>-77.02861</v>
      </c>
      <c r="K188" s="5">
        <v>20607</v>
      </c>
      <c r="L188" s="5">
        <f t="shared" si="4"/>
        <v>2009</v>
      </c>
      <c r="M188" s="5">
        <f t="shared" si="5"/>
        <v>39842</v>
      </c>
      <c r="N188" s="18">
        <v>4.6527777777777779E-2</v>
      </c>
    </row>
    <row r="189" spans="1:14" x14ac:dyDescent="0.3">
      <c r="A189" s="6" t="s">
        <v>11</v>
      </c>
      <c r="B189" s="6">
        <v>1200</v>
      </c>
      <c r="C189" s="6" t="s">
        <v>12</v>
      </c>
      <c r="D189" s="6" t="s">
        <v>392</v>
      </c>
      <c r="E189" s="6" t="s">
        <v>393</v>
      </c>
      <c r="F189" s="6" t="s">
        <v>50</v>
      </c>
      <c r="G189" s="6" t="s">
        <v>16</v>
      </c>
      <c r="H189" s="7">
        <v>39842.220833333333</v>
      </c>
      <c r="I189" s="6">
        <v>37.36889</v>
      </c>
      <c r="J189" s="6">
        <v>-122.03528</v>
      </c>
      <c r="K189" s="8">
        <v>94086</v>
      </c>
      <c r="L189" s="8">
        <f t="shared" si="4"/>
        <v>2009</v>
      </c>
      <c r="M189" s="8">
        <f t="shared" si="5"/>
        <v>39842</v>
      </c>
      <c r="N189" s="19">
        <v>0.23819444444444443</v>
      </c>
    </row>
    <row r="190" spans="1:14" x14ac:dyDescent="0.3">
      <c r="A190" s="3" t="s">
        <v>11</v>
      </c>
      <c r="B190" s="3">
        <v>1200</v>
      </c>
      <c r="C190" s="3" t="s">
        <v>12</v>
      </c>
      <c r="D190" s="3" t="s">
        <v>86</v>
      </c>
      <c r="E190" s="3" t="s">
        <v>394</v>
      </c>
      <c r="F190" s="3" t="s">
        <v>36</v>
      </c>
      <c r="G190" s="3" t="s">
        <v>16</v>
      </c>
      <c r="H190" s="4">
        <v>39842.288888888892</v>
      </c>
      <c r="I190" s="3">
        <v>42.440559999999998</v>
      </c>
      <c r="J190" s="3">
        <v>-76.496939999999995</v>
      </c>
      <c r="K190" s="5">
        <v>14850</v>
      </c>
      <c r="L190" s="5">
        <f t="shared" si="4"/>
        <v>2009</v>
      </c>
      <c r="M190" s="5">
        <f t="shared" si="5"/>
        <v>39842</v>
      </c>
      <c r="N190" s="18">
        <v>0.22916666666666666</v>
      </c>
    </row>
    <row r="191" spans="1:14" x14ac:dyDescent="0.3">
      <c r="A191" s="6" t="s">
        <v>11</v>
      </c>
      <c r="B191" s="6">
        <v>1200</v>
      </c>
      <c r="C191" s="6" t="s">
        <v>65</v>
      </c>
      <c r="D191" s="6" t="s">
        <v>232</v>
      </c>
      <c r="E191" s="6" t="s">
        <v>73</v>
      </c>
      <c r="F191" s="6" t="s">
        <v>39</v>
      </c>
      <c r="G191" s="6" t="s">
        <v>16</v>
      </c>
      <c r="H191" s="7">
        <v>39842.31527777778</v>
      </c>
      <c r="I191" s="6">
        <v>29.763059999999999</v>
      </c>
      <c r="J191" s="6">
        <v>-95.363060000000004</v>
      </c>
      <c r="K191" s="8">
        <v>77002</v>
      </c>
      <c r="L191" s="5">
        <f t="shared" si="4"/>
        <v>2009</v>
      </c>
      <c r="M191" s="5">
        <f t="shared" si="5"/>
        <v>39842</v>
      </c>
      <c r="N191" s="18">
        <v>0.25555555555555554</v>
      </c>
    </row>
    <row r="192" spans="1:14" x14ac:dyDescent="0.3">
      <c r="A192" s="3" t="s">
        <v>11</v>
      </c>
      <c r="B192" s="3">
        <v>1200</v>
      </c>
      <c r="C192" s="3" t="s">
        <v>17</v>
      </c>
      <c r="D192" s="3" t="s">
        <v>395</v>
      </c>
      <c r="E192" s="3" t="s">
        <v>396</v>
      </c>
      <c r="F192" s="3" t="s">
        <v>115</v>
      </c>
      <c r="G192" s="3" t="s">
        <v>16</v>
      </c>
      <c r="H192" s="4">
        <v>39842.336805555555</v>
      </c>
      <c r="I192" s="3">
        <v>42.464440000000003</v>
      </c>
      <c r="J192" s="3">
        <v>-83.376390000000001</v>
      </c>
      <c r="K192" s="5">
        <v>48336</v>
      </c>
      <c r="L192" s="8">
        <f t="shared" si="4"/>
        <v>2009</v>
      </c>
      <c r="M192" s="8">
        <f t="shared" si="5"/>
        <v>39842</v>
      </c>
      <c r="N192" s="19">
        <v>0.14166666666666666</v>
      </c>
    </row>
    <row r="193" spans="1:14" x14ac:dyDescent="0.3">
      <c r="A193" s="6" t="s">
        <v>11</v>
      </c>
      <c r="B193" s="6">
        <v>1200</v>
      </c>
      <c r="C193" s="6" t="s">
        <v>17</v>
      </c>
      <c r="D193" s="6" t="s">
        <v>397</v>
      </c>
      <c r="E193" s="6" t="s">
        <v>63</v>
      </c>
      <c r="F193" s="6" t="s">
        <v>36</v>
      </c>
      <c r="G193" s="6" t="s">
        <v>16</v>
      </c>
      <c r="H193" s="7">
        <v>39842.459722222222</v>
      </c>
      <c r="I193" s="6">
        <v>40.65</v>
      </c>
      <c r="J193" s="6">
        <v>-73.95</v>
      </c>
      <c r="K193" s="8">
        <v>11226</v>
      </c>
      <c r="L193" s="5">
        <f t="shared" si="4"/>
        <v>2009</v>
      </c>
      <c r="M193" s="5">
        <f t="shared" si="5"/>
        <v>39842</v>
      </c>
      <c r="N193" s="18">
        <v>0.14791666666666667</v>
      </c>
    </row>
    <row r="194" spans="1:14" x14ac:dyDescent="0.3">
      <c r="A194" s="3" t="s">
        <v>11</v>
      </c>
      <c r="B194" s="3">
        <v>1200</v>
      </c>
      <c r="C194" s="3" t="s">
        <v>17</v>
      </c>
      <c r="D194" s="3" t="s">
        <v>398</v>
      </c>
      <c r="E194" s="3" t="s">
        <v>336</v>
      </c>
      <c r="F194" s="3" t="s">
        <v>68</v>
      </c>
      <c r="G194" s="3" t="s">
        <v>16</v>
      </c>
      <c r="H194" s="4">
        <v>39842.521527777775</v>
      </c>
      <c r="I194" s="3">
        <v>38.998060000000002</v>
      </c>
      <c r="J194" s="3">
        <v>-77.288610000000006</v>
      </c>
      <c r="K194" s="5">
        <v>22066</v>
      </c>
      <c r="L194" s="8">
        <f t="shared" ref="L194:L257" si="6">YEAR(H194)</f>
        <v>2009</v>
      </c>
      <c r="M194" s="8">
        <f t="shared" ref="M194:M257" si="7">INT(H194)</f>
        <v>39842</v>
      </c>
      <c r="N194" s="19">
        <v>0.51944444444444449</v>
      </c>
    </row>
    <row r="195" spans="1:14" x14ac:dyDescent="0.3">
      <c r="A195" s="6" t="s">
        <v>21</v>
      </c>
      <c r="B195" s="6">
        <v>300000</v>
      </c>
      <c r="C195" s="6" t="s">
        <v>17</v>
      </c>
      <c r="D195" s="6" t="s">
        <v>399</v>
      </c>
      <c r="E195" s="6" t="s">
        <v>400</v>
      </c>
      <c r="F195" s="6" t="s">
        <v>71</v>
      </c>
      <c r="G195" s="6" t="s">
        <v>16</v>
      </c>
      <c r="H195" s="7">
        <v>39842.540277777778</v>
      </c>
      <c r="I195" s="6">
        <v>33.509169999999997</v>
      </c>
      <c r="J195" s="6">
        <v>-111.89833</v>
      </c>
      <c r="K195" s="8">
        <v>85251</v>
      </c>
      <c r="L195" s="5">
        <f t="shared" si="6"/>
        <v>2009</v>
      </c>
      <c r="M195" s="5">
        <f t="shared" si="7"/>
        <v>39842</v>
      </c>
      <c r="N195" s="18">
        <v>0.42291666666666666</v>
      </c>
    </row>
    <row r="196" spans="1:14" x14ac:dyDescent="0.3">
      <c r="A196" s="3" t="s">
        <v>11</v>
      </c>
      <c r="B196" s="3">
        <v>1200</v>
      </c>
      <c r="C196" s="3" t="s">
        <v>12</v>
      </c>
      <c r="D196" s="3" t="s">
        <v>401</v>
      </c>
      <c r="E196" s="3" t="s">
        <v>393</v>
      </c>
      <c r="F196" s="3" t="s">
        <v>50</v>
      </c>
      <c r="G196" s="3" t="s">
        <v>16</v>
      </c>
      <c r="H196" s="4">
        <v>39842.586111111108</v>
      </c>
      <c r="I196" s="3">
        <v>37.36889</v>
      </c>
      <c r="J196" s="3">
        <v>-122.03528</v>
      </c>
      <c r="K196" s="5">
        <v>94086</v>
      </c>
      <c r="L196" s="8">
        <f t="shared" si="6"/>
        <v>2009</v>
      </c>
      <c r="M196" s="8">
        <f t="shared" si="7"/>
        <v>39842</v>
      </c>
      <c r="N196" s="19">
        <v>0.13055555555555556</v>
      </c>
    </row>
    <row r="197" spans="1:14" x14ac:dyDescent="0.3">
      <c r="A197" s="6" t="s">
        <v>21</v>
      </c>
      <c r="B197" s="6">
        <v>300000</v>
      </c>
      <c r="C197" s="6" t="s">
        <v>17</v>
      </c>
      <c r="D197" s="6" t="s">
        <v>402</v>
      </c>
      <c r="E197" s="6" t="s">
        <v>403</v>
      </c>
      <c r="F197" s="6" t="s">
        <v>169</v>
      </c>
      <c r="G197" s="6" t="s">
        <v>16</v>
      </c>
      <c r="H197" s="7">
        <v>39842.70208333333</v>
      </c>
      <c r="I197" s="6">
        <v>47.61056</v>
      </c>
      <c r="J197" s="6">
        <v>-122.19944</v>
      </c>
      <c r="K197" s="8">
        <v>98004</v>
      </c>
      <c r="L197" s="5">
        <f t="shared" si="6"/>
        <v>2009</v>
      </c>
      <c r="M197" s="5">
        <f t="shared" si="7"/>
        <v>39842</v>
      </c>
      <c r="N197" s="18">
        <v>0.42777777777777776</v>
      </c>
    </row>
    <row r="198" spans="1:14" x14ac:dyDescent="0.3">
      <c r="A198" s="3" t="s">
        <v>11</v>
      </c>
      <c r="B198" s="3">
        <v>1200</v>
      </c>
      <c r="C198" s="3" t="s">
        <v>12</v>
      </c>
      <c r="D198" s="3" t="s">
        <v>404</v>
      </c>
      <c r="E198" s="3" t="s">
        <v>405</v>
      </c>
      <c r="F198" s="3" t="s">
        <v>195</v>
      </c>
      <c r="G198" s="3" t="s">
        <v>16</v>
      </c>
      <c r="H198" s="4">
        <v>39843.090277777781</v>
      </c>
      <c r="I198" s="3">
        <v>44.98</v>
      </c>
      <c r="J198" s="3">
        <v>-93.26361</v>
      </c>
      <c r="K198" s="5">
        <v>55401</v>
      </c>
      <c r="L198" s="5">
        <f t="shared" si="6"/>
        <v>2009</v>
      </c>
      <c r="M198" s="5">
        <f t="shared" si="7"/>
        <v>39843</v>
      </c>
      <c r="N198" s="18">
        <v>0.51527777777777772</v>
      </c>
    </row>
    <row r="199" spans="1:14" x14ac:dyDescent="0.3">
      <c r="A199" s="6" t="s">
        <v>11</v>
      </c>
      <c r="B199" s="6">
        <v>1200</v>
      </c>
      <c r="C199" s="6" t="s">
        <v>12</v>
      </c>
      <c r="D199" s="6" t="s">
        <v>406</v>
      </c>
      <c r="E199" s="6" t="s">
        <v>158</v>
      </c>
      <c r="F199" s="6" t="s">
        <v>30</v>
      </c>
      <c r="G199" s="6" t="s">
        <v>16</v>
      </c>
      <c r="H199" s="7">
        <v>39843.232638888891</v>
      </c>
      <c r="I199" s="6">
        <v>41.85</v>
      </c>
      <c r="J199" s="6">
        <v>-87.65</v>
      </c>
      <c r="K199" s="8">
        <v>60608</v>
      </c>
      <c r="L199" s="8">
        <f t="shared" si="6"/>
        <v>2009</v>
      </c>
      <c r="M199" s="8">
        <f t="shared" si="7"/>
        <v>39843</v>
      </c>
      <c r="N199" s="19">
        <v>0.39652777777777776</v>
      </c>
    </row>
    <row r="200" spans="1:14" x14ac:dyDescent="0.3">
      <c r="A200" s="3" t="s">
        <v>11</v>
      </c>
      <c r="B200" s="3">
        <v>1200</v>
      </c>
      <c r="C200" s="3" t="s">
        <v>17</v>
      </c>
      <c r="D200" s="3" t="s">
        <v>407</v>
      </c>
      <c r="E200" s="3" t="s">
        <v>408</v>
      </c>
      <c r="F200" s="3" t="s">
        <v>71</v>
      </c>
      <c r="G200" s="3" t="s">
        <v>16</v>
      </c>
      <c r="H200" s="4">
        <v>39843.445138888892</v>
      </c>
      <c r="I200" s="3">
        <v>33.248609999999999</v>
      </c>
      <c r="J200" s="3">
        <v>-111.63361</v>
      </c>
      <c r="K200" s="5">
        <v>85142</v>
      </c>
      <c r="L200" s="5">
        <f t="shared" si="6"/>
        <v>2009</v>
      </c>
      <c r="M200" s="5">
        <f t="shared" si="7"/>
        <v>39843</v>
      </c>
      <c r="N200" s="18">
        <v>0.43888888888888888</v>
      </c>
    </row>
    <row r="201" spans="1:14" x14ac:dyDescent="0.3">
      <c r="A201" s="6" t="s">
        <v>11</v>
      </c>
      <c r="B201" s="6">
        <v>1250</v>
      </c>
      <c r="C201" s="6" t="s">
        <v>17</v>
      </c>
      <c r="D201" s="6" t="s">
        <v>409</v>
      </c>
      <c r="E201" s="6" t="s">
        <v>408</v>
      </c>
      <c r="F201" s="6" t="s">
        <v>71</v>
      </c>
      <c r="G201" s="6" t="s">
        <v>16</v>
      </c>
      <c r="H201" s="7">
        <v>39843.445138888892</v>
      </c>
      <c r="I201" s="6">
        <v>33.248609999999999</v>
      </c>
      <c r="J201" s="6">
        <v>-111.63361</v>
      </c>
      <c r="K201" s="8">
        <v>85142</v>
      </c>
      <c r="L201" s="8">
        <f t="shared" si="6"/>
        <v>2009</v>
      </c>
      <c r="M201" s="8">
        <f t="shared" si="7"/>
        <v>39843</v>
      </c>
      <c r="N201" s="19">
        <v>0.50347222222222221</v>
      </c>
    </row>
    <row r="202" spans="1:14" x14ac:dyDescent="0.3">
      <c r="A202" s="3" t="s">
        <v>11</v>
      </c>
      <c r="B202" s="3">
        <v>1200</v>
      </c>
      <c r="C202" s="3" t="s">
        <v>12</v>
      </c>
      <c r="D202" s="3" t="s">
        <v>410</v>
      </c>
      <c r="E202" s="3" t="s">
        <v>411</v>
      </c>
      <c r="F202" s="3" t="s">
        <v>95</v>
      </c>
      <c r="G202" s="3" t="s">
        <v>16</v>
      </c>
      <c r="H202" s="4">
        <v>39843.448611111111</v>
      </c>
      <c r="I202" s="3">
        <v>35.99389</v>
      </c>
      <c r="J202" s="3">
        <v>-78.898889999999994</v>
      </c>
      <c r="K202" s="5">
        <v>27701</v>
      </c>
      <c r="L202" s="5">
        <f t="shared" si="6"/>
        <v>2009</v>
      </c>
      <c r="M202" s="5">
        <f t="shared" si="7"/>
        <v>39843</v>
      </c>
      <c r="N202" s="18">
        <v>0.28680555555555554</v>
      </c>
    </row>
    <row r="203" spans="1:14" x14ac:dyDescent="0.3">
      <c r="A203" s="6" t="s">
        <v>11</v>
      </c>
      <c r="B203" s="6">
        <v>1200</v>
      </c>
      <c r="C203" s="6" t="s">
        <v>17</v>
      </c>
      <c r="D203" s="6" t="s">
        <v>412</v>
      </c>
      <c r="E203" s="6" t="s">
        <v>315</v>
      </c>
      <c r="F203" s="6" t="s">
        <v>39</v>
      </c>
      <c r="G203" s="6" t="s">
        <v>16</v>
      </c>
      <c r="H203" s="7">
        <v>39843.552083333336</v>
      </c>
      <c r="I203" s="6">
        <v>30.266940000000002</v>
      </c>
      <c r="J203" s="6">
        <v>-97.742779999999996</v>
      </c>
      <c r="K203" s="8">
        <v>78701</v>
      </c>
      <c r="L203" s="8">
        <f t="shared" si="6"/>
        <v>2009</v>
      </c>
      <c r="M203" s="8">
        <f t="shared" si="7"/>
        <v>39843</v>
      </c>
      <c r="N203" s="19">
        <v>0.48472222222222222</v>
      </c>
    </row>
    <row r="204" spans="1:14" x14ac:dyDescent="0.3">
      <c r="A204" s="3" t="s">
        <v>11</v>
      </c>
      <c r="B204" s="3">
        <v>1200</v>
      </c>
      <c r="C204" s="3" t="s">
        <v>17</v>
      </c>
      <c r="D204" s="3" t="s">
        <v>413</v>
      </c>
      <c r="E204" s="3" t="s">
        <v>414</v>
      </c>
      <c r="F204" s="3" t="s">
        <v>106</v>
      </c>
      <c r="G204" s="3" t="s">
        <v>16</v>
      </c>
      <c r="H204" s="4">
        <v>39843.736111111109</v>
      </c>
      <c r="I204" s="3">
        <v>38.987499999999997</v>
      </c>
      <c r="J204" s="3">
        <v>-76.820830000000001</v>
      </c>
      <c r="K204" s="5">
        <v>20706</v>
      </c>
      <c r="L204" s="5">
        <f t="shared" si="6"/>
        <v>2009</v>
      </c>
      <c r="M204" s="5">
        <f t="shared" si="7"/>
        <v>39843</v>
      </c>
      <c r="N204" s="18">
        <v>5.486111111111111E-2</v>
      </c>
    </row>
    <row r="205" spans="1:14" x14ac:dyDescent="0.3">
      <c r="A205" s="6" t="s">
        <v>11</v>
      </c>
      <c r="B205" s="6">
        <v>1200</v>
      </c>
      <c r="C205" s="6" t="s">
        <v>12</v>
      </c>
      <c r="D205" s="6" t="s">
        <v>415</v>
      </c>
      <c r="E205" s="6" t="s">
        <v>416</v>
      </c>
      <c r="F205" s="6" t="s">
        <v>39</v>
      </c>
      <c r="G205" s="6" t="s">
        <v>16</v>
      </c>
      <c r="H205" s="7">
        <v>39844.199305555558</v>
      </c>
      <c r="I205" s="6">
        <v>26.301390000000001</v>
      </c>
      <c r="J205" s="6">
        <v>-98.163060000000002</v>
      </c>
      <c r="K205" s="8">
        <v>78539</v>
      </c>
      <c r="L205" s="5">
        <f t="shared" si="6"/>
        <v>2009</v>
      </c>
      <c r="M205" s="5">
        <f t="shared" si="7"/>
        <v>39844</v>
      </c>
      <c r="N205" s="18">
        <v>0.35833333333333334</v>
      </c>
    </row>
    <row r="206" spans="1:14" x14ac:dyDescent="0.3">
      <c r="A206" s="3" t="s">
        <v>11</v>
      </c>
      <c r="B206" s="3">
        <v>1200</v>
      </c>
      <c r="C206" s="3" t="s">
        <v>12</v>
      </c>
      <c r="D206" s="3" t="s">
        <v>417</v>
      </c>
      <c r="E206" s="3" t="s">
        <v>418</v>
      </c>
      <c r="F206" s="3" t="s">
        <v>220</v>
      </c>
      <c r="G206" s="3" t="s">
        <v>16</v>
      </c>
      <c r="H206" s="4">
        <v>39844.279861111114</v>
      </c>
      <c r="I206" s="3">
        <v>41.200830000000003</v>
      </c>
      <c r="J206" s="3">
        <v>-73.381110000000007</v>
      </c>
      <c r="K206" s="5">
        <v>6883</v>
      </c>
      <c r="L206" s="8">
        <f t="shared" si="6"/>
        <v>2009</v>
      </c>
      <c r="M206" s="8">
        <f t="shared" si="7"/>
        <v>39844</v>
      </c>
      <c r="N206" s="19">
        <v>0.30694444444444446</v>
      </c>
    </row>
    <row r="207" spans="1:14" x14ac:dyDescent="0.3">
      <c r="A207" s="6" t="s">
        <v>11</v>
      </c>
      <c r="B207" s="6">
        <v>1200</v>
      </c>
      <c r="C207" s="6" t="s">
        <v>17</v>
      </c>
      <c r="D207" s="6" t="s">
        <v>419</v>
      </c>
      <c r="E207" s="6" t="s">
        <v>222</v>
      </c>
      <c r="F207" s="6" t="s">
        <v>61</v>
      </c>
      <c r="G207" s="6" t="s">
        <v>16</v>
      </c>
      <c r="H207" s="7">
        <v>39844.390277777777</v>
      </c>
      <c r="I207" s="6">
        <v>25.712219999999999</v>
      </c>
      <c r="J207" s="6">
        <v>-80.257220000000004</v>
      </c>
      <c r="K207" s="8">
        <v>33133</v>
      </c>
      <c r="L207" s="5">
        <f t="shared" si="6"/>
        <v>2009</v>
      </c>
      <c r="M207" s="5">
        <f t="shared" si="7"/>
        <v>39844</v>
      </c>
      <c r="N207" s="18">
        <v>0.37222222222222223</v>
      </c>
    </row>
    <row r="208" spans="1:14" x14ac:dyDescent="0.3">
      <c r="A208" s="3" t="s">
        <v>11</v>
      </c>
      <c r="B208" s="3">
        <v>1200</v>
      </c>
      <c r="C208" s="3" t="s">
        <v>12</v>
      </c>
      <c r="D208" s="3" t="s">
        <v>420</v>
      </c>
      <c r="E208" s="3" t="s">
        <v>138</v>
      </c>
      <c r="F208" s="3" t="s">
        <v>50</v>
      </c>
      <c r="G208" s="3" t="s">
        <v>16</v>
      </c>
      <c r="H208" s="4">
        <v>39844.430555555555</v>
      </c>
      <c r="I208" s="3">
        <v>37.774999999999999</v>
      </c>
      <c r="J208" s="3">
        <v>-122.41833</v>
      </c>
      <c r="K208" s="5">
        <v>94103</v>
      </c>
      <c r="L208" s="8">
        <f t="shared" si="6"/>
        <v>2009</v>
      </c>
      <c r="M208" s="8">
        <f t="shared" si="7"/>
        <v>39844</v>
      </c>
      <c r="N208" s="19">
        <v>8.819444444444445E-2</v>
      </c>
    </row>
    <row r="209" spans="1:14" x14ac:dyDescent="0.3">
      <c r="A209" s="6" t="s">
        <v>21</v>
      </c>
      <c r="B209" s="6">
        <v>300000</v>
      </c>
      <c r="C209" s="6" t="s">
        <v>17</v>
      </c>
      <c r="D209" s="6" t="s">
        <v>421</v>
      </c>
      <c r="E209" s="6" t="s">
        <v>400</v>
      </c>
      <c r="F209" s="6" t="s">
        <v>71</v>
      </c>
      <c r="G209" s="6" t="s">
        <v>16</v>
      </c>
      <c r="H209" s="7">
        <v>39844.465277777781</v>
      </c>
      <c r="I209" s="6">
        <v>33.509169999999997</v>
      </c>
      <c r="J209" s="6">
        <v>-111.89833</v>
      </c>
      <c r="K209" s="8">
        <v>85251</v>
      </c>
      <c r="L209" s="5">
        <f t="shared" si="6"/>
        <v>2009</v>
      </c>
      <c r="M209" s="5">
        <f t="shared" si="7"/>
        <v>39844</v>
      </c>
      <c r="N209" s="18">
        <v>0.46805555555555556</v>
      </c>
    </row>
    <row r="210" spans="1:14" x14ac:dyDescent="0.3">
      <c r="A210" s="3" t="s">
        <v>11</v>
      </c>
      <c r="B210" s="3">
        <v>1200</v>
      </c>
      <c r="C210" s="3" t="s">
        <v>65</v>
      </c>
      <c r="D210" s="3" t="s">
        <v>422</v>
      </c>
      <c r="E210" s="3" t="s">
        <v>423</v>
      </c>
      <c r="F210" s="3" t="s">
        <v>68</v>
      </c>
      <c r="G210" s="3" t="s">
        <v>16</v>
      </c>
      <c r="H210" s="4">
        <v>39844.474999999999</v>
      </c>
      <c r="I210" s="3">
        <v>39.049999999999997</v>
      </c>
      <c r="J210" s="3">
        <v>-77.401110000000003</v>
      </c>
      <c r="K210" s="5">
        <v>20165</v>
      </c>
      <c r="L210" s="8">
        <f t="shared" si="6"/>
        <v>2009</v>
      </c>
      <c r="M210" s="8">
        <f t="shared" si="7"/>
        <v>39844</v>
      </c>
      <c r="N210" s="19">
        <v>0.41458333333333336</v>
      </c>
    </row>
    <row r="211" spans="1:14" x14ac:dyDescent="0.3">
      <c r="A211" s="6" t="s">
        <v>11</v>
      </c>
      <c r="B211" s="6">
        <v>1200</v>
      </c>
      <c r="C211" s="6" t="s">
        <v>17</v>
      </c>
      <c r="D211" s="6" t="s">
        <v>424</v>
      </c>
      <c r="E211" s="6" t="s">
        <v>425</v>
      </c>
      <c r="F211" s="6" t="s">
        <v>132</v>
      </c>
      <c r="G211" s="6" t="s">
        <v>16</v>
      </c>
      <c r="H211" s="7">
        <v>39844.553472222222</v>
      </c>
      <c r="I211" s="6">
        <v>39.977780000000003</v>
      </c>
      <c r="J211" s="6">
        <v>-105.13139</v>
      </c>
      <c r="K211" s="8">
        <v>80027</v>
      </c>
      <c r="L211" s="5">
        <f t="shared" si="6"/>
        <v>2009</v>
      </c>
      <c r="M211" s="5">
        <f t="shared" si="7"/>
        <v>39844</v>
      </c>
      <c r="N211" s="18">
        <v>5.5555555555555552E-2</v>
      </c>
    </row>
    <row r="212" spans="1:14" x14ac:dyDescent="0.3">
      <c r="A212" s="3" t="s">
        <v>11</v>
      </c>
      <c r="B212" s="3">
        <v>1200</v>
      </c>
      <c r="C212" s="3" t="s">
        <v>17</v>
      </c>
      <c r="D212" s="3" t="s">
        <v>426</v>
      </c>
      <c r="E212" s="3" t="s">
        <v>427</v>
      </c>
      <c r="F212" s="3" t="s">
        <v>68</v>
      </c>
      <c r="G212" s="3" t="s">
        <v>16</v>
      </c>
      <c r="H212" s="4">
        <v>39844.647916666669</v>
      </c>
      <c r="I212" s="3">
        <v>38.804720000000003</v>
      </c>
      <c r="J212" s="3">
        <v>-77.047219999999996</v>
      </c>
      <c r="K212" s="5">
        <v>22314</v>
      </c>
      <c r="L212" s="5">
        <f t="shared" si="6"/>
        <v>2009</v>
      </c>
      <c r="M212" s="5">
        <f t="shared" si="7"/>
        <v>39844</v>
      </c>
      <c r="N212" s="18">
        <v>0.25624999999999998</v>
      </c>
    </row>
    <row r="213" spans="1:14" x14ac:dyDescent="0.3">
      <c r="A213" s="6" t="s">
        <v>11</v>
      </c>
      <c r="B213" s="6">
        <v>1200</v>
      </c>
      <c r="C213" s="6" t="s">
        <v>17</v>
      </c>
      <c r="D213" s="6" t="s">
        <v>428</v>
      </c>
      <c r="E213" s="6" t="s">
        <v>429</v>
      </c>
      <c r="F213" s="6" t="s">
        <v>68</v>
      </c>
      <c r="G213" s="6" t="s">
        <v>16</v>
      </c>
      <c r="H213" s="7">
        <v>39844.804166666669</v>
      </c>
      <c r="I213" s="6">
        <v>37.205559999999998</v>
      </c>
      <c r="J213" s="6">
        <v>-80.037779999999998</v>
      </c>
      <c r="K213" s="8">
        <v>24018</v>
      </c>
      <c r="L213" s="8">
        <f t="shared" si="6"/>
        <v>2009</v>
      </c>
      <c r="M213" s="8">
        <f t="shared" si="7"/>
        <v>39844</v>
      </c>
      <c r="N213" s="19">
        <v>0.30138888888888887</v>
      </c>
    </row>
    <row r="214" spans="1:14" x14ac:dyDescent="0.3">
      <c r="A214" s="3" t="s">
        <v>11</v>
      </c>
      <c r="B214" s="3">
        <v>1200</v>
      </c>
      <c r="C214" s="3" t="s">
        <v>12</v>
      </c>
      <c r="D214" s="3" t="s">
        <v>430</v>
      </c>
      <c r="E214" s="3" t="s">
        <v>431</v>
      </c>
      <c r="F214" s="3" t="s">
        <v>80</v>
      </c>
      <c r="G214" s="3" t="s">
        <v>16</v>
      </c>
      <c r="H214" s="4">
        <v>39844.813194444447</v>
      </c>
      <c r="I214" s="3">
        <v>33.941110000000002</v>
      </c>
      <c r="J214" s="3">
        <v>-84.213610000000003</v>
      </c>
      <c r="K214" s="5">
        <v>30071</v>
      </c>
      <c r="L214" s="5">
        <f t="shared" si="6"/>
        <v>2009</v>
      </c>
      <c r="M214" s="5">
        <f t="shared" si="7"/>
        <v>39844</v>
      </c>
      <c r="N214" s="18">
        <v>0.46180555555555558</v>
      </c>
    </row>
    <row r="215" spans="1:14" x14ac:dyDescent="0.3">
      <c r="A215" s="6" t="s">
        <v>11</v>
      </c>
      <c r="B215" s="6">
        <v>1200</v>
      </c>
      <c r="C215" s="6" t="s">
        <v>65</v>
      </c>
      <c r="D215" s="6" t="s">
        <v>432</v>
      </c>
      <c r="E215" s="6" t="s">
        <v>433</v>
      </c>
      <c r="F215" s="6" t="s">
        <v>80</v>
      </c>
      <c r="G215" s="6" t="s">
        <v>16</v>
      </c>
      <c r="H215" s="7">
        <v>39844.866666666669</v>
      </c>
      <c r="I215" s="6">
        <v>34.023060000000001</v>
      </c>
      <c r="J215" s="6">
        <v>-84.361670000000004</v>
      </c>
      <c r="K215" s="8">
        <v>30075</v>
      </c>
      <c r="L215" s="8">
        <f t="shared" si="6"/>
        <v>2009</v>
      </c>
      <c r="M215" s="8">
        <f t="shared" si="7"/>
        <v>39844</v>
      </c>
      <c r="N215" s="19">
        <v>0.13333333333333333</v>
      </c>
    </row>
    <row r="216" spans="1:14" x14ac:dyDescent="0.3">
      <c r="A216" s="3" t="s">
        <v>11</v>
      </c>
      <c r="B216" s="3">
        <v>1200</v>
      </c>
      <c r="C216" s="3" t="s">
        <v>12</v>
      </c>
      <c r="D216" s="3" t="s">
        <v>434</v>
      </c>
      <c r="E216" s="3" t="s">
        <v>435</v>
      </c>
      <c r="F216" s="3" t="s">
        <v>68</v>
      </c>
      <c r="G216" s="3" t="s">
        <v>16</v>
      </c>
      <c r="H216" s="4">
        <v>39844.929861111108</v>
      </c>
      <c r="I216" s="3">
        <v>38.795560000000002</v>
      </c>
      <c r="J216" s="3">
        <v>-77.614170000000001</v>
      </c>
      <c r="K216" s="5">
        <v>20155</v>
      </c>
      <c r="L216" s="5">
        <f t="shared" si="6"/>
        <v>2009</v>
      </c>
      <c r="M216" s="5">
        <f t="shared" si="7"/>
        <v>39844</v>
      </c>
      <c r="N216" s="18">
        <v>0.4152777777777778</v>
      </c>
    </row>
    <row r="217" spans="1:14" x14ac:dyDescent="0.3">
      <c r="A217" s="6" t="s">
        <v>11</v>
      </c>
      <c r="B217" s="6">
        <v>1200</v>
      </c>
      <c r="C217" s="6" t="s">
        <v>12</v>
      </c>
      <c r="D217" s="6" t="s">
        <v>436</v>
      </c>
      <c r="E217" s="6" t="s">
        <v>334</v>
      </c>
      <c r="F217" s="6" t="s">
        <v>217</v>
      </c>
      <c r="G217" s="6" t="s">
        <v>16</v>
      </c>
      <c r="H217" s="7">
        <v>39845.316666666666</v>
      </c>
      <c r="I217" s="6">
        <v>42.415280000000003</v>
      </c>
      <c r="J217" s="6">
        <v>-71.156940000000006</v>
      </c>
      <c r="K217" s="8">
        <v>2476</v>
      </c>
      <c r="L217" s="8">
        <f t="shared" si="6"/>
        <v>2009</v>
      </c>
      <c r="M217" s="8">
        <f t="shared" si="7"/>
        <v>39845</v>
      </c>
      <c r="N217" s="19">
        <v>0.11805555555555555</v>
      </c>
    </row>
    <row r="218" spans="1:14" x14ac:dyDescent="0.3">
      <c r="A218" s="3" t="s">
        <v>11</v>
      </c>
      <c r="B218" s="3">
        <v>1200</v>
      </c>
      <c r="C218" s="3" t="s">
        <v>12</v>
      </c>
      <c r="D218" s="3" t="s">
        <v>437</v>
      </c>
      <c r="E218" s="3" t="s">
        <v>438</v>
      </c>
      <c r="F218" s="3" t="s">
        <v>50</v>
      </c>
      <c r="G218" s="3" t="s">
        <v>16</v>
      </c>
      <c r="H218" s="4">
        <v>39845.347222222219</v>
      </c>
      <c r="I218" s="3">
        <v>34.20111</v>
      </c>
      <c r="J218" s="3">
        <v>-118.59721999999999</v>
      </c>
      <c r="K218" s="5">
        <v>91303</v>
      </c>
      <c r="L218" s="5">
        <f t="shared" si="6"/>
        <v>2009</v>
      </c>
      <c r="M218" s="5">
        <f t="shared" si="7"/>
        <v>39845</v>
      </c>
      <c r="N218" s="18">
        <v>7.5694444444444439E-2</v>
      </c>
    </row>
    <row r="219" spans="1:14" x14ac:dyDescent="0.3">
      <c r="A219" s="6" t="s">
        <v>11</v>
      </c>
      <c r="B219" s="6">
        <v>1200</v>
      </c>
      <c r="C219" s="6" t="s">
        <v>17</v>
      </c>
      <c r="D219" s="6" t="s">
        <v>439</v>
      </c>
      <c r="E219" s="6" t="s">
        <v>440</v>
      </c>
      <c r="F219" s="6" t="s">
        <v>50</v>
      </c>
      <c r="G219" s="6" t="s">
        <v>16</v>
      </c>
      <c r="H219" s="7">
        <v>39845.387499999997</v>
      </c>
      <c r="I219" s="6">
        <v>37.339440000000003</v>
      </c>
      <c r="J219" s="6">
        <v>-121.89389</v>
      </c>
      <c r="K219" s="8">
        <v>95113</v>
      </c>
      <c r="L219" s="5">
        <f t="shared" si="6"/>
        <v>2009</v>
      </c>
      <c r="M219" s="5">
        <f t="shared" si="7"/>
        <v>39845</v>
      </c>
      <c r="N219" s="18">
        <v>0.32013888888888886</v>
      </c>
    </row>
    <row r="220" spans="1:14" x14ac:dyDescent="0.3">
      <c r="A220" s="3" t="s">
        <v>11</v>
      </c>
      <c r="B220" s="3">
        <v>1200</v>
      </c>
      <c r="C220" s="3" t="s">
        <v>12</v>
      </c>
      <c r="D220" s="3" t="s">
        <v>441</v>
      </c>
      <c r="E220" s="3" t="s">
        <v>442</v>
      </c>
      <c r="F220" s="3" t="s">
        <v>115</v>
      </c>
      <c r="G220" s="3" t="s">
        <v>16</v>
      </c>
      <c r="H220" s="4">
        <v>39845.410416666666</v>
      </c>
      <c r="I220" s="3">
        <v>42.459440000000001</v>
      </c>
      <c r="J220" s="3">
        <v>-83.182779999999994</v>
      </c>
      <c r="K220" s="5">
        <v>48237</v>
      </c>
      <c r="L220" s="8">
        <f t="shared" si="6"/>
        <v>2009</v>
      </c>
      <c r="M220" s="8">
        <f t="shared" si="7"/>
        <v>39845</v>
      </c>
      <c r="N220" s="19">
        <v>0.40347222222222223</v>
      </c>
    </row>
    <row r="221" spans="1:14" x14ac:dyDescent="0.3">
      <c r="A221" s="6" t="s">
        <v>11</v>
      </c>
      <c r="B221" s="6">
        <v>1200</v>
      </c>
      <c r="C221" s="6" t="s">
        <v>12</v>
      </c>
      <c r="D221" s="6" t="s">
        <v>443</v>
      </c>
      <c r="E221" s="6" t="s">
        <v>444</v>
      </c>
      <c r="F221" s="6" t="s">
        <v>39</v>
      </c>
      <c r="G221" s="6" t="s">
        <v>16</v>
      </c>
      <c r="H221" s="7">
        <v>39845.42083333333</v>
      </c>
      <c r="I221" s="6">
        <v>29.42389</v>
      </c>
      <c r="J221" s="6">
        <v>-98.49333</v>
      </c>
      <c r="K221" s="8">
        <v>78205</v>
      </c>
      <c r="L221" s="5">
        <f t="shared" si="6"/>
        <v>2009</v>
      </c>
      <c r="M221" s="5">
        <f t="shared" si="7"/>
        <v>39845</v>
      </c>
      <c r="N221" s="18">
        <v>0.17152777777777778</v>
      </c>
    </row>
    <row r="222" spans="1:14" x14ac:dyDescent="0.3">
      <c r="A222" s="3" t="s">
        <v>11</v>
      </c>
      <c r="B222" s="3">
        <v>1200</v>
      </c>
      <c r="C222" s="3" t="s">
        <v>12</v>
      </c>
      <c r="D222" s="3" t="s">
        <v>445</v>
      </c>
      <c r="E222" s="3" t="s">
        <v>446</v>
      </c>
      <c r="F222" s="3" t="s">
        <v>68</v>
      </c>
      <c r="G222" s="3" t="s">
        <v>16</v>
      </c>
      <c r="H222" s="4">
        <v>39845.481249999997</v>
      </c>
      <c r="I222" s="3">
        <v>38.323889999999999</v>
      </c>
      <c r="J222" s="3">
        <v>-77.468609999999998</v>
      </c>
      <c r="K222" s="5">
        <v>22405</v>
      </c>
      <c r="L222" s="8">
        <f t="shared" si="6"/>
        <v>2009</v>
      </c>
      <c r="M222" s="8">
        <f t="shared" si="7"/>
        <v>39845</v>
      </c>
      <c r="N222" s="19">
        <v>0.36388888888888887</v>
      </c>
    </row>
    <row r="223" spans="1:14" x14ac:dyDescent="0.3">
      <c r="A223" s="6" t="s">
        <v>11</v>
      </c>
      <c r="B223" s="6">
        <v>1200</v>
      </c>
      <c r="C223" s="6" t="s">
        <v>12</v>
      </c>
      <c r="D223" s="6" t="s">
        <v>447</v>
      </c>
      <c r="E223" s="6" t="s">
        <v>448</v>
      </c>
      <c r="F223" s="6" t="s">
        <v>39</v>
      </c>
      <c r="G223" s="6" t="s">
        <v>16</v>
      </c>
      <c r="H223" s="7">
        <v>39845.495138888888</v>
      </c>
      <c r="I223" s="6">
        <v>29.581939999999999</v>
      </c>
      <c r="J223" s="6">
        <v>-95.760559999999998</v>
      </c>
      <c r="K223" s="8">
        <v>77469</v>
      </c>
      <c r="L223" s="5">
        <f t="shared" si="6"/>
        <v>2009</v>
      </c>
      <c r="M223" s="5">
        <f t="shared" si="7"/>
        <v>39845</v>
      </c>
      <c r="N223" s="18">
        <v>0.36944444444444446</v>
      </c>
    </row>
    <row r="224" spans="1:14" x14ac:dyDescent="0.3">
      <c r="A224" s="3" t="s">
        <v>11</v>
      </c>
      <c r="B224" s="3">
        <v>1200</v>
      </c>
      <c r="C224" s="3" t="s">
        <v>12</v>
      </c>
      <c r="D224" s="3" t="s">
        <v>449</v>
      </c>
      <c r="E224" s="3" t="s">
        <v>450</v>
      </c>
      <c r="F224" s="3" t="s">
        <v>33</v>
      </c>
      <c r="G224" s="3" t="s">
        <v>16</v>
      </c>
      <c r="H224" s="4">
        <v>39845.57708333333</v>
      </c>
      <c r="I224" s="3">
        <v>35.075000000000003</v>
      </c>
      <c r="J224" s="3">
        <v>-85.062219999999996</v>
      </c>
      <c r="K224" s="5">
        <v>37363</v>
      </c>
      <c r="L224" s="8">
        <f t="shared" si="6"/>
        <v>2009</v>
      </c>
      <c r="M224" s="8">
        <f t="shared" si="7"/>
        <v>39845</v>
      </c>
      <c r="N224" s="19">
        <v>0.3</v>
      </c>
    </row>
    <row r="225" spans="1:14" x14ac:dyDescent="0.3">
      <c r="A225" s="6" t="s">
        <v>11</v>
      </c>
      <c r="B225" s="6">
        <v>1200</v>
      </c>
      <c r="C225" s="6" t="s">
        <v>17</v>
      </c>
      <c r="D225" s="6" t="s">
        <v>451</v>
      </c>
      <c r="E225" s="6" t="s">
        <v>452</v>
      </c>
      <c r="F225" s="6" t="s">
        <v>50</v>
      </c>
      <c r="G225" s="6" t="s">
        <v>16</v>
      </c>
      <c r="H225" s="7">
        <v>39845.602777777778</v>
      </c>
      <c r="I225" s="6">
        <v>32.797780000000003</v>
      </c>
      <c r="J225" s="6">
        <v>-117.23944</v>
      </c>
      <c r="K225" s="8">
        <v>92109</v>
      </c>
      <c r="L225" s="5">
        <f t="shared" si="6"/>
        <v>2009</v>
      </c>
      <c r="M225" s="5">
        <f t="shared" si="7"/>
        <v>39845</v>
      </c>
      <c r="N225" s="18">
        <v>0.52847222222222223</v>
      </c>
    </row>
    <row r="226" spans="1:14" x14ac:dyDescent="0.3">
      <c r="A226" s="3" t="s">
        <v>11</v>
      </c>
      <c r="B226" s="3">
        <v>1200</v>
      </c>
      <c r="C226" s="3" t="s">
        <v>12</v>
      </c>
      <c r="D226" s="3" t="s">
        <v>453</v>
      </c>
      <c r="E226" s="3" t="s">
        <v>315</v>
      </c>
      <c r="F226" s="3" t="s">
        <v>39</v>
      </c>
      <c r="G226" s="3" t="s">
        <v>16</v>
      </c>
      <c r="H226" s="4">
        <v>39845.625</v>
      </c>
      <c r="I226" s="3">
        <v>30.266940000000002</v>
      </c>
      <c r="J226" s="3">
        <v>-97.742779999999996</v>
      </c>
      <c r="K226" s="5">
        <v>78701</v>
      </c>
      <c r="L226" s="5">
        <f t="shared" si="6"/>
        <v>2009</v>
      </c>
      <c r="M226" s="5">
        <f t="shared" si="7"/>
        <v>39845</v>
      </c>
      <c r="N226" s="18">
        <v>0.37430555555555556</v>
      </c>
    </row>
    <row r="227" spans="1:14" x14ac:dyDescent="0.3">
      <c r="A227" s="6" t="s">
        <v>11</v>
      </c>
      <c r="B227" s="6">
        <v>1200</v>
      </c>
      <c r="C227" s="6" t="s">
        <v>12</v>
      </c>
      <c r="D227" s="6" t="s">
        <v>454</v>
      </c>
      <c r="E227" s="6" t="s">
        <v>200</v>
      </c>
      <c r="F227" s="6" t="s">
        <v>169</v>
      </c>
      <c r="G227" s="6" t="s">
        <v>16</v>
      </c>
      <c r="H227" s="7">
        <v>39845.643750000003</v>
      </c>
      <c r="I227" s="6">
        <v>47.606389999999998</v>
      </c>
      <c r="J227" s="6">
        <v>-122.33083000000001</v>
      </c>
      <c r="K227" s="8">
        <v>98104</v>
      </c>
      <c r="L227" s="8">
        <f t="shared" si="6"/>
        <v>2009</v>
      </c>
      <c r="M227" s="8">
        <f t="shared" si="7"/>
        <v>39845</v>
      </c>
      <c r="N227" s="19">
        <v>0.4</v>
      </c>
    </row>
    <row r="228" spans="1:14" x14ac:dyDescent="0.3">
      <c r="A228" s="3" t="s">
        <v>11</v>
      </c>
      <c r="B228" s="3">
        <v>1200</v>
      </c>
      <c r="C228" s="3" t="s">
        <v>12</v>
      </c>
      <c r="D228" s="3" t="s">
        <v>455</v>
      </c>
      <c r="E228" s="3" t="s">
        <v>200</v>
      </c>
      <c r="F228" s="3" t="s">
        <v>169</v>
      </c>
      <c r="G228" s="3" t="s">
        <v>16</v>
      </c>
      <c r="H228" s="4">
        <v>39845.669444444444</v>
      </c>
      <c r="I228" s="3">
        <v>47.606389999999998</v>
      </c>
      <c r="J228" s="3">
        <v>-122.33083000000001</v>
      </c>
      <c r="K228" s="5">
        <v>98104</v>
      </c>
      <c r="L228" s="5">
        <f t="shared" si="6"/>
        <v>2009</v>
      </c>
      <c r="M228" s="5">
        <f t="shared" si="7"/>
        <v>39845</v>
      </c>
      <c r="N228" s="18">
        <v>0.33263888888888887</v>
      </c>
    </row>
    <row r="229" spans="1:14" x14ac:dyDescent="0.3">
      <c r="A229" s="6" t="s">
        <v>11</v>
      </c>
      <c r="B229" s="6">
        <v>1200</v>
      </c>
      <c r="C229" s="6" t="s">
        <v>12</v>
      </c>
      <c r="D229" s="6" t="s">
        <v>456</v>
      </c>
      <c r="E229" s="6" t="s">
        <v>224</v>
      </c>
      <c r="F229" s="6" t="s">
        <v>68</v>
      </c>
      <c r="G229" s="6" t="s">
        <v>16</v>
      </c>
      <c r="H229" s="7">
        <v>39845.879861111112</v>
      </c>
      <c r="I229" s="6">
        <v>38.901110000000003</v>
      </c>
      <c r="J229" s="6">
        <v>-77.265559999999994</v>
      </c>
      <c r="K229" s="8">
        <v>22180</v>
      </c>
      <c r="L229" s="8">
        <f t="shared" si="6"/>
        <v>2009</v>
      </c>
      <c r="M229" s="8">
        <f t="shared" si="7"/>
        <v>39845</v>
      </c>
      <c r="N229" s="19">
        <v>0.37986111111111109</v>
      </c>
    </row>
    <row r="230" spans="1:14" x14ac:dyDescent="0.3">
      <c r="A230" s="3" t="s">
        <v>11</v>
      </c>
      <c r="B230" s="3">
        <v>1200</v>
      </c>
      <c r="C230" s="3" t="s">
        <v>12</v>
      </c>
      <c r="D230" s="3" t="s">
        <v>457</v>
      </c>
      <c r="E230" s="3" t="s">
        <v>458</v>
      </c>
      <c r="F230" s="3" t="s">
        <v>50</v>
      </c>
      <c r="G230" s="3" t="s">
        <v>16</v>
      </c>
      <c r="H230" s="4">
        <v>39846.255555555559</v>
      </c>
      <c r="I230" s="3">
        <v>37.54833</v>
      </c>
      <c r="J230" s="3">
        <v>-121.9875</v>
      </c>
      <c r="K230" s="5">
        <v>94538</v>
      </c>
      <c r="L230" s="5">
        <f t="shared" si="6"/>
        <v>2009</v>
      </c>
      <c r="M230" s="5">
        <f t="shared" si="7"/>
        <v>39846</v>
      </c>
      <c r="N230" s="18">
        <v>0.34097222222222223</v>
      </c>
    </row>
    <row r="231" spans="1:14" x14ac:dyDescent="0.3">
      <c r="A231" s="6" t="s">
        <v>11</v>
      </c>
      <c r="B231" s="6">
        <v>1200</v>
      </c>
      <c r="C231" s="6" t="s">
        <v>65</v>
      </c>
      <c r="D231" s="6" t="s">
        <v>459</v>
      </c>
      <c r="E231" s="6" t="s">
        <v>460</v>
      </c>
      <c r="F231" s="6" t="s">
        <v>27</v>
      </c>
      <c r="G231" s="6" t="s">
        <v>16</v>
      </c>
      <c r="H231" s="7">
        <v>39846.291666666664</v>
      </c>
      <c r="I231" s="6">
        <v>40.344999999999999</v>
      </c>
      <c r="J231" s="6">
        <v>-74.184439999999995</v>
      </c>
      <c r="K231" s="8">
        <v>7733</v>
      </c>
      <c r="L231" s="8">
        <f t="shared" si="6"/>
        <v>2009</v>
      </c>
      <c r="M231" s="8">
        <f t="shared" si="7"/>
        <v>39846</v>
      </c>
      <c r="N231" s="19">
        <v>0.41111111111111109</v>
      </c>
    </row>
    <row r="232" spans="1:14" x14ac:dyDescent="0.3">
      <c r="A232" s="3" t="s">
        <v>11</v>
      </c>
      <c r="B232" s="3">
        <v>1200</v>
      </c>
      <c r="C232" s="3" t="s">
        <v>12</v>
      </c>
      <c r="D232" s="3" t="s">
        <v>461</v>
      </c>
      <c r="E232" s="3" t="s">
        <v>462</v>
      </c>
      <c r="F232" s="3" t="s">
        <v>106</v>
      </c>
      <c r="G232" s="3" t="s">
        <v>16</v>
      </c>
      <c r="H232" s="4">
        <v>39846.334027777775</v>
      </c>
      <c r="I232" s="3">
        <v>39.272500000000001</v>
      </c>
      <c r="J232" s="3">
        <v>-76.531670000000005</v>
      </c>
      <c r="K232" s="5">
        <v>21224</v>
      </c>
      <c r="L232" s="5">
        <f t="shared" si="6"/>
        <v>2009</v>
      </c>
      <c r="M232" s="5">
        <f t="shared" si="7"/>
        <v>39846</v>
      </c>
      <c r="N232" s="18">
        <v>0.49583333333333335</v>
      </c>
    </row>
    <row r="233" spans="1:14" x14ac:dyDescent="0.3">
      <c r="A233" s="6" t="s">
        <v>11</v>
      </c>
      <c r="B233" s="6">
        <v>1200</v>
      </c>
      <c r="C233" s="6" t="s">
        <v>17</v>
      </c>
      <c r="D233" s="6" t="s">
        <v>463</v>
      </c>
      <c r="E233" s="6" t="s">
        <v>464</v>
      </c>
      <c r="F233" s="6" t="s">
        <v>217</v>
      </c>
      <c r="G233" s="6" t="s">
        <v>16</v>
      </c>
      <c r="H233" s="7">
        <v>39846.370138888888</v>
      </c>
      <c r="I233" s="6">
        <v>42.658329999999999</v>
      </c>
      <c r="J233" s="6">
        <v>-71.137500000000003</v>
      </c>
      <c r="K233" s="8">
        <v>1810</v>
      </c>
      <c r="L233" s="5">
        <f t="shared" si="6"/>
        <v>2009</v>
      </c>
      <c r="M233" s="5">
        <f t="shared" si="7"/>
        <v>39846</v>
      </c>
      <c r="N233" s="18">
        <v>0.49236111111111114</v>
      </c>
    </row>
    <row r="234" spans="1:14" x14ac:dyDescent="0.3">
      <c r="A234" s="3" t="s">
        <v>11</v>
      </c>
      <c r="B234" s="3">
        <v>1200</v>
      </c>
      <c r="C234" s="3" t="s">
        <v>17</v>
      </c>
      <c r="D234" s="3" t="s">
        <v>465</v>
      </c>
      <c r="E234" s="3" t="s">
        <v>466</v>
      </c>
      <c r="F234" s="3" t="s">
        <v>50</v>
      </c>
      <c r="G234" s="3" t="s">
        <v>16</v>
      </c>
      <c r="H234" s="4">
        <v>39846.435416666667</v>
      </c>
      <c r="I234" s="3">
        <v>34.224170000000001</v>
      </c>
      <c r="J234" s="3">
        <v>-118.23917</v>
      </c>
      <c r="K234" s="5">
        <v>91214</v>
      </c>
      <c r="L234" s="8">
        <f t="shared" si="6"/>
        <v>2009</v>
      </c>
      <c r="M234" s="8">
        <f t="shared" si="7"/>
        <v>39846</v>
      </c>
      <c r="N234" s="19">
        <v>0.39930555555555558</v>
      </c>
    </row>
    <row r="235" spans="1:14" x14ac:dyDescent="0.3">
      <c r="A235" s="6" t="s">
        <v>11</v>
      </c>
      <c r="B235" s="6">
        <v>1200</v>
      </c>
      <c r="C235" s="6" t="s">
        <v>17</v>
      </c>
      <c r="D235" s="6" t="s">
        <v>467</v>
      </c>
      <c r="E235" s="6" t="s">
        <v>468</v>
      </c>
      <c r="F235" s="6" t="s">
        <v>80</v>
      </c>
      <c r="G235" s="6" t="s">
        <v>16</v>
      </c>
      <c r="H235" s="7">
        <v>39846.550694444442</v>
      </c>
      <c r="I235" s="6">
        <v>34.051389999999998</v>
      </c>
      <c r="J235" s="6">
        <v>-84.071389999999994</v>
      </c>
      <c r="K235" s="8">
        <v>30024</v>
      </c>
      <c r="L235" s="5">
        <f t="shared" si="6"/>
        <v>2009</v>
      </c>
      <c r="M235" s="5">
        <f t="shared" si="7"/>
        <v>39846</v>
      </c>
      <c r="N235" s="18">
        <v>0.24861111111111112</v>
      </c>
    </row>
    <row r="236" spans="1:14" x14ac:dyDescent="0.3">
      <c r="A236" s="3" t="s">
        <v>21</v>
      </c>
      <c r="B236" s="3">
        <v>3600</v>
      </c>
      <c r="C236" s="3" t="s">
        <v>12</v>
      </c>
      <c r="D236" s="3" t="s">
        <v>469</v>
      </c>
      <c r="E236" s="3" t="s">
        <v>200</v>
      </c>
      <c r="F236" s="3" t="s">
        <v>169</v>
      </c>
      <c r="G236" s="3" t="s">
        <v>16</v>
      </c>
      <c r="H236" s="4">
        <v>39846.595138888886</v>
      </c>
      <c r="I236" s="3">
        <v>47.606389999999998</v>
      </c>
      <c r="J236" s="3">
        <v>-122.33083000000001</v>
      </c>
      <c r="K236" s="5">
        <v>98104</v>
      </c>
      <c r="L236" s="8">
        <f t="shared" si="6"/>
        <v>2009</v>
      </c>
      <c r="M236" s="8">
        <f t="shared" si="7"/>
        <v>39846</v>
      </c>
      <c r="N236" s="19">
        <v>0.17222222222222222</v>
      </c>
    </row>
    <row r="237" spans="1:14" x14ac:dyDescent="0.3">
      <c r="A237" s="6" t="s">
        <v>11</v>
      </c>
      <c r="B237" s="6">
        <v>1200</v>
      </c>
      <c r="C237" s="6" t="s">
        <v>65</v>
      </c>
      <c r="D237" s="6" t="s">
        <v>470</v>
      </c>
      <c r="E237" s="6" t="s">
        <v>334</v>
      </c>
      <c r="F237" s="6" t="s">
        <v>68</v>
      </c>
      <c r="G237" s="6" t="s">
        <v>16</v>
      </c>
      <c r="H237" s="7">
        <v>39846.675694444442</v>
      </c>
      <c r="I237" s="6">
        <v>38.890279999999997</v>
      </c>
      <c r="J237" s="6">
        <v>-77.084440000000001</v>
      </c>
      <c r="K237" s="8">
        <v>22201</v>
      </c>
      <c r="L237" s="5">
        <f t="shared" si="6"/>
        <v>2009</v>
      </c>
      <c r="M237" s="5">
        <f t="shared" si="7"/>
        <v>39846</v>
      </c>
      <c r="N237" s="18">
        <v>0.43402777777777779</v>
      </c>
    </row>
    <row r="238" spans="1:14" x14ac:dyDescent="0.3">
      <c r="A238" s="3" t="s">
        <v>11</v>
      </c>
      <c r="B238" s="3">
        <v>1200</v>
      </c>
      <c r="C238" s="3" t="s">
        <v>12</v>
      </c>
      <c r="D238" s="3" t="s">
        <v>471</v>
      </c>
      <c r="E238" s="3" t="s">
        <v>472</v>
      </c>
      <c r="F238" s="3" t="s">
        <v>169</v>
      </c>
      <c r="G238" s="3" t="s">
        <v>16</v>
      </c>
      <c r="H238" s="4">
        <v>39846.851388888892</v>
      </c>
      <c r="I238" s="3">
        <v>47.7575</v>
      </c>
      <c r="J238" s="3">
        <v>-122.24278</v>
      </c>
      <c r="K238" s="5">
        <v>98028</v>
      </c>
      <c r="L238" s="8">
        <f t="shared" si="6"/>
        <v>2009</v>
      </c>
      <c r="M238" s="8">
        <f t="shared" si="7"/>
        <v>39846</v>
      </c>
      <c r="N238" s="19">
        <v>0.36319444444444443</v>
      </c>
    </row>
    <row r="239" spans="1:14" x14ac:dyDescent="0.3">
      <c r="A239" s="6" t="s">
        <v>11</v>
      </c>
      <c r="B239" s="6">
        <v>1200</v>
      </c>
      <c r="C239" s="6" t="s">
        <v>12</v>
      </c>
      <c r="D239" s="6" t="s">
        <v>473</v>
      </c>
      <c r="E239" s="6" t="s">
        <v>474</v>
      </c>
      <c r="F239" s="6" t="s">
        <v>50</v>
      </c>
      <c r="G239" s="6" t="s">
        <v>16</v>
      </c>
      <c r="H239" s="7">
        <v>39846.857638888891</v>
      </c>
      <c r="I239" s="6">
        <v>36.747779999999999</v>
      </c>
      <c r="J239" s="6">
        <v>-119.77139</v>
      </c>
      <c r="K239" s="8">
        <v>93702</v>
      </c>
      <c r="L239" s="5">
        <f t="shared" si="6"/>
        <v>2009</v>
      </c>
      <c r="M239" s="5">
        <f t="shared" si="7"/>
        <v>39846</v>
      </c>
      <c r="N239" s="18">
        <v>0.14027777777777778</v>
      </c>
    </row>
    <row r="240" spans="1:14" x14ac:dyDescent="0.3">
      <c r="A240" s="3" t="s">
        <v>11</v>
      </c>
      <c r="B240" s="3">
        <v>1200</v>
      </c>
      <c r="C240" s="3" t="s">
        <v>65</v>
      </c>
      <c r="D240" s="3" t="s">
        <v>473</v>
      </c>
      <c r="E240" s="3" t="s">
        <v>475</v>
      </c>
      <c r="F240" s="3" t="s">
        <v>50</v>
      </c>
      <c r="G240" s="3" t="s">
        <v>16</v>
      </c>
      <c r="H240" s="4">
        <v>39846.950694444444</v>
      </c>
      <c r="I240" s="3">
        <v>35.489440000000002</v>
      </c>
      <c r="J240" s="3">
        <v>-120.66972</v>
      </c>
      <c r="K240" s="5">
        <v>93422</v>
      </c>
      <c r="L240" s="5">
        <f t="shared" si="6"/>
        <v>2009</v>
      </c>
      <c r="M240" s="5">
        <f t="shared" si="7"/>
        <v>39846</v>
      </c>
      <c r="N240" s="18">
        <v>0.47013888888888888</v>
      </c>
    </row>
    <row r="241" spans="1:14" x14ac:dyDescent="0.3">
      <c r="A241" s="6" t="s">
        <v>11</v>
      </c>
      <c r="B241" s="6">
        <v>1200</v>
      </c>
      <c r="C241" s="6" t="s">
        <v>17</v>
      </c>
      <c r="D241" s="6" t="s">
        <v>176</v>
      </c>
      <c r="E241" s="6" t="s">
        <v>35</v>
      </c>
      <c r="F241" s="6" t="s">
        <v>36</v>
      </c>
      <c r="G241" s="6" t="s">
        <v>16</v>
      </c>
      <c r="H241" s="7">
        <v>39847.184027777781</v>
      </c>
      <c r="I241" s="6">
        <v>40.714170000000003</v>
      </c>
      <c r="J241" s="6">
        <v>-74.006389999999996</v>
      </c>
      <c r="K241" s="8">
        <v>10007</v>
      </c>
      <c r="L241" s="8">
        <f t="shared" si="6"/>
        <v>2009</v>
      </c>
      <c r="M241" s="8">
        <f t="shared" si="7"/>
        <v>39847</v>
      </c>
      <c r="N241" s="19">
        <v>0.25069444444444444</v>
      </c>
    </row>
    <row r="242" spans="1:14" x14ac:dyDescent="0.3">
      <c r="A242" s="3" t="s">
        <v>11</v>
      </c>
      <c r="B242" s="3">
        <v>1200</v>
      </c>
      <c r="C242" s="3" t="s">
        <v>17</v>
      </c>
      <c r="D242" s="3" t="s">
        <v>419</v>
      </c>
      <c r="E242" s="3" t="s">
        <v>476</v>
      </c>
      <c r="F242" s="3" t="s">
        <v>92</v>
      </c>
      <c r="G242" s="3" t="s">
        <v>16</v>
      </c>
      <c r="H242" s="4">
        <v>39847.236111111109</v>
      </c>
      <c r="I242" s="3">
        <v>41.008609999999997</v>
      </c>
      <c r="J242" s="3">
        <v>-91.962500000000006</v>
      </c>
      <c r="K242" s="5">
        <v>52556</v>
      </c>
      <c r="L242" s="5">
        <f t="shared" si="6"/>
        <v>2009</v>
      </c>
      <c r="M242" s="5">
        <f t="shared" si="7"/>
        <v>39847</v>
      </c>
      <c r="N242" s="18">
        <v>0.12013888888888889</v>
      </c>
    </row>
    <row r="243" spans="1:14" x14ac:dyDescent="0.3">
      <c r="A243" s="6" t="s">
        <v>11</v>
      </c>
      <c r="B243" s="6">
        <v>1200</v>
      </c>
      <c r="C243" s="6" t="s">
        <v>12</v>
      </c>
      <c r="D243" s="6" t="s">
        <v>58</v>
      </c>
      <c r="E243" s="6" t="s">
        <v>172</v>
      </c>
      <c r="F243" s="6" t="s">
        <v>80</v>
      </c>
      <c r="G243" s="6" t="s">
        <v>16</v>
      </c>
      <c r="H243" s="7">
        <v>39847.322222222225</v>
      </c>
      <c r="I243" s="6">
        <v>33.952500000000001</v>
      </c>
      <c r="J243" s="6">
        <v>-84.55</v>
      </c>
      <c r="K243" s="8">
        <v>30060</v>
      </c>
      <c r="L243" s="8">
        <f t="shared" si="6"/>
        <v>2009</v>
      </c>
      <c r="M243" s="8">
        <f t="shared" si="7"/>
        <v>39847</v>
      </c>
      <c r="N243" s="19">
        <v>0.34166666666666667</v>
      </c>
    </row>
    <row r="244" spans="1:14" x14ac:dyDescent="0.3">
      <c r="A244" s="3" t="s">
        <v>11</v>
      </c>
      <c r="B244" s="3">
        <v>1200</v>
      </c>
      <c r="C244" s="3" t="s">
        <v>65</v>
      </c>
      <c r="D244" s="3" t="s">
        <v>477</v>
      </c>
      <c r="E244" s="3" t="s">
        <v>478</v>
      </c>
      <c r="F244" s="3" t="s">
        <v>240</v>
      </c>
      <c r="G244" s="3" t="s">
        <v>16</v>
      </c>
      <c r="H244" s="4">
        <v>39847.334027777775</v>
      </c>
      <c r="I244" s="3">
        <v>40.963329999999999</v>
      </c>
      <c r="J244" s="3">
        <v>-76.613060000000004</v>
      </c>
      <c r="K244" s="5">
        <v>17821</v>
      </c>
      <c r="L244" s="5">
        <f t="shared" si="6"/>
        <v>2009</v>
      </c>
      <c r="M244" s="5">
        <f t="shared" si="7"/>
        <v>39847</v>
      </c>
      <c r="N244" s="18">
        <v>0.33680555555555558</v>
      </c>
    </row>
    <row r="245" spans="1:14" x14ac:dyDescent="0.3">
      <c r="A245" s="6" t="s">
        <v>11</v>
      </c>
      <c r="B245" s="6">
        <v>1200</v>
      </c>
      <c r="C245" s="6" t="s">
        <v>65</v>
      </c>
      <c r="D245" s="6" t="s">
        <v>479</v>
      </c>
      <c r="E245" s="6" t="s">
        <v>480</v>
      </c>
      <c r="F245" s="6" t="s">
        <v>71</v>
      </c>
      <c r="G245" s="6" t="s">
        <v>16</v>
      </c>
      <c r="H245" s="7">
        <v>39847.409722222219</v>
      </c>
      <c r="I245" s="6">
        <v>33.867220000000003</v>
      </c>
      <c r="J245" s="6">
        <v>-112.14610999999999</v>
      </c>
      <c r="K245" s="8">
        <v>85086</v>
      </c>
      <c r="L245" s="8">
        <f t="shared" si="6"/>
        <v>2009</v>
      </c>
      <c r="M245" s="8">
        <f t="shared" si="7"/>
        <v>39847</v>
      </c>
      <c r="N245" s="19">
        <v>0.37083333333333335</v>
      </c>
    </row>
    <row r="246" spans="1:14" x14ac:dyDescent="0.3">
      <c r="A246" s="3" t="s">
        <v>11</v>
      </c>
      <c r="B246" s="3">
        <v>1200</v>
      </c>
      <c r="C246" s="3" t="s">
        <v>12</v>
      </c>
      <c r="D246" s="3" t="s">
        <v>481</v>
      </c>
      <c r="E246" s="3" t="s">
        <v>334</v>
      </c>
      <c r="F246" s="3" t="s">
        <v>68</v>
      </c>
      <c r="G246" s="3" t="s">
        <v>16</v>
      </c>
      <c r="H246" s="4">
        <v>39847.432638888888</v>
      </c>
      <c r="I246" s="3">
        <v>38.890279999999997</v>
      </c>
      <c r="J246" s="3">
        <v>-77.084440000000001</v>
      </c>
      <c r="K246" s="5">
        <v>22201</v>
      </c>
      <c r="L246" s="5">
        <f t="shared" si="6"/>
        <v>2009</v>
      </c>
      <c r="M246" s="5">
        <f t="shared" si="7"/>
        <v>39847</v>
      </c>
      <c r="N246" s="18">
        <v>0.31180555555555556</v>
      </c>
    </row>
    <row r="247" spans="1:14" x14ac:dyDescent="0.3">
      <c r="A247" s="6" t="s">
        <v>64</v>
      </c>
      <c r="B247" s="6">
        <v>3600</v>
      </c>
      <c r="C247" s="6" t="s">
        <v>65</v>
      </c>
      <c r="D247" s="6" t="s">
        <v>482</v>
      </c>
      <c r="E247" s="6" t="s">
        <v>483</v>
      </c>
      <c r="F247" s="6" t="s">
        <v>61</v>
      </c>
      <c r="G247" s="6" t="s">
        <v>16</v>
      </c>
      <c r="H247" s="7">
        <v>39847.480555555558</v>
      </c>
      <c r="I247" s="6">
        <v>28.538060000000002</v>
      </c>
      <c r="J247" s="6">
        <v>-81.379440000000002</v>
      </c>
      <c r="K247" s="8">
        <v>32801</v>
      </c>
      <c r="L247" s="5">
        <f t="shared" si="6"/>
        <v>2009</v>
      </c>
      <c r="M247" s="5">
        <f t="shared" si="7"/>
        <v>39847</v>
      </c>
      <c r="N247" s="18">
        <v>0.29583333333333334</v>
      </c>
    </row>
    <row r="248" spans="1:14" x14ac:dyDescent="0.3">
      <c r="A248" s="3" t="s">
        <v>11</v>
      </c>
      <c r="B248" s="3">
        <v>1200</v>
      </c>
      <c r="C248" s="3" t="s">
        <v>17</v>
      </c>
      <c r="D248" s="3" t="s">
        <v>484</v>
      </c>
      <c r="E248" s="3" t="s">
        <v>485</v>
      </c>
      <c r="F248" s="3" t="s">
        <v>50</v>
      </c>
      <c r="G248" s="3" t="s">
        <v>16</v>
      </c>
      <c r="H248" s="4">
        <v>39847.492361111108</v>
      </c>
      <c r="I248" s="3">
        <v>37.906390000000002</v>
      </c>
      <c r="J248" s="3">
        <v>-122.06389</v>
      </c>
      <c r="K248" s="5">
        <v>94596</v>
      </c>
      <c r="L248" s="8">
        <f t="shared" si="6"/>
        <v>2009</v>
      </c>
      <c r="M248" s="8">
        <f t="shared" si="7"/>
        <v>39847</v>
      </c>
      <c r="N248" s="19">
        <v>0.48125000000000001</v>
      </c>
    </row>
    <row r="249" spans="1:14" x14ac:dyDescent="0.3">
      <c r="A249" s="6" t="s">
        <v>11</v>
      </c>
      <c r="B249" s="6">
        <v>1200</v>
      </c>
      <c r="C249" s="6" t="s">
        <v>17</v>
      </c>
      <c r="D249" s="6" t="s">
        <v>486</v>
      </c>
      <c r="E249" s="6" t="s">
        <v>487</v>
      </c>
      <c r="F249" s="6" t="s">
        <v>132</v>
      </c>
      <c r="G249" s="6" t="s">
        <v>16</v>
      </c>
      <c r="H249" s="7">
        <v>39847.493055555555</v>
      </c>
      <c r="I249" s="6">
        <v>39.579169999999998</v>
      </c>
      <c r="J249" s="6">
        <v>-104.87639</v>
      </c>
      <c r="K249" s="8">
        <v>80112</v>
      </c>
      <c r="L249" s="5">
        <f t="shared" si="6"/>
        <v>2009</v>
      </c>
      <c r="M249" s="5">
        <f t="shared" si="7"/>
        <v>39847</v>
      </c>
      <c r="N249" s="18">
        <v>0.38263888888888886</v>
      </c>
    </row>
    <row r="250" spans="1:14" x14ac:dyDescent="0.3">
      <c r="A250" s="3" t="s">
        <v>11</v>
      </c>
      <c r="B250" s="3">
        <v>1200</v>
      </c>
      <c r="C250" s="3" t="s">
        <v>12</v>
      </c>
      <c r="D250" s="3" t="s">
        <v>488</v>
      </c>
      <c r="E250" s="3" t="s">
        <v>489</v>
      </c>
      <c r="F250" s="3" t="s">
        <v>220</v>
      </c>
      <c r="G250" s="3" t="s">
        <v>16</v>
      </c>
      <c r="H250" s="4">
        <v>39847.51458333333</v>
      </c>
      <c r="I250" s="3">
        <v>41.413890000000002</v>
      </c>
      <c r="J250" s="3">
        <v>-73.303889999999996</v>
      </c>
      <c r="K250" s="5">
        <v>6470</v>
      </c>
      <c r="L250" s="8">
        <f t="shared" si="6"/>
        <v>2009</v>
      </c>
      <c r="M250" s="8">
        <f t="shared" si="7"/>
        <v>39847</v>
      </c>
      <c r="N250" s="19">
        <v>0.22777777777777777</v>
      </c>
    </row>
    <row r="251" spans="1:14" x14ac:dyDescent="0.3">
      <c r="A251" s="6" t="s">
        <v>11</v>
      </c>
      <c r="B251" s="6">
        <v>1200</v>
      </c>
      <c r="C251" s="6" t="s">
        <v>12</v>
      </c>
      <c r="D251" s="6" t="s">
        <v>490</v>
      </c>
      <c r="E251" s="6" t="s">
        <v>491</v>
      </c>
      <c r="F251" s="6" t="s">
        <v>27</v>
      </c>
      <c r="G251" s="6" t="s">
        <v>16</v>
      </c>
      <c r="H251" s="7">
        <v>39847.61041666667</v>
      </c>
      <c r="I251" s="6">
        <v>40.898890000000002</v>
      </c>
      <c r="J251" s="6">
        <v>-74.093059999999994</v>
      </c>
      <c r="K251" s="8">
        <v>7663</v>
      </c>
      <c r="L251" s="5">
        <f t="shared" si="6"/>
        <v>2009</v>
      </c>
      <c r="M251" s="5">
        <f t="shared" si="7"/>
        <v>39847</v>
      </c>
      <c r="N251" s="18">
        <v>0.44305555555555554</v>
      </c>
    </row>
    <row r="252" spans="1:14" x14ac:dyDescent="0.3">
      <c r="A252" s="3" t="s">
        <v>11</v>
      </c>
      <c r="B252" s="3">
        <v>1200</v>
      </c>
      <c r="C252" s="3" t="s">
        <v>65</v>
      </c>
      <c r="D252" s="3" t="s">
        <v>492</v>
      </c>
      <c r="E252" s="3" t="s">
        <v>493</v>
      </c>
      <c r="F252" s="3" t="s">
        <v>50</v>
      </c>
      <c r="G252" s="3" t="s">
        <v>16</v>
      </c>
      <c r="H252" s="4">
        <v>39847.622916666667</v>
      </c>
      <c r="I252" s="3">
        <v>32.71528</v>
      </c>
      <c r="J252" s="3">
        <v>-117.15639</v>
      </c>
      <c r="K252" s="5">
        <v>92101</v>
      </c>
      <c r="L252" s="8">
        <f t="shared" si="6"/>
        <v>2009</v>
      </c>
      <c r="M252" s="8">
        <f t="shared" si="7"/>
        <v>39847</v>
      </c>
      <c r="N252" s="19">
        <v>8.611111111111111E-2</v>
      </c>
    </row>
    <row r="253" spans="1:14" x14ac:dyDescent="0.3">
      <c r="A253" s="6" t="s">
        <v>11</v>
      </c>
      <c r="B253" s="6">
        <v>1200</v>
      </c>
      <c r="C253" s="6" t="s">
        <v>12</v>
      </c>
      <c r="D253" s="6" t="s">
        <v>494</v>
      </c>
      <c r="E253" s="6" t="s">
        <v>495</v>
      </c>
      <c r="F253" s="6" t="s">
        <v>169</v>
      </c>
      <c r="G253" s="6" t="s">
        <v>16</v>
      </c>
      <c r="H253" s="7">
        <v>39847.6875</v>
      </c>
      <c r="I253" s="6">
        <v>47.530279999999998</v>
      </c>
      <c r="J253" s="6">
        <v>-122.03139</v>
      </c>
      <c r="K253" s="8">
        <v>98027</v>
      </c>
      <c r="L253" s="5">
        <f t="shared" si="6"/>
        <v>2009</v>
      </c>
      <c r="M253" s="5">
        <f t="shared" si="7"/>
        <v>39847</v>
      </c>
      <c r="N253" s="18">
        <v>0.40972222222222221</v>
      </c>
    </row>
    <row r="254" spans="1:14" x14ac:dyDescent="0.3">
      <c r="A254" s="3" t="s">
        <v>11</v>
      </c>
      <c r="B254" s="3">
        <v>1200</v>
      </c>
      <c r="C254" s="3" t="s">
        <v>12</v>
      </c>
      <c r="D254" s="3" t="s">
        <v>281</v>
      </c>
      <c r="E254" s="3" t="s">
        <v>496</v>
      </c>
      <c r="F254" s="3" t="s">
        <v>217</v>
      </c>
      <c r="G254" s="3" t="s">
        <v>16</v>
      </c>
      <c r="H254" s="4">
        <v>39847.718055555553</v>
      </c>
      <c r="I254" s="3">
        <v>42.447220000000002</v>
      </c>
      <c r="J254" s="3">
        <v>-71.224999999999994</v>
      </c>
      <c r="K254" s="5">
        <v>2420</v>
      </c>
      <c r="L254" s="5">
        <f t="shared" si="6"/>
        <v>2009</v>
      </c>
      <c r="M254" s="5">
        <f t="shared" si="7"/>
        <v>39847</v>
      </c>
      <c r="N254" s="18">
        <v>5.0694444444444445E-2</v>
      </c>
    </row>
    <row r="255" spans="1:14" x14ac:dyDescent="0.3">
      <c r="A255" s="6" t="s">
        <v>11</v>
      </c>
      <c r="B255" s="6">
        <v>1200</v>
      </c>
      <c r="C255" s="6" t="s">
        <v>12</v>
      </c>
      <c r="D255" s="6" t="s">
        <v>497</v>
      </c>
      <c r="E255" s="6" t="s">
        <v>498</v>
      </c>
      <c r="F255" s="6" t="s">
        <v>50</v>
      </c>
      <c r="G255" s="6" t="s">
        <v>16</v>
      </c>
      <c r="H255" s="7">
        <v>39847.756249999999</v>
      </c>
      <c r="I255" s="6">
        <v>34.189720000000001</v>
      </c>
      <c r="J255" s="6">
        <v>-118.13028</v>
      </c>
      <c r="K255" s="8">
        <v>91001</v>
      </c>
      <c r="L255" s="8">
        <f t="shared" si="6"/>
        <v>2009</v>
      </c>
      <c r="M255" s="8">
        <f t="shared" si="7"/>
        <v>39847</v>
      </c>
      <c r="N255" s="19">
        <v>0.2013888888888889</v>
      </c>
    </row>
    <row r="256" spans="1:14" x14ac:dyDescent="0.3">
      <c r="A256" s="3" t="s">
        <v>11</v>
      </c>
      <c r="B256" s="3">
        <v>250</v>
      </c>
      <c r="C256" s="3" t="s">
        <v>12</v>
      </c>
      <c r="D256" s="3" t="s">
        <v>499</v>
      </c>
      <c r="E256" s="3" t="s">
        <v>498</v>
      </c>
      <c r="F256" s="3" t="s">
        <v>50</v>
      </c>
      <c r="G256" s="3" t="s">
        <v>16</v>
      </c>
      <c r="H256" s="4">
        <v>39847.756249999999</v>
      </c>
      <c r="I256" s="3">
        <v>34.189720000000001</v>
      </c>
      <c r="J256" s="3">
        <v>-118.13028</v>
      </c>
      <c r="K256" s="5">
        <v>91001</v>
      </c>
      <c r="L256" s="5">
        <f t="shared" si="6"/>
        <v>2009</v>
      </c>
      <c r="M256" s="5">
        <f t="shared" si="7"/>
        <v>39847</v>
      </c>
      <c r="N256" s="18">
        <v>0.32083333333333336</v>
      </c>
    </row>
    <row r="257" spans="1:14" x14ac:dyDescent="0.3">
      <c r="A257" s="6" t="s">
        <v>21</v>
      </c>
      <c r="B257" s="6">
        <v>3600</v>
      </c>
      <c r="C257" s="6" t="s">
        <v>12</v>
      </c>
      <c r="D257" s="6" t="s">
        <v>500</v>
      </c>
      <c r="E257" s="6" t="s">
        <v>501</v>
      </c>
      <c r="F257" s="6" t="s">
        <v>50</v>
      </c>
      <c r="G257" s="6" t="s">
        <v>16</v>
      </c>
      <c r="H257" s="7">
        <v>39847.801388888889</v>
      </c>
      <c r="I257" s="6">
        <v>38.545000000000002</v>
      </c>
      <c r="J257" s="6">
        <v>-121.73944</v>
      </c>
      <c r="K257" s="8">
        <v>95616</v>
      </c>
      <c r="L257" s="8">
        <f t="shared" si="6"/>
        <v>2009</v>
      </c>
      <c r="M257" s="8">
        <f t="shared" si="7"/>
        <v>39847</v>
      </c>
      <c r="N257" s="19">
        <v>0.15833333333333333</v>
      </c>
    </row>
    <row r="258" spans="1:14" x14ac:dyDescent="0.3">
      <c r="A258" s="3" t="s">
        <v>11</v>
      </c>
      <c r="B258" s="3">
        <v>1200</v>
      </c>
      <c r="C258" s="3" t="s">
        <v>17</v>
      </c>
      <c r="D258" s="3" t="s">
        <v>502</v>
      </c>
      <c r="E258" s="3" t="s">
        <v>503</v>
      </c>
      <c r="F258" s="3" t="s">
        <v>50</v>
      </c>
      <c r="G258" s="3" t="s">
        <v>16</v>
      </c>
      <c r="H258" s="4">
        <v>39847.98541666667</v>
      </c>
      <c r="I258" s="3">
        <v>34.147779999999997</v>
      </c>
      <c r="J258" s="3">
        <v>-118.14361</v>
      </c>
      <c r="K258" s="5">
        <v>91101</v>
      </c>
      <c r="L258" s="5">
        <f t="shared" ref="L258:L321" si="8">YEAR(H258)</f>
        <v>2009</v>
      </c>
      <c r="M258" s="5">
        <f t="shared" ref="M258:M321" si="9">INT(H258)</f>
        <v>39847</v>
      </c>
      <c r="N258" s="18">
        <v>0.35208333333333336</v>
      </c>
    </row>
    <row r="259" spans="1:14" x14ac:dyDescent="0.3">
      <c r="A259" s="6" t="s">
        <v>11</v>
      </c>
      <c r="B259" s="6">
        <v>1200</v>
      </c>
      <c r="C259" s="6" t="s">
        <v>17</v>
      </c>
      <c r="D259" s="6" t="s">
        <v>504</v>
      </c>
      <c r="E259" s="6" t="s">
        <v>297</v>
      </c>
      <c r="F259" s="6" t="s">
        <v>30</v>
      </c>
      <c r="G259" s="6" t="s">
        <v>16</v>
      </c>
      <c r="H259" s="7">
        <v>39847.987500000003</v>
      </c>
      <c r="I259" s="6">
        <v>41.981110000000001</v>
      </c>
      <c r="J259" s="6">
        <v>-89.594999999999999</v>
      </c>
      <c r="K259" s="8">
        <v>61064</v>
      </c>
      <c r="L259" s="8">
        <f t="shared" si="8"/>
        <v>2009</v>
      </c>
      <c r="M259" s="8">
        <f t="shared" si="9"/>
        <v>39847</v>
      </c>
      <c r="N259" s="19">
        <v>0.27430555555555558</v>
      </c>
    </row>
    <row r="260" spans="1:14" x14ac:dyDescent="0.3">
      <c r="A260" s="3" t="s">
        <v>64</v>
      </c>
      <c r="B260" s="3">
        <v>1200</v>
      </c>
      <c r="C260" s="3" t="s">
        <v>65</v>
      </c>
      <c r="D260" s="3" t="s">
        <v>505</v>
      </c>
      <c r="E260" s="3" t="s">
        <v>506</v>
      </c>
      <c r="F260" s="3" t="s">
        <v>220</v>
      </c>
      <c r="G260" s="3" t="s">
        <v>16</v>
      </c>
      <c r="H260" s="4">
        <v>39848.188194444447</v>
      </c>
      <c r="I260" s="3">
        <v>41.1175</v>
      </c>
      <c r="J260" s="3">
        <v>-73.408330000000007</v>
      </c>
      <c r="K260" s="5">
        <v>6851</v>
      </c>
      <c r="L260" s="5">
        <f t="shared" si="8"/>
        <v>2009</v>
      </c>
      <c r="M260" s="5">
        <f t="shared" si="9"/>
        <v>39848</v>
      </c>
      <c r="N260" s="18">
        <v>0.23541666666666666</v>
      </c>
    </row>
    <row r="261" spans="1:14" x14ac:dyDescent="0.3">
      <c r="A261" s="6" t="s">
        <v>11</v>
      </c>
      <c r="B261" s="6">
        <v>1200</v>
      </c>
      <c r="C261" s="6" t="s">
        <v>17</v>
      </c>
      <c r="D261" s="6" t="s">
        <v>420</v>
      </c>
      <c r="E261" s="6" t="s">
        <v>507</v>
      </c>
      <c r="F261" s="6" t="s">
        <v>508</v>
      </c>
      <c r="G261" s="6" t="s">
        <v>16</v>
      </c>
      <c r="H261" s="7">
        <v>39848.344444444447</v>
      </c>
      <c r="I261" s="6">
        <v>38.324440000000003</v>
      </c>
      <c r="J261" s="6">
        <v>-85.873609999999999</v>
      </c>
      <c r="K261" s="8">
        <v>47119</v>
      </c>
      <c r="L261" s="5">
        <f t="shared" si="8"/>
        <v>2009</v>
      </c>
      <c r="M261" s="5">
        <f t="shared" si="9"/>
        <v>39848</v>
      </c>
      <c r="N261" s="18">
        <v>0.34930555555555554</v>
      </c>
    </row>
    <row r="262" spans="1:14" x14ac:dyDescent="0.3">
      <c r="A262" s="3" t="s">
        <v>11</v>
      </c>
      <c r="B262" s="3">
        <v>1200</v>
      </c>
      <c r="C262" s="3" t="s">
        <v>65</v>
      </c>
      <c r="D262" s="3" t="s">
        <v>509</v>
      </c>
      <c r="E262" s="3" t="s">
        <v>172</v>
      </c>
      <c r="F262" s="3" t="s">
        <v>80</v>
      </c>
      <c r="G262" s="3" t="s">
        <v>16</v>
      </c>
      <c r="H262" s="4">
        <v>39848.390277777777</v>
      </c>
      <c r="I262" s="3">
        <v>33.952500000000001</v>
      </c>
      <c r="J262" s="3">
        <v>-84.55</v>
      </c>
      <c r="K262" s="5">
        <v>30060</v>
      </c>
      <c r="L262" s="8">
        <f t="shared" si="8"/>
        <v>2009</v>
      </c>
      <c r="M262" s="8">
        <f t="shared" si="9"/>
        <v>39848</v>
      </c>
      <c r="N262" s="19">
        <v>0.2048611111111111</v>
      </c>
    </row>
    <row r="263" spans="1:14" x14ac:dyDescent="0.3">
      <c r="A263" s="6" t="s">
        <v>11</v>
      </c>
      <c r="B263" s="6">
        <v>1800</v>
      </c>
      <c r="C263" s="6" t="s">
        <v>65</v>
      </c>
      <c r="D263" s="6" t="s">
        <v>510</v>
      </c>
      <c r="E263" s="6" t="s">
        <v>172</v>
      </c>
      <c r="F263" s="6" t="s">
        <v>80</v>
      </c>
      <c r="G263" s="6" t="s">
        <v>16</v>
      </c>
      <c r="H263" s="7">
        <v>39848.390277777777</v>
      </c>
      <c r="I263" s="6">
        <v>33.952500000000001</v>
      </c>
      <c r="J263" s="6">
        <v>-84.55</v>
      </c>
      <c r="K263" s="8">
        <v>30060</v>
      </c>
      <c r="L263" s="5">
        <f t="shared" si="8"/>
        <v>2009</v>
      </c>
      <c r="M263" s="5">
        <f t="shared" si="9"/>
        <v>39848</v>
      </c>
      <c r="N263" s="18">
        <v>0.32430555555555557</v>
      </c>
    </row>
    <row r="264" spans="1:14" x14ac:dyDescent="0.3">
      <c r="A264" s="3" t="s">
        <v>11</v>
      </c>
      <c r="B264" s="3">
        <v>1200</v>
      </c>
      <c r="C264" s="3" t="s">
        <v>65</v>
      </c>
      <c r="D264" s="3" t="s">
        <v>511</v>
      </c>
      <c r="E264" s="3" t="s">
        <v>512</v>
      </c>
      <c r="F264" s="3" t="s">
        <v>124</v>
      </c>
      <c r="G264" s="3" t="s">
        <v>16</v>
      </c>
      <c r="H264" s="4">
        <v>39848.46597222222</v>
      </c>
      <c r="I264" s="3">
        <v>21.306940000000001</v>
      </c>
      <c r="J264" s="3">
        <v>-157.85833</v>
      </c>
      <c r="K264" s="5">
        <v>96813</v>
      </c>
      <c r="L264" s="8">
        <f t="shared" si="8"/>
        <v>2009</v>
      </c>
      <c r="M264" s="8">
        <f t="shared" si="9"/>
        <v>39848</v>
      </c>
      <c r="N264" s="19">
        <v>0.47152777777777777</v>
      </c>
    </row>
    <row r="265" spans="1:14" x14ac:dyDescent="0.3">
      <c r="A265" s="6" t="s">
        <v>64</v>
      </c>
      <c r="B265" s="6">
        <v>7500</v>
      </c>
      <c r="C265" s="6" t="s">
        <v>12</v>
      </c>
      <c r="D265" s="6" t="s">
        <v>513</v>
      </c>
      <c r="E265" s="6" t="s">
        <v>514</v>
      </c>
      <c r="F265" s="6" t="s">
        <v>33</v>
      </c>
      <c r="G265" s="6" t="s">
        <v>16</v>
      </c>
      <c r="H265" s="7">
        <v>39848.511805555558</v>
      </c>
      <c r="I265" s="6">
        <v>35.960560000000001</v>
      </c>
      <c r="J265" s="6">
        <v>-83.920829999999995</v>
      </c>
      <c r="K265" s="8">
        <v>37902</v>
      </c>
      <c r="L265" s="5">
        <f t="shared" si="8"/>
        <v>2009</v>
      </c>
      <c r="M265" s="5">
        <f t="shared" si="9"/>
        <v>39848</v>
      </c>
      <c r="N265" s="18">
        <v>0.18680555555555556</v>
      </c>
    </row>
    <row r="266" spans="1:14" x14ac:dyDescent="0.3">
      <c r="A266" s="3" t="s">
        <v>11</v>
      </c>
      <c r="B266" s="3">
        <v>1200</v>
      </c>
      <c r="C266" s="3" t="s">
        <v>12</v>
      </c>
      <c r="D266" s="3" t="s">
        <v>515</v>
      </c>
      <c r="E266" s="3" t="s">
        <v>514</v>
      </c>
      <c r="F266" s="3" t="s">
        <v>33</v>
      </c>
      <c r="G266" s="3" t="s">
        <v>16</v>
      </c>
      <c r="H266" s="4">
        <v>39848.511805555558</v>
      </c>
      <c r="I266" s="3">
        <v>35.960560000000001</v>
      </c>
      <c r="J266" s="3">
        <v>-83.920829999999995</v>
      </c>
      <c r="K266" s="5">
        <v>37902</v>
      </c>
      <c r="L266" s="8">
        <f t="shared" si="8"/>
        <v>2009</v>
      </c>
      <c r="M266" s="8">
        <f t="shared" si="9"/>
        <v>39848</v>
      </c>
      <c r="N266" s="19">
        <v>0.19375000000000001</v>
      </c>
    </row>
    <row r="267" spans="1:14" x14ac:dyDescent="0.3">
      <c r="A267" s="6" t="s">
        <v>11</v>
      </c>
      <c r="B267" s="6">
        <v>1200</v>
      </c>
      <c r="C267" s="6" t="s">
        <v>12</v>
      </c>
      <c r="D267" s="6" t="s">
        <v>516</v>
      </c>
      <c r="E267" s="6" t="s">
        <v>517</v>
      </c>
      <c r="F267" s="6" t="s">
        <v>39</v>
      </c>
      <c r="G267" s="6" t="s">
        <v>16</v>
      </c>
      <c r="H267" s="7">
        <v>39848.561805555553</v>
      </c>
      <c r="I267" s="6">
        <v>29.998609999999999</v>
      </c>
      <c r="J267" s="6">
        <v>-95.261939999999996</v>
      </c>
      <c r="K267" s="8">
        <v>77338</v>
      </c>
      <c r="L267" s="5">
        <f t="shared" si="8"/>
        <v>2009</v>
      </c>
      <c r="M267" s="5">
        <f t="shared" si="9"/>
        <v>39848</v>
      </c>
      <c r="N267" s="18">
        <v>0.125</v>
      </c>
    </row>
    <row r="268" spans="1:14" x14ac:dyDescent="0.3">
      <c r="A268" s="3" t="s">
        <v>11</v>
      </c>
      <c r="B268" s="3">
        <v>1200</v>
      </c>
      <c r="C268" s="3" t="s">
        <v>12</v>
      </c>
      <c r="D268" s="3" t="s">
        <v>518</v>
      </c>
      <c r="E268" s="3" t="s">
        <v>519</v>
      </c>
      <c r="F268" s="3" t="s">
        <v>217</v>
      </c>
      <c r="G268" s="3" t="s">
        <v>16</v>
      </c>
      <c r="H268" s="4">
        <v>39848.572916666664</v>
      </c>
      <c r="I268" s="3">
        <v>41.648330000000001</v>
      </c>
      <c r="J268" s="3">
        <v>-70.481669999999994</v>
      </c>
      <c r="K268" s="5">
        <v>2649</v>
      </c>
      <c r="L268" s="5">
        <f t="shared" si="8"/>
        <v>2009</v>
      </c>
      <c r="M268" s="5">
        <f t="shared" si="9"/>
        <v>39848</v>
      </c>
      <c r="N268" s="18">
        <v>8.7499999999999994E-2</v>
      </c>
    </row>
    <row r="269" spans="1:14" x14ac:dyDescent="0.3">
      <c r="A269" s="6" t="s">
        <v>11</v>
      </c>
      <c r="B269" s="6">
        <v>1200</v>
      </c>
      <c r="C269" s="6" t="s">
        <v>12</v>
      </c>
      <c r="D269" s="6" t="s">
        <v>281</v>
      </c>
      <c r="E269" s="6" t="s">
        <v>520</v>
      </c>
      <c r="F269" s="6" t="s">
        <v>115</v>
      </c>
      <c r="G269" s="6" t="s">
        <v>16</v>
      </c>
      <c r="H269" s="7">
        <v>39848.697916666664</v>
      </c>
      <c r="I269" s="6">
        <v>42.546669999999999</v>
      </c>
      <c r="J269" s="6">
        <v>-83.211389999999994</v>
      </c>
      <c r="K269" s="8">
        <v>48009</v>
      </c>
      <c r="L269" s="8">
        <f t="shared" si="8"/>
        <v>2009</v>
      </c>
      <c r="M269" s="8">
        <f t="shared" si="9"/>
        <v>39848</v>
      </c>
      <c r="N269" s="19">
        <v>0.20902777777777778</v>
      </c>
    </row>
    <row r="270" spans="1:14" x14ac:dyDescent="0.3">
      <c r="A270" s="3" t="s">
        <v>11</v>
      </c>
      <c r="B270" s="3">
        <v>1200</v>
      </c>
      <c r="C270" s="3" t="s">
        <v>12</v>
      </c>
      <c r="D270" s="3" t="s">
        <v>347</v>
      </c>
      <c r="E270" s="3" t="s">
        <v>521</v>
      </c>
      <c r="F270" s="3" t="s">
        <v>61</v>
      </c>
      <c r="G270" s="3" t="s">
        <v>16</v>
      </c>
      <c r="H270" s="4">
        <v>39848.704861111109</v>
      </c>
      <c r="I270" s="3">
        <v>29.894439999999999</v>
      </c>
      <c r="J270" s="3">
        <v>-81.314719999999994</v>
      </c>
      <c r="K270" s="5">
        <v>32084</v>
      </c>
      <c r="L270" s="5">
        <f t="shared" si="8"/>
        <v>2009</v>
      </c>
      <c r="M270" s="5">
        <f t="shared" si="9"/>
        <v>39848</v>
      </c>
      <c r="N270" s="18">
        <v>0.10902777777777778</v>
      </c>
    </row>
    <row r="271" spans="1:14" x14ac:dyDescent="0.3">
      <c r="A271" s="6" t="s">
        <v>11</v>
      </c>
      <c r="B271" s="6">
        <v>1200</v>
      </c>
      <c r="C271" s="6" t="s">
        <v>12</v>
      </c>
      <c r="D271" s="6" t="s">
        <v>522</v>
      </c>
      <c r="E271" s="6" t="s">
        <v>46</v>
      </c>
      <c r="F271" s="6" t="s">
        <v>47</v>
      </c>
      <c r="G271" s="6" t="s">
        <v>16</v>
      </c>
      <c r="H271" s="7">
        <v>39848.838194444441</v>
      </c>
      <c r="I271" s="6">
        <v>40.760829999999999</v>
      </c>
      <c r="J271" s="6">
        <v>-111.89028</v>
      </c>
      <c r="K271" s="8">
        <v>84111</v>
      </c>
      <c r="L271" s="8">
        <f t="shared" si="8"/>
        <v>2009</v>
      </c>
      <c r="M271" s="8">
        <f t="shared" si="9"/>
        <v>39848</v>
      </c>
      <c r="N271" s="19">
        <v>6.0416666666666667E-2</v>
      </c>
    </row>
    <row r="272" spans="1:14" x14ac:dyDescent="0.3">
      <c r="A272" s="3" t="s">
        <v>64</v>
      </c>
      <c r="B272" s="3">
        <v>1200</v>
      </c>
      <c r="C272" s="3" t="s">
        <v>65</v>
      </c>
      <c r="D272" s="3" t="s">
        <v>523</v>
      </c>
      <c r="E272" s="3" t="s">
        <v>200</v>
      </c>
      <c r="F272" s="3" t="s">
        <v>169</v>
      </c>
      <c r="G272" s="3" t="s">
        <v>16</v>
      </c>
      <c r="H272" s="4">
        <v>39848.872916666667</v>
      </c>
      <c r="I272" s="3">
        <v>47.606389999999998</v>
      </c>
      <c r="J272" s="3">
        <v>-122.33083000000001</v>
      </c>
      <c r="K272" s="5">
        <v>98104</v>
      </c>
      <c r="L272" s="5">
        <f t="shared" si="8"/>
        <v>2009</v>
      </c>
      <c r="M272" s="5">
        <f t="shared" si="9"/>
        <v>39848</v>
      </c>
      <c r="N272" s="18">
        <v>0.43958333333333333</v>
      </c>
    </row>
    <row r="273" spans="1:14" x14ac:dyDescent="0.3">
      <c r="A273" s="6" t="s">
        <v>64</v>
      </c>
      <c r="B273" s="6">
        <v>7500</v>
      </c>
      <c r="C273" s="6" t="s">
        <v>12</v>
      </c>
      <c r="D273" s="6" t="s">
        <v>221</v>
      </c>
      <c r="E273" s="6" t="s">
        <v>524</v>
      </c>
      <c r="F273" s="6" t="s">
        <v>181</v>
      </c>
      <c r="G273" s="6" t="s">
        <v>16</v>
      </c>
      <c r="H273" s="7">
        <v>39849.013888888891</v>
      </c>
      <c r="I273" s="6">
        <v>36.331940000000003</v>
      </c>
      <c r="J273" s="6">
        <v>-94.11833</v>
      </c>
      <c r="K273" s="8">
        <v>72756</v>
      </c>
      <c r="L273" s="8">
        <f t="shared" si="8"/>
        <v>2009</v>
      </c>
      <c r="M273" s="8">
        <f t="shared" si="9"/>
        <v>39849</v>
      </c>
      <c r="N273" s="19">
        <v>0.17430555555555555</v>
      </c>
    </row>
    <row r="274" spans="1:14" x14ac:dyDescent="0.3">
      <c r="A274" s="3" t="s">
        <v>11</v>
      </c>
      <c r="B274" s="3">
        <v>1200</v>
      </c>
      <c r="C274" s="3" t="s">
        <v>12</v>
      </c>
      <c r="D274" s="3" t="s">
        <v>525</v>
      </c>
      <c r="E274" s="3" t="s">
        <v>524</v>
      </c>
      <c r="F274" s="3" t="s">
        <v>181</v>
      </c>
      <c r="G274" s="3" t="s">
        <v>16</v>
      </c>
      <c r="H274" s="4">
        <v>39849.013888888891</v>
      </c>
      <c r="I274" s="3">
        <v>36.331940000000003</v>
      </c>
      <c r="J274" s="3">
        <v>-94.11833</v>
      </c>
      <c r="K274" s="5">
        <v>72756</v>
      </c>
      <c r="L274" s="5">
        <f t="shared" si="8"/>
        <v>2009</v>
      </c>
      <c r="M274" s="5">
        <f t="shared" si="9"/>
        <v>39849</v>
      </c>
      <c r="N274" s="18">
        <v>0.36388888888888887</v>
      </c>
    </row>
    <row r="275" spans="1:14" x14ac:dyDescent="0.3">
      <c r="A275" s="6" t="s">
        <v>11</v>
      </c>
      <c r="B275" s="6">
        <v>1200</v>
      </c>
      <c r="C275" s="6" t="s">
        <v>12</v>
      </c>
      <c r="D275" s="6" t="s">
        <v>526</v>
      </c>
      <c r="E275" s="6" t="s">
        <v>527</v>
      </c>
      <c r="F275" s="6" t="s">
        <v>27</v>
      </c>
      <c r="G275" s="6" t="s">
        <v>16</v>
      </c>
      <c r="H275" s="7">
        <v>39849.429166666669</v>
      </c>
      <c r="I275" s="6">
        <v>40.955829999999999</v>
      </c>
      <c r="J275" s="6">
        <v>-73.931669999999997</v>
      </c>
      <c r="K275" s="8">
        <v>7620</v>
      </c>
      <c r="L275" s="5">
        <f t="shared" si="8"/>
        <v>2009</v>
      </c>
      <c r="M275" s="5">
        <f t="shared" si="9"/>
        <v>39849</v>
      </c>
      <c r="N275" s="18">
        <v>0.16458333333333333</v>
      </c>
    </row>
    <row r="276" spans="1:14" x14ac:dyDescent="0.3">
      <c r="A276" s="3" t="s">
        <v>11</v>
      </c>
      <c r="B276" s="3">
        <v>1200</v>
      </c>
      <c r="C276" s="3" t="s">
        <v>17</v>
      </c>
      <c r="D276" s="3" t="s">
        <v>528</v>
      </c>
      <c r="E276" s="3" t="s">
        <v>529</v>
      </c>
      <c r="F276" s="3" t="s">
        <v>50</v>
      </c>
      <c r="G276" s="3" t="s">
        <v>16</v>
      </c>
      <c r="H276" s="4">
        <v>39849.526388888888</v>
      </c>
      <c r="I276" s="3">
        <v>34.04806</v>
      </c>
      <c r="J276" s="3">
        <v>-118.52556</v>
      </c>
      <c r="K276" s="5">
        <v>90272</v>
      </c>
      <c r="L276" s="8">
        <f t="shared" si="8"/>
        <v>2009</v>
      </c>
      <c r="M276" s="8">
        <f t="shared" si="9"/>
        <v>39849</v>
      </c>
      <c r="N276" s="19">
        <v>0.47291666666666665</v>
      </c>
    </row>
    <row r="277" spans="1:14" x14ac:dyDescent="0.3">
      <c r="A277" s="6" t="s">
        <v>11</v>
      </c>
      <c r="B277" s="6">
        <v>1200</v>
      </c>
      <c r="C277" s="6" t="s">
        <v>12</v>
      </c>
      <c r="D277" s="6" t="s">
        <v>530</v>
      </c>
      <c r="E277" s="6" t="s">
        <v>531</v>
      </c>
      <c r="F277" s="6" t="s">
        <v>36</v>
      </c>
      <c r="G277" s="6" t="s">
        <v>16</v>
      </c>
      <c r="H277" s="7">
        <v>39849.689583333333</v>
      </c>
      <c r="I277" s="6">
        <v>42.54222</v>
      </c>
      <c r="J277" s="6">
        <v>-76.666390000000007</v>
      </c>
      <c r="K277" s="8">
        <v>14886</v>
      </c>
      <c r="L277" s="5">
        <f t="shared" si="8"/>
        <v>2009</v>
      </c>
      <c r="M277" s="5">
        <f t="shared" si="9"/>
        <v>39849</v>
      </c>
      <c r="N277" s="18">
        <v>0.375</v>
      </c>
    </row>
    <row r="278" spans="1:14" x14ac:dyDescent="0.3">
      <c r="A278" s="3" t="s">
        <v>11</v>
      </c>
      <c r="B278" s="3">
        <v>1200</v>
      </c>
      <c r="C278" s="3" t="s">
        <v>12</v>
      </c>
      <c r="D278" s="3" t="s">
        <v>532</v>
      </c>
      <c r="E278" s="3" t="s">
        <v>533</v>
      </c>
      <c r="F278" s="3" t="s">
        <v>240</v>
      </c>
      <c r="G278" s="3" t="s">
        <v>16</v>
      </c>
      <c r="H278" s="4">
        <v>39849.777777777781</v>
      </c>
      <c r="I278" s="3">
        <v>39.846670000000003</v>
      </c>
      <c r="J278" s="3">
        <v>-75.711939999999998</v>
      </c>
      <c r="K278" s="5">
        <v>19348</v>
      </c>
      <c r="L278" s="8">
        <f t="shared" si="8"/>
        <v>2009</v>
      </c>
      <c r="M278" s="8">
        <f t="shared" si="9"/>
        <v>39849</v>
      </c>
      <c r="N278" s="19">
        <v>0.54097222222222219</v>
      </c>
    </row>
    <row r="279" spans="1:14" x14ac:dyDescent="0.3">
      <c r="A279" s="6" t="s">
        <v>21</v>
      </c>
      <c r="B279" s="6">
        <v>3600</v>
      </c>
      <c r="C279" s="6" t="s">
        <v>12</v>
      </c>
      <c r="D279" s="6" t="s">
        <v>534</v>
      </c>
      <c r="E279" s="6" t="s">
        <v>440</v>
      </c>
      <c r="F279" s="6" t="s">
        <v>50</v>
      </c>
      <c r="G279" s="6" t="s">
        <v>16</v>
      </c>
      <c r="H279" s="7">
        <v>39849.881944444445</v>
      </c>
      <c r="I279" s="6">
        <v>37.339440000000003</v>
      </c>
      <c r="J279" s="6">
        <v>-121.89389</v>
      </c>
      <c r="K279" s="8">
        <v>95113</v>
      </c>
      <c r="L279" s="5">
        <f t="shared" si="8"/>
        <v>2009</v>
      </c>
      <c r="M279" s="5">
        <f t="shared" si="9"/>
        <v>39849</v>
      </c>
      <c r="N279" s="18">
        <v>0.31111111111111112</v>
      </c>
    </row>
    <row r="280" spans="1:14" x14ac:dyDescent="0.3">
      <c r="A280" s="3" t="s">
        <v>11</v>
      </c>
      <c r="B280" s="3">
        <v>1200</v>
      </c>
      <c r="C280" s="3" t="s">
        <v>12</v>
      </c>
      <c r="D280" s="3" t="s">
        <v>69</v>
      </c>
      <c r="E280" s="3" t="s">
        <v>535</v>
      </c>
      <c r="F280" s="3" t="s">
        <v>50</v>
      </c>
      <c r="G280" s="3" t="s">
        <v>16</v>
      </c>
      <c r="H280" s="4">
        <v>39849.924305555556</v>
      </c>
      <c r="I280" s="3">
        <v>35.365830000000003</v>
      </c>
      <c r="J280" s="3">
        <v>-120.84889</v>
      </c>
      <c r="K280" s="5">
        <v>93442</v>
      </c>
      <c r="L280" s="8">
        <f t="shared" si="8"/>
        <v>2009</v>
      </c>
      <c r="M280" s="8">
        <f t="shared" si="9"/>
        <v>39849</v>
      </c>
      <c r="N280" s="19">
        <v>0.50277777777777777</v>
      </c>
    </row>
    <row r="281" spans="1:14" x14ac:dyDescent="0.3">
      <c r="A281" s="6" t="s">
        <v>11</v>
      </c>
      <c r="B281" s="6">
        <v>1200</v>
      </c>
      <c r="C281" s="6" t="s">
        <v>12</v>
      </c>
      <c r="D281" s="6" t="s">
        <v>536</v>
      </c>
      <c r="E281" s="6" t="s">
        <v>537</v>
      </c>
      <c r="F281" s="6" t="s">
        <v>293</v>
      </c>
      <c r="G281" s="6" t="s">
        <v>16</v>
      </c>
      <c r="H281" s="7">
        <v>39850.228472222225</v>
      </c>
      <c r="I281" s="6">
        <v>36.174999999999997</v>
      </c>
      <c r="J281" s="6">
        <v>-115.13639000000001</v>
      </c>
      <c r="K281" s="8">
        <v>89101</v>
      </c>
      <c r="L281" s="5">
        <f t="shared" si="8"/>
        <v>2009</v>
      </c>
      <c r="M281" s="5">
        <f t="shared" si="9"/>
        <v>39850</v>
      </c>
      <c r="N281" s="18">
        <v>9.3055555555555558E-2</v>
      </c>
    </row>
    <row r="282" spans="1:14" x14ac:dyDescent="0.3">
      <c r="A282" s="3" t="s">
        <v>21</v>
      </c>
      <c r="B282" s="3">
        <v>3600</v>
      </c>
      <c r="C282" s="3" t="s">
        <v>65</v>
      </c>
      <c r="D282" s="3" t="s">
        <v>419</v>
      </c>
      <c r="E282" s="3" t="s">
        <v>538</v>
      </c>
      <c r="F282" s="3" t="s">
        <v>50</v>
      </c>
      <c r="G282" s="3" t="s">
        <v>16</v>
      </c>
      <c r="H282" s="4">
        <v>39850.276388888888</v>
      </c>
      <c r="I282" s="3">
        <v>37.974719999999998</v>
      </c>
      <c r="J282" s="3">
        <v>-122.56056</v>
      </c>
      <c r="K282" s="5">
        <v>94960</v>
      </c>
      <c r="L282" s="5">
        <f t="shared" si="8"/>
        <v>2009</v>
      </c>
      <c r="M282" s="5">
        <f t="shared" si="9"/>
        <v>39850</v>
      </c>
      <c r="N282" s="18">
        <v>0.52569444444444446</v>
      </c>
    </row>
    <row r="283" spans="1:14" x14ac:dyDescent="0.3">
      <c r="A283" s="6" t="s">
        <v>11</v>
      </c>
      <c r="B283" s="6">
        <v>1200</v>
      </c>
      <c r="C283" s="6" t="s">
        <v>12</v>
      </c>
      <c r="D283" s="6" t="s">
        <v>539</v>
      </c>
      <c r="E283" s="6" t="s">
        <v>540</v>
      </c>
      <c r="F283" s="6" t="s">
        <v>36</v>
      </c>
      <c r="G283" s="6" t="s">
        <v>16</v>
      </c>
      <c r="H283" s="7">
        <v>39850.314583333333</v>
      </c>
      <c r="I283" s="6">
        <v>40.664169999999999</v>
      </c>
      <c r="J283" s="6">
        <v>-73.708889999999997</v>
      </c>
      <c r="K283" s="8">
        <v>11580</v>
      </c>
      <c r="L283" s="8">
        <f t="shared" si="8"/>
        <v>2009</v>
      </c>
      <c r="M283" s="8">
        <f t="shared" si="9"/>
        <v>39850</v>
      </c>
      <c r="N283" s="19">
        <v>0.40625</v>
      </c>
    </row>
    <row r="284" spans="1:14" x14ac:dyDescent="0.3">
      <c r="A284" s="3" t="s">
        <v>11</v>
      </c>
      <c r="B284" s="3">
        <v>1200</v>
      </c>
      <c r="C284" s="3" t="s">
        <v>12</v>
      </c>
      <c r="D284" s="3" t="s">
        <v>541</v>
      </c>
      <c r="E284" s="3" t="s">
        <v>542</v>
      </c>
      <c r="F284" s="3" t="s">
        <v>50</v>
      </c>
      <c r="G284" s="3" t="s">
        <v>16</v>
      </c>
      <c r="H284" s="4">
        <v>39850.675694444442</v>
      </c>
      <c r="I284" s="3">
        <v>37.987220000000001</v>
      </c>
      <c r="J284" s="3">
        <v>-122.58778</v>
      </c>
      <c r="K284" s="5">
        <v>94930</v>
      </c>
      <c r="L284" s="5">
        <f t="shared" si="8"/>
        <v>2009</v>
      </c>
      <c r="M284" s="5">
        <f t="shared" si="9"/>
        <v>39850</v>
      </c>
      <c r="N284" s="18">
        <v>0.30763888888888891</v>
      </c>
    </row>
    <row r="285" spans="1:14" x14ac:dyDescent="0.3">
      <c r="A285" s="6" t="s">
        <v>11</v>
      </c>
      <c r="B285" s="6">
        <v>1200</v>
      </c>
      <c r="C285" s="6" t="s">
        <v>12</v>
      </c>
      <c r="D285" s="6" t="s">
        <v>543</v>
      </c>
      <c r="E285" s="6" t="s">
        <v>544</v>
      </c>
      <c r="F285" s="6" t="s">
        <v>71</v>
      </c>
      <c r="G285" s="6" t="s">
        <v>16</v>
      </c>
      <c r="H285" s="7">
        <v>39850.722916666666</v>
      </c>
      <c r="I285" s="6">
        <v>33.306109999999997</v>
      </c>
      <c r="J285" s="6">
        <v>-111.84056</v>
      </c>
      <c r="K285" s="8">
        <v>85225</v>
      </c>
      <c r="L285" s="8">
        <f t="shared" si="8"/>
        <v>2009</v>
      </c>
      <c r="M285" s="8">
        <f t="shared" si="9"/>
        <v>39850</v>
      </c>
      <c r="N285" s="19">
        <v>0.2</v>
      </c>
    </row>
    <row r="286" spans="1:14" x14ac:dyDescent="0.3">
      <c r="A286" s="3" t="s">
        <v>11</v>
      </c>
      <c r="B286" s="3">
        <v>1200</v>
      </c>
      <c r="C286" s="3" t="s">
        <v>12</v>
      </c>
      <c r="D286" s="3" t="s">
        <v>545</v>
      </c>
      <c r="E286" s="3" t="s">
        <v>546</v>
      </c>
      <c r="F286" s="3" t="s">
        <v>47</v>
      </c>
      <c r="G286" s="3" t="s">
        <v>16</v>
      </c>
      <c r="H286" s="4">
        <v>39850.759722222225</v>
      </c>
      <c r="I286" s="3">
        <v>37.130600000000001</v>
      </c>
      <c r="J286" s="3">
        <v>-113.64919999999999</v>
      </c>
      <c r="K286" s="5">
        <v>84765</v>
      </c>
      <c r="L286" s="5">
        <f t="shared" si="8"/>
        <v>2009</v>
      </c>
      <c r="M286" s="5">
        <f t="shared" si="9"/>
        <v>39850</v>
      </c>
      <c r="N286" s="18">
        <v>0.18680555555555556</v>
      </c>
    </row>
    <row r="287" spans="1:14" x14ac:dyDescent="0.3">
      <c r="A287" s="6" t="s">
        <v>11</v>
      </c>
      <c r="B287" s="6">
        <v>1200</v>
      </c>
      <c r="C287" s="6" t="s">
        <v>17</v>
      </c>
      <c r="D287" s="6" t="s">
        <v>453</v>
      </c>
      <c r="E287" s="6" t="s">
        <v>547</v>
      </c>
      <c r="F287" s="6" t="s">
        <v>36</v>
      </c>
      <c r="G287" s="6" t="s">
        <v>16</v>
      </c>
      <c r="H287" s="7">
        <v>39850.76666666667</v>
      </c>
      <c r="I287" s="6">
        <v>42.886389999999999</v>
      </c>
      <c r="J287" s="6">
        <v>-78.878609999999995</v>
      </c>
      <c r="K287" s="8">
        <v>14202</v>
      </c>
      <c r="L287" s="8">
        <f t="shared" si="8"/>
        <v>2009</v>
      </c>
      <c r="M287" s="8">
        <f t="shared" si="9"/>
        <v>39850</v>
      </c>
      <c r="N287" s="19">
        <v>0.26805555555555555</v>
      </c>
    </row>
    <row r="288" spans="1:14" x14ac:dyDescent="0.3">
      <c r="A288" s="3" t="s">
        <v>64</v>
      </c>
      <c r="B288" s="3">
        <v>7500</v>
      </c>
      <c r="C288" s="3" t="s">
        <v>12</v>
      </c>
      <c r="D288" s="3" t="s">
        <v>548</v>
      </c>
      <c r="E288" s="3" t="s">
        <v>549</v>
      </c>
      <c r="F288" s="3" t="s">
        <v>371</v>
      </c>
      <c r="G288" s="3" t="s">
        <v>16</v>
      </c>
      <c r="H288" s="4">
        <v>39850.783333333333</v>
      </c>
      <c r="I288" s="3">
        <v>34.961669999999998</v>
      </c>
      <c r="J288" s="3">
        <v>-89.829440000000005</v>
      </c>
      <c r="K288" s="5">
        <v>38654</v>
      </c>
      <c r="L288" s="5">
        <f t="shared" si="8"/>
        <v>2009</v>
      </c>
      <c r="M288" s="5">
        <f t="shared" si="9"/>
        <v>39850</v>
      </c>
      <c r="N288" s="18">
        <v>0.42777777777777776</v>
      </c>
    </row>
    <row r="289" spans="1:14" x14ac:dyDescent="0.3">
      <c r="A289" s="6" t="s">
        <v>11</v>
      </c>
      <c r="B289" s="6">
        <v>1200</v>
      </c>
      <c r="C289" s="6" t="s">
        <v>65</v>
      </c>
      <c r="D289" s="6" t="s">
        <v>550</v>
      </c>
      <c r="E289" s="6" t="s">
        <v>551</v>
      </c>
      <c r="F289" s="6" t="s">
        <v>36</v>
      </c>
      <c r="G289" s="6" t="s">
        <v>16</v>
      </c>
      <c r="H289" s="7">
        <v>39850.810416666667</v>
      </c>
      <c r="I289" s="6">
        <v>41.256390000000003</v>
      </c>
      <c r="J289" s="6">
        <v>-74.360280000000003</v>
      </c>
      <c r="K289" s="8">
        <v>10990</v>
      </c>
      <c r="L289" s="5">
        <f t="shared" si="8"/>
        <v>2009</v>
      </c>
      <c r="M289" s="5">
        <f t="shared" si="9"/>
        <v>39850</v>
      </c>
      <c r="N289" s="18">
        <v>0.28749999999999998</v>
      </c>
    </row>
    <row r="290" spans="1:14" x14ac:dyDescent="0.3">
      <c r="A290" s="3" t="s">
        <v>11</v>
      </c>
      <c r="B290" s="3">
        <v>1200</v>
      </c>
      <c r="C290" s="3" t="s">
        <v>65</v>
      </c>
      <c r="D290" s="3" t="s">
        <v>235</v>
      </c>
      <c r="E290" s="3" t="s">
        <v>552</v>
      </c>
      <c r="F290" s="3" t="s">
        <v>50</v>
      </c>
      <c r="G290" s="3" t="s">
        <v>16</v>
      </c>
      <c r="H290" s="4">
        <v>39850.915972222225</v>
      </c>
      <c r="I290" s="3">
        <v>37.56306</v>
      </c>
      <c r="J290" s="3">
        <v>-122.32444</v>
      </c>
      <c r="K290" s="5">
        <v>94401</v>
      </c>
      <c r="L290" s="8">
        <f t="shared" si="8"/>
        <v>2009</v>
      </c>
      <c r="M290" s="8">
        <f t="shared" si="9"/>
        <v>39850</v>
      </c>
      <c r="N290" s="19">
        <v>0.2722222222222222</v>
      </c>
    </row>
    <row r="291" spans="1:14" x14ac:dyDescent="0.3">
      <c r="A291" s="6" t="s">
        <v>11</v>
      </c>
      <c r="B291" s="6">
        <v>1200</v>
      </c>
      <c r="C291" s="6" t="s">
        <v>12</v>
      </c>
      <c r="D291" s="6" t="s">
        <v>298</v>
      </c>
      <c r="E291" s="6" t="s">
        <v>553</v>
      </c>
      <c r="F291" s="6" t="s">
        <v>61</v>
      </c>
      <c r="G291" s="6" t="s">
        <v>16</v>
      </c>
      <c r="H291" s="7">
        <v>39851.252083333333</v>
      </c>
      <c r="I291" s="6">
        <v>28.600560000000002</v>
      </c>
      <c r="J291" s="6">
        <v>-81.306669999999997</v>
      </c>
      <c r="K291" s="8">
        <v>32792</v>
      </c>
      <c r="L291" s="5">
        <f t="shared" si="8"/>
        <v>2009</v>
      </c>
      <c r="M291" s="5">
        <f t="shared" si="9"/>
        <v>39851</v>
      </c>
      <c r="N291" s="18">
        <v>0.25138888888888888</v>
      </c>
    </row>
    <row r="292" spans="1:14" x14ac:dyDescent="0.3">
      <c r="A292" s="3" t="s">
        <v>11</v>
      </c>
      <c r="B292" s="3">
        <v>1200</v>
      </c>
      <c r="C292" s="3" t="s">
        <v>12</v>
      </c>
      <c r="D292" s="3" t="s">
        <v>554</v>
      </c>
      <c r="E292" s="3" t="s">
        <v>544</v>
      </c>
      <c r="F292" s="3" t="s">
        <v>71</v>
      </c>
      <c r="G292" s="3" t="s">
        <v>16</v>
      </c>
      <c r="H292" s="4">
        <v>39851.253472222219</v>
      </c>
      <c r="I292" s="3">
        <v>33.306109999999997</v>
      </c>
      <c r="J292" s="3">
        <v>-111.84056</v>
      </c>
      <c r="K292" s="5">
        <v>85225</v>
      </c>
      <c r="L292" s="8">
        <f t="shared" si="8"/>
        <v>2009</v>
      </c>
      <c r="M292" s="8">
        <f t="shared" si="9"/>
        <v>39851</v>
      </c>
      <c r="N292" s="19">
        <v>0.35138888888888886</v>
      </c>
    </row>
    <row r="293" spans="1:14" x14ac:dyDescent="0.3">
      <c r="A293" s="6" t="s">
        <v>11</v>
      </c>
      <c r="B293" s="6">
        <v>1200</v>
      </c>
      <c r="C293" s="6" t="s">
        <v>65</v>
      </c>
      <c r="D293" s="6" t="s">
        <v>555</v>
      </c>
      <c r="E293" s="6" t="s">
        <v>556</v>
      </c>
      <c r="F293" s="6" t="s">
        <v>80</v>
      </c>
      <c r="G293" s="6" t="s">
        <v>16</v>
      </c>
      <c r="H293" s="7">
        <v>39851.477777777778</v>
      </c>
      <c r="I293" s="6">
        <v>34.20722</v>
      </c>
      <c r="J293" s="6">
        <v>-84.140280000000004</v>
      </c>
      <c r="K293" s="8">
        <v>30040</v>
      </c>
      <c r="L293" s="5">
        <f t="shared" si="8"/>
        <v>2009</v>
      </c>
      <c r="M293" s="5">
        <f t="shared" si="9"/>
        <v>39851</v>
      </c>
      <c r="N293" s="18">
        <v>0.17847222222222223</v>
      </c>
    </row>
    <row r="294" spans="1:14" x14ac:dyDescent="0.3">
      <c r="A294" s="3" t="s">
        <v>11</v>
      </c>
      <c r="B294" s="3">
        <v>1200</v>
      </c>
      <c r="C294" s="3" t="s">
        <v>12</v>
      </c>
      <c r="D294" s="3" t="s">
        <v>557</v>
      </c>
      <c r="E294" s="3" t="s">
        <v>558</v>
      </c>
      <c r="F294" s="3" t="s">
        <v>559</v>
      </c>
      <c r="G294" s="3" t="s">
        <v>16</v>
      </c>
      <c r="H294" s="4">
        <v>39851.5</v>
      </c>
      <c r="I294" s="3">
        <v>41.51</v>
      </c>
      <c r="J294" s="3">
        <v>-71.171670000000006</v>
      </c>
      <c r="K294" s="5">
        <v>2837</v>
      </c>
      <c r="L294" s="8">
        <f t="shared" si="8"/>
        <v>2009</v>
      </c>
      <c r="M294" s="8">
        <f t="shared" si="9"/>
        <v>39851</v>
      </c>
      <c r="N294" s="19">
        <v>0.44236111111111109</v>
      </c>
    </row>
    <row r="295" spans="1:14" x14ac:dyDescent="0.3">
      <c r="A295" s="6" t="s">
        <v>11</v>
      </c>
      <c r="B295" s="6">
        <v>1200</v>
      </c>
      <c r="C295" s="6" t="s">
        <v>12</v>
      </c>
      <c r="D295" s="6" t="s">
        <v>560</v>
      </c>
      <c r="E295" s="6" t="s">
        <v>487</v>
      </c>
      <c r="F295" s="6" t="s">
        <v>132</v>
      </c>
      <c r="G295" s="6" t="s">
        <v>16</v>
      </c>
      <c r="H295" s="7">
        <v>39851.637499999997</v>
      </c>
      <c r="I295" s="6">
        <v>39.579169999999998</v>
      </c>
      <c r="J295" s="6">
        <v>-104.87639</v>
      </c>
      <c r="K295" s="8">
        <v>80112</v>
      </c>
      <c r="L295" s="5">
        <f t="shared" si="8"/>
        <v>2009</v>
      </c>
      <c r="M295" s="5">
        <f t="shared" si="9"/>
        <v>39851</v>
      </c>
      <c r="N295" s="18">
        <v>0.14444444444444443</v>
      </c>
    </row>
    <row r="296" spans="1:14" x14ac:dyDescent="0.3">
      <c r="A296" s="3" t="s">
        <v>11</v>
      </c>
      <c r="B296" s="3">
        <v>13000</v>
      </c>
      <c r="C296" s="3" t="s">
        <v>12</v>
      </c>
      <c r="D296" s="3" t="s">
        <v>561</v>
      </c>
      <c r="E296" s="3" t="s">
        <v>487</v>
      </c>
      <c r="F296" s="3" t="s">
        <v>132</v>
      </c>
      <c r="G296" s="3" t="s">
        <v>16</v>
      </c>
      <c r="H296" s="4">
        <v>39851.637499999997</v>
      </c>
      <c r="I296" s="3">
        <v>39.579169999999998</v>
      </c>
      <c r="J296" s="3">
        <v>-104.87639</v>
      </c>
      <c r="K296" s="5">
        <v>80112</v>
      </c>
      <c r="L296" s="5">
        <f t="shared" si="8"/>
        <v>2009</v>
      </c>
      <c r="M296" s="5">
        <f t="shared" si="9"/>
        <v>39851</v>
      </c>
      <c r="N296" s="18">
        <v>0.25</v>
      </c>
    </row>
    <row r="297" spans="1:14" x14ac:dyDescent="0.3">
      <c r="A297" s="6" t="s">
        <v>11</v>
      </c>
      <c r="B297" s="6">
        <v>1200</v>
      </c>
      <c r="C297" s="6" t="s">
        <v>65</v>
      </c>
      <c r="D297" s="6" t="s">
        <v>562</v>
      </c>
      <c r="E297" s="6" t="s">
        <v>563</v>
      </c>
      <c r="F297" s="6" t="s">
        <v>68</v>
      </c>
      <c r="G297" s="6" t="s">
        <v>16</v>
      </c>
      <c r="H297" s="7">
        <v>39851.640972222223</v>
      </c>
      <c r="I297" s="6">
        <v>38.969439999999999</v>
      </c>
      <c r="J297" s="6">
        <v>-77.386390000000006</v>
      </c>
      <c r="K297" s="8">
        <v>20170</v>
      </c>
      <c r="L297" s="8">
        <f t="shared" si="8"/>
        <v>2009</v>
      </c>
      <c r="M297" s="8">
        <f t="shared" si="9"/>
        <v>39851</v>
      </c>
      <c r="N297" s="19">
        <v>0.21249999999999999</v>
      </c>
    </row>
    <row r="298" spans="1:14" x14ac:dyDescent="0.3">
      <c r="A298" s="3" t="s">
        <v>11</v>
      </c>
      <c r="B298" s="3">
        <v>1200</v>
      </c>
      <c r="C298" s="3" t="s">
        <v>12</v>
      </c>
      <c r="D298" s="3" t="s">
        <v>564</v>
      </c>
      <c r="E298" s="3" t="s">
        <v>565</v>
      </c>
      <c r="F298" s="3" t="s">
        <v>50</v>
      </c>
      <c r="G298" s="3" t="s">
        <v>16</v>
      </c>
      <c r="H298" s="4">
        <v>39851.658333333333</v>
      </c>
      <c r="I298" s="3">
        <v>33.200000000000003</v>
      </c>
      <c r="J298" s="3">
        <v>-117.24167</v>
      </c>
      <c r="K298" s="5">
        <v>92084</v>
      </c>
      <c r="L298" s="5">
        <f t="shared" si="8"/>
        <v>2009</v>
      </c>
      <c r="M298" s="5">
        <f t="shared" si="9"/>
        <v>39851</v>
      </c>
      <c r="N298" s="18">
        <v>0.28680555555555554</v>
      </c>
    </row>
    <row r="299" spans="1:14" x14ac:dyDescent="0.3">
      <c r="A299" s="6" t="s">
        <v>11</v>
      </c>
      <c r="B299" s="6">
        <v>1200</v>
      </c>
      <c r="C299" s="6" t="s">
        <v>12</v>
      </c>
      <c r="D299" s="6" t="s">
        <v>566</v>
      </c>
      <c r="E299" s="6" t="s">
        <v>567</v>
      </c>
      <c r="F299" s="6" t="s">
        <v>568</v>
      </c>
      <c r="G299" s="6" t="s">
        <v>16</v>
      </c>
      <c r="H299" s="7">
        <v>39851.699999999997</v>
      </c>
      <c r="I299" s="6">
        <v>43.622779999999999</v>
      </c>
      <c r="J299" s="6">
        <v>-87.794439999999994</v>
      </c>
      <c r="K299" s="8">
        <v>53070</v>
      </c>
      <c r="L299" s="8">
        <f t="shared" si="8"/>
        <v>2009</v>
      </c>
      <c r="M299" s="8">
        <f t="shared" si="9"/>
        <v>39851</v>
      </c>
      <c r="N299" s="19">
        <v>0.28819444444444442</v>
      </c>
    </row>
    <row r="300" spans="1:14" x14ac:dyDescent="0.3">
      <c r="A300" s="3" t="s">
        <v>21</v>
      </c>
      <c r="B300" s="3">
        <v>3600</v>
      </c>
      <c r="C300" s="3" t="s">
        <v>12</v>
      </c>
      <c r="D300" s="3" t="s">
        <v>569</v>
      </c>
      <c r="E300" s="3" t="s">
        <v>570</v>
      </c>
      <c r="F300" s="3" t="s">
        <v>115</v>
      </c>
      <c r="G300" s="3" t="s">
        <v>16</v>
      </c>
      <c r="H300" s="4">
        <v>39851.785416666666</v>
      </c>
      <c r="I300" s="3">
        <v>42.270829999999997</v>
      </c>
      <c r="J300" s="3">
        <v>-83.726389999999995</v>
      </c>
      <c r="K300" s="5">
        <v>48104</v>
      </c>
      <c r="L300" s="5">
        <f t="shared" si="8"/>
        <v>2009</v>
      </c>
      <c r="M300" s="5">
        <f t="shared" si="9"/>
        <v>39851</v>
      </c>
      <c r="N300" s="18">
        <v>0.24861111111111112</v>
      </c>
    </row>
    <row r="301" spans="1:14" x14ac:dyDescent="0.3">
      <c r="A301" s="6" t="s">
        <v>11</v>
      </c>
      <c r="B301" s="6">
        <v>1200</v>
      </c>
      <c r="C301" s="6" t="s">
        <v>12</v>
      </c>
      <c r="D301" s="6" t="s">
        <v>571</v>
      </c>
      <c r="E301" s="6" t="s">
        <v>572</v>
      </c>
      <c r="F301" s="6" t="s">
        <v>47</v>
      </c>
      <c r="G301" s="6" t="s">
        <v>16</v>
      </c>
      <c r="H301" s="7">
        <v>39851.799305555556</v>
      </c>
      <c r="I301" s="6">
        <v>40.562220000000003</v>
      </c>
      <c r="J301" s="6">
        <v>-111.92889</v>
      </c>
      <c r="K301" s="8">
        <v>84095</v>
      </c>
      <c r="L301" s="8">
        <f t="shared" si="8"/>
        <v>2009</v>
      </c>
      <c r="M301" s="8">
        <f t="shared" si="9"/>
        <v>39851</v>
      </c>
      <c r="N301" s="19">
        <v>0.10902777777777778</v>
      </c>
    </row>
    <row r="302" spans="1:14" x14ac:dyDescent="0.3">
      <c r="A302" s="3" t="s">
        <v>11</v>
      </c>
      <c r="B302" s="3">
        <v>1200</v>
      </c>
      <c r="C302" s="3" t="s">
        <v>17</v>
      </c>
      <c r="D302" s="3" t="s">
        <v>573</v>
      </c>
      <c r="E302" s="3" t="s">
        <v>574</v>
      </c>
      <c r="F302" s="3" t="s">
        <v>575</v>
      </c>
      <c r="G302" s="3" t="s">
        <v>16</v>
      </c>
      <c r="H302" s="4">
        <v>39852.311805555553</v>
      </c>
      <c r="I302" s="3">
        <v>40.799999999999997</v>
      </c>
      <c r="J302" s="3">
        <v>-96.666669999999996</v>
      </c>
      <c r="K302" s="5">
        <v>68510</v>
      </c>
      <c r="L302" s="5">
        <f t="shared" si="8"/>
        <v>2009</v>
      </c>
      <c r="M302" s="5">
        <f t="shared" si="9"/>
        <v>39852</v>
      </c>
      <c r="N302" s="18">
        <v>0.3659722222222222</v>
      </c>
    </row>
    <row r="303" spans="1:14" x14ac:dyDescent="0.3">
      <c r="A303" s="6" t="s">
        <v>11</v>
      </c>
      <c r="B303" s="6">
        <v>1200</v>
      </c>
      <c r="C303" s="6" t="s">
        <v>17</v>
      </c>
      <c r="D303" s="6" t="s">
        <v>576</v>
      </c>
      <c r="E303" s="6" t="s">
        <v>577</v>
      </c>
      <c r="F303" s="6" t="s">
        <v>92</v>
      </c>
      <c r="G303" s="6" t="s">
        <v>16</v>
      </c>
      <c r="H303" s="7">
        <v>39852.645833333336</v>
      </c>
      <c r="I303" s="6">
        <v>43.458889999999997</v>
      </c>
      <c r="J303" s="6">
        <v>-91.865279999999998</v>
      </c>
      <c r="K303" s="8">
        <v>52101</v>
      </c>
      <c r="L303" s="5">
        <f t="shared" si="8"/>
        <v>2009</v>
      </c>
      <c r="M303" s="5">
        <f t="shared" si="9"/>
        <v>39852</v>
      </c>
      <c r="N303" s="18">
        <v>0.5395833333333333</v>
      </c>
    </row>
    <row r="304" spans="1:14" x14ac:dyDescent="0.3">
      <c r="A304" s="3" t="s">
        <v>11</v>
      </c>
      <c r="B304" s="3">
        <v>1200</v>
      </c>
      <c r="C304" s="3" t="s">
        <v>12</v>
      </c>
      <c r="D304" s="3" t="s">
        <v>578</v>
      </c>
      <c r="E304" s="3" t="s">
        <v>579</v>
      </c>
      <c r="F304" s="3" t="s">
        <v>30</v>
      </c>
      <c r="G304" s="3" t="s">
        <v>16</v>
      </c>
      <c r="H304" s="4">
        <v>39852.666666666664</v>
      </c>
      <c r="I304" s="3">
        <v>41.866109999999999</v>
      </c>
      <c r="J304" s="3">
        <v>-88.106939999999994</v>
      </c>
      <c r="K304" s="5">
        <v>60187</v>
      </c>
      <c r="L304" s="8">
        <f t="shared" si="8"/>
        <v>2009</v>
      </c>
      <c r="M304" s="8">
        <f t="shared" si="9"/>
        <v>39852</v>
      </c>
      <c r="N304" s="19">
        <v>0.39305555555555555</v>
      </c>
    </row>
    <row r="305" spans="1:14" x14ac:dyDescent="0.3">
      <c r="A305" s="6" t="s">
        <v>21</v>
      </c>
      <c r="B305" s="6">
        <v>3600</v>
      </c>
      <c r="C305" s="6" t="s">
        <v>17</v>
      </c>
      <c r="D305" s="6" t="s">
        <v>522</v>
      </c>
      <c r="E305" s="6" t="s">
        <v>580</v>
      </c>
      <c r="F305" s="6" t="s">
        <v>39</v>
      </c>
      <c r="G305" s="6" t="s">
        <v>16</v>
      </c>
      <c r="H305" s="7">
        <v>39852.731249999997</v>
      </c>
      <c r="I305" s="6">
        <v>31.11694</v>
      </c>
      <c r="J305" s="6">
        <v>-97.727500000000006</v>
      </c>
      <c r="K305" s="8">
        <v>76541</v>
      </c>
      <c r="L305" s="5">
        <f t="shared" si="8"/>
        <v>2009</v>
      </c>
      <c r="M305" s="5">
        <f t="shared" si="9"/>
        <v>39852</v>
      </c>
      <c r="N305" s="18">
        <v>0.5180555555555556</v>
      </c>
    </row>
    <row r="306" spans="1:14" x14ac:dyDescent="0.3">
      <c r="A306" s="3" t="s">
        <v>11</v>
      </c>
      <c r="B306" s="3">
        <v>1200</v>
      </c>
      <c r="C306" s="3" t="s">
        <v>12</v>
      </c>
      <c r="D306" s="3" t="s">
        <v>581</v>
      </c>
      <c r="E306" s="3" t="s">
        <v>582</v>
      </c>
      <c r="F306" s="3" t="s">
        <v>36</v>
      </c>
      <c r="G306" s="3" t="s">
        <v>16</v>
      </c>
      <c r="H306" s="4">
        <v>39852.779166666667</v>
      </c>
      <c r="I306" s="3">
        <v>40.714170000000003</v>
      </c>
      <c r="J306" s="3">
        <v>-74.006389999999996</v>
      </c>
      <c r="K306" s="5">
        <v>10007</v>
      </c>
      <c r="L306" s="8">
        <f t="shared" si="8"/>
        <v>2009</v>
      </c>
      <c r="M306" s="8">
        <f t="shared" si="9"/>
        <v>39852</v>
      </c>
      <c r="N306" s="19">
        <v>0.31736111111111109</v>
      </c>
    </row>
    <row r="307" spans="1:14" x14ac:dyDescent="0.3">
      <c r="A307" s="6" t="s">
        <v>11</v>
      </c>
      <c r="B307" s="6">
        <v>1200</v>
      </c>
      <c r="C307" s="6" t="s">
        <v>12</v>
      </c>
      <c r="D307" s="6" t="s">
        <v>43</v>
      </c>
      <c r="E307" s="6" t="s">
        <v>583</v>
      </c>
      <c r="F307" s="6" t="s">
        <v>559</v>
      </c>
      <c r="G307" s="6" t="s">
        <v>16</v>
      </c>
      <c r="H307" s="7">
        <v>39853.354166666664</v>
      </c>
      <c r="I307" s="6">
        <v>41.496940000000002</v>
      </c>
      <c r="J307" s="6">
        <v>-71.367779999999996</v>
      </c>
      <c r="K307" s="8">
        <v>2835</v>
      </c>
      <c r="L307" s="5">
        <f t="shared" si="8"/>
        <v>2009</v>
      </c>
      <c r="M307" s="5">
        <f t="shared" si="9"/>
        <v>39853</v>
      </c>
      <c r="N307" s="18">
        <v>0.40416666666666667</v>
      </c>
    </row>
    <row r="308" spans="1:14" x14ac:dyDescent="0.3">
      <c r="A308" s="3" t="s">
        <v>11</v>
      </c>
      <c r="B308" s="3">
        <v>1200</v>
      </c>
      <c r="C308" s="3" t="s">
        <v>12</v>
      </c>
      <c r="D308" s="3" t="s">
        <v>584</v>
      </c>
      <c r="E308" s="3" t="s">
        <v>585</v>
      </c>
      <c r="F308" s="3" t="s">
        <v>106</v>
      </c>
      <c r="G308" s="3" t="s">
        <v>16</v>
      </c>
      <c r="H308" s="4">
        <v>39853.386805555558</v>
      </c>
      <c r="I308" s="3">
        <v>39.419440000000002</v>
      </c>
      <c r="J308" s="3">
        <v>-76.780559999999994</v>
      </c>
      <c r="K308" s="5">
        <v>21117</v>
      </c>
      <c r="L308" s="8">
        <f t="shared" si="8"/>
        <v>2009</v>
      </c>
      <c r="M308" s="8">
        <f t="shared" si="9"/>
        <v>39853</v>
      </c>
      <c r="N308" s="19">
        <v>0.46805555555555556</v>
      </c>
    </row>
    <row r="309" spans="1:14" x14ac:dyDescent="0.3">
      <c r="A309" s="6" t="s">
        <v>11</v>
      </c>
      <c r="B309" s="6">
        <v>1200</v>
      </c>
      <c r="C309" s="6" t="s">
        <v>65</v>
      </c>
      <c r="D309" s="6" t="s">
        <v>586</v>
      </c>
      <c r="E309" s="6" t="s">
        <v>275</v>
      </c>
      <c r="F309" s="6" t="s">
        <v>276</v>
      </c>
      <c r="G309" s="6" t="s">
        <v>16</v>
      </c>
      <c r="H309" s="7">
        <v>39853.451388888891</v>
      </c>
      <c r="I309" s="6">
        <v>61.218060000000001</v>
      </c>
      <c r="J309" s="6">
        <v>-149.90028000000001</v>
      </c>
      <c r="K309" s="8">
        <v>99501</v>
      </c>
      <c r="L309" s="5">
        <f t="shared" si="8"/>
        <v>2009</v>
      </c>
      <c r="M309" s="5">
        <f t="shared" si="9"/>
        <v>39853</v>
      </c>
      <c r="N309" s="18">
        <v>0.31111111111111112</v>
      </c>
    </row>
    <row r="310" spans="1:14" x14ac:dyDescent="0.3">
      <c r="A310" s="3" t="s">
        <v>11</v>
      </c>
      <c r="B310" s="3">
        <v>1200</v>
      </c>
      <c r="C310" s="3" t="s">
        <v>17</v>
      </c>
      <c r="D310" s="3" t="s">
        <v>587</v>
      </c>
      <c r="E310" s="3" t="s">
        <v>588</v>
      </c>
      <c r="F310" s="3" t="s">
        <v>50</v>
      </c>
      <c r="G310" s="3" t="s">
        <v>16</v>
      </c>
      <c r="H310" s="4">
        <v>39853.536805555559</v>
      </c>
      <c r="I310" s="3">
        <v>33.870280000000001</v>
      </c>
      <c r="J310" s="3">
        <v>-117.92444</v>
      </c>
      <c r="K310" s="5">
        <v>92832</v>
      </c>
      <c r="L310" s="5">
        <f t="shared" si="8"/>
        <v>2009</v>
      </c>
      <c r="M310" s="5">
        <f t="shared" si="9"/>
        <v>39853</v>
      </c>
      <c r="N310" s="18">
        <v>0.51249999999999996</v>
      </c>
    </row>
    <row r="311" spans="1:14" x14ac:dyDescent="0.3">
      <c r="A311" s="6" t="s">
        <v>11</v>
      </c>
      <c r="B311" s="6">
        <v>1200</v>
      </c>
      <c r="C311" s="6" t="s">
        <v>65</v>
      </c>
      <c r="D311" s="6" t="s">
        <v>587</v>
      </c>
      <c r="E311" s="6" t="s">
        <v>242</v>
      </c>
      <c r="F311" s="6" t="s">
        <v>80</v>
      </c>
      <c r="G311" s="6" t="s">
        <v>16</v>
      </c>
      <c r="H311" s="7">
        <v>39853.576388888891</v>
      </c>
      <c r="I311" s="6">
        <v>33.748890000000003</v>
      </c>
      <c r="J311" s="6">
        <v>-84.388059999999996</v>
      </c>
      <c r="K311" s="8">
        <v>30334</v>
      </c>
      <c r="L311" s="8">
        <f t="shared" si="8"/>
        <v>2009</v>
      </c>
      <c r="M311" s="8">
        <f t="shared" si="9"/>
        <v>39853</v>
      </c>
      <c r="N311" s="19">
        <v>0.23749999999999999</v>
      </c>
    </row>
    <row r="312" spans="1:14" x14ac:dyDescent="0.3">
      <c r="A312" s="3" t="s">
        <v>11</v>
      </c>
      <c r="B312" s="3">
        <v>1200</v>
      </c>
      <c r="C312" s="3" t="s">
        <v>65</v>
      </c>
      <c r="D312" s="3" t="s">
        <v>589</v>
      </c>
      <c r="E312" s="3" t="s">
        <v>537</v>
      </c>
      <c r="F312" s="3" t="s">
        <v>293</v>
      </c>
      <c r="G312" s="3" t="s">
        <v>16</v>
      </c>
      <c r="H312" s="4">
        <v>39853.697222222225</v>
      </c>
      <c r="I312" s="3">
        <v>36.174999999999997</v>
      </c>
      <c r="J312" s="3">
        <v>-115.13639000000001</v>
      </c>
      <c r="K312" s="5">
        <v>89101</v>
      </c>
      <c r="L312" s="5">
        <f t="shared" si="8"/>
        <v>2009</v>
      </c>
      <c r="M312" s="5">
        <f t="shared" si="9"/>
        <v>39853</v>
      </c>
      <c r="N312" s="18">
        <v>0.39861111111111114</v>
      </c>
    </row>
    <row r="313" spans="1:14" x14ac:dyDescent="0.3">
      <c r="A313" s="6" t="s">
        <v>11</v>
      </c>
      <c r="B313" s="6">
        <v>1200</v>
      </c>
      <c r="C313" s="6" t="s">
        <v>12</v>
      </c>
      <c r="D313" s="6" t="s">
        <v>34</v>
      </c>
      <c r="E313" s="6" t="s">
        <v>590</v>
      </c>
      <c r="F313" s="6" t="s">
        <v>115</v>
      </c>
      <c r="G313" s="6" t="s">
        <v>16</v>
      </c>
      <c r="H313" s="7">
        <v>39853.736805555556</v>
      </c>
      <c r="I313" s="6">
        <v>42.68056</v>
      </c>
      <c r="J313" s="6">
        <v>-83.133889999999994</v>
      </c>
      <c r="K313" s="8">
        <v>48307</v>
      </c>
      <c r="L313" s="8">
        <f t="shared" si="8"/>
        <v>2009</v>
      </c>
      <c r="M313" s="8">
        <f t="shared" si="9"/>
        <v>39853</v>
      </c>
      <c r="N313" s="19">
        <v>0.32569444444444445</v>
      </c>
    </row>
    <row r="314" spans="1:14" x14ac:dyDescent="0.3">
      <c r="A314" s="3" t="s">
        <v>11</v>
      </c>
      <c r="B314" s="3">
        <v>1200</v>
      </c>
      <c r="C314" s="3" t="s">
        <v>12</v>
      </c>
      <c r="D314" s="3" t="s">
        <v>591</v>
      </c>
      <c r="E314" s="3" t="s">
        <v>592</v>
      </c>
      <c r="F314" s="3" t="s">
        <v>568</v>
      </c>
      <c r="G314" s="3" t="s">
        <v>16</v>
      </c>
      <c r="H314" s="4">
        <v>39853.780555555553</v>
      </c>
      <c r="I314" s="3">
        <v>44.383609999999997</v>
      </c>
      <c r="J314" s="3">
        <v>-89.817220000000006</v>
      </c>
      <c r="K314" s="5">
        <v>54494</v>
      </c>
      <c r="L314" s="5">
        <f t="shared" si="8"/>
        <v>2009</v>
      </c>
      <c r="M314" s="5">
        <f t="shared" si="9"/>
        <v>39853</v>
      </c>
      <c r="N314" s="18">
        <v>5.7638888888888892E-2</v>
      </c>
    </row>
    <row r="315" spans="1:14" x14ac:dyDescent="0.3">
      <c r="A315" s="6" t="s">
        <v>11</v>
      </c>
      <c r="B315" s="6">
        <v>1200</v>
      </c>
      <c r="C315" s="6" t="s">
        <v>12</v>
      </c>
      <c r="D315" s="6" t="s">
        <v>593</v>
      </c>
      <c r="E315" s="6" t="s">
        <v>315</v>
      </c>
      <c r="F315" s="6" t="s">
        <v>39</v>
      </c>
      <c r="G315" s="6" t="s">
        <v>16</v>
      </c>
      <c r="H315" s="7">
        <v>39853.830555555556</v>
      </c>
      <c r="I315" s="6">
        <v>30.266940000000002</v>
      </c>
      <c r="J315" s="6">
        <v>-97.742779999999996</v>
      </c>
      <c r="K315" s="8">
        <v>78701</v>
      </c>
      <c r="L315" s="8">
        <f t="shared" si="8"/>
        <v>2009</v>
      </c>
      <c r="M315" s="8">
        <f t="shared" si="9"/>
        <v>39853</v>
      </c>
      <c r="N315" s="19">
        <v>0.33402777777777776</v>
      </c>
    </row>
    <row r="316" spans="1:14" x14ac:dyDescent="0.3">
      <c r="A316" s="3" t="s">
        <v>11</v>
      </c>
      <c r="B316" s="3">
        <v>1200</v>
      </c>
      <c r="C316" s="3" t="s">
        <v>12</v>
      </c>
      <c r="D316" s="3" t="s">
        <v>594</v>
      </c>
      <c r="E316" s="3" t="s">
        <v>158</v>
      </c>
      <c r="F316" s="3" t="s">
        <v>30</v>
      </c>
      <c r="G316" s="3" t="s">
        <v>16</v>
      </c>
      <c r="H316" s="4">
        <v>39853.862500000003</v>
      </c>
      <c r="I316" s="3">
        <v>41.85</v>
      </c>
      <c r="J316" s="3">
        <v>-87.65</v>
      </c>
      <c r="K316" s="5">
        <v>60608</v>
      </c>
      <c r="L316" s="5">
        <f t="shared" si="8"/>
        <v>2009</v>
      </c>
      <c r="M316" s="5">
        <f t="shared" si="9"/>
        <v>39853</v>
      </c>
      <c r="N316" s="18">
        <v>0.52222222222222225</v>
      </c>
    </row>
    <row r="317" spans="1:14" x14ac:dyDescent="0.3">
      <c r="A317" s="6" t="s">
        <v>11</v>
      </c>
      <c r="B317" s="6">
        <v>1200</v>
      </c>
      <c r="C317" s="6" t="s">
        <v>12</v>
      </c>
      <c r="D317" s="6" t="s">
        <v>595</v>
      </c>
      <c r="E317" s="6" t="s">
        <v>537</v>
      </c>
      <c r="F317" s="6" t="s">
        <v>293</v>
      </c>
      <c r="G317" s="6" t="s">
        <v>16</v>
      </c>
      <c r="H317" s="7">
        <v>39853.957638888889</v>
      </c>
      <c r="I317" s="6">
        <v>36.174999999999997</v>
      </c>
      <c r="J317" s="6">
        <v>-115.13639000000001</v>
      </c>
      <c r="K317" s="8">
        <v>89101</v>
      </c>
      <c r="L317" s="5">
        <f t="shared" si="8"/>
        <v>2009</v>
      </c>
      <c r="M317" s="5">
        <f t="shared" si="9"/>
        <v>39853</v>
      </c>
      <c r="N317" s="18">
        <v>0.1076388888888889</v>
      </c>
    </row>
    <row r="318" spans="1:14" x14ac:dyDescent="0.3">
      <c r="A318" s="3" t="s">
        <v>21</v>
      </c>
      <c r="B318" s="3">
        <v>3600</v>
      </c>
      <c r="C318" s="3" t="s">
        <v>12</v>
      </c>
      <c r="D318" s="3" t="s">
        <v>596</v>
      </c>
      <c r="E318" s="3" t="s">
        <v>597</v>
      </c>
      <c r="F318" s="3" t="s">
        <v>195</v>
      </c>
      <c r="G318" s="3" t="s">
        <v>16</v>
      </c>
      <c r="H318" s="4">
        <v>39854.311805555553</v>
      </c>
      <c r="I318" s="3">
        <v>44.804169999999999</v>
      </c>
      <c r="J318" s="3">
        <v>-93.166669999999996</v>
      </c>
      <c r="K318" s="5">
        <v>55123</v>
      </c>
      <c r="L318" s="8">
        <f t="shared" si="8"/>
        <v>2009</v>
      </c>
      <c r="M318" s="8">
        <f t="shared" si="9"/>
        <v>39854</v>
      </c>
      <c r="N318" s="19">
        <v>0.41805555555555557</v>
      </c>
    </row>
    <row r="319" spans="1:14" x14ac:dyDescent="0.3">
      <c r="A319" s="6" t="s">
        <v>11</v>
      </c>
      <c r="B319" s="6">
        <v>1200</v>
      </c>
      <c r="C319" s="6" t="s">
        <v>17</v>
      </c>
      <c r="D319" s="6" t="s">
        <v>598</v>
      </c>
      <c r="E319" s="6" t="s">
        <v>599</v>
      </c>
      <c r="F319" s="6" t="s">
        <v>36</v>
      </c>
      <c r="G319" s="6" t="s">
        <v>16</v>
      </c>
      <c r="H319" s="7">
        <v>39854.45208333333</v>
      </c>
      <c r="I319" s="6">
        <v>40.686669999999999</v>
      </c>
      <c r="J319" s="6">
        <v>-73.373890000000003</v>
      </c>
      <c r="K319" s="8">
        <v>11757</v>
      </c>
      <c r="L319" s="5">
        <f t="shared" si="8"/>
        <v>2009</v>
      </c>
      <c r="M319" s="5">
        <f t="shared" si="9"/>
        <v>39854</v>
      </c>
      <c r="N319" s="18">
        <v>0.36388888888888887</v>
      </c>
    </row>
    <row r="320" spans="1:14" x14ac:dyDescent="0.3">
      <c r="A320" s="3" t="s">
        <v>11</v>
      </c>
      <c r="B320" s="3">
        <v>1200</v>
      </c>
      <c r="C320" s="3" t="s">
        <v>12</v>
      </c>
      <c r="D320" s="3" t="s">
        <v>488</v>
      </c>
      <c r="E320" s="3" t="s">
        <v>600</v>
      </c>
      <c r="F320" s="3" t="s">
        <v>115</v>
      </c>
      <c r="G320" s="3" t="s">
        <v>16</v>
      </c>
      <c r="H320" s="4">
        <v>39854.456944444442</v>
      </c>
      <c r="I320" s="3">
        <v>42.537779999999998</v>
      </c>
      <c r="J320" s="3">
        <v>-83.233059999999995</v>
      </c>
      <c r="K320" s="5">
        <v>48009</v>
      </c>
      <c r="L320" s="8">
        <f t="shared" si="8"/>
        <v>2009</v>
      </c>
      <c r="M320" s="8">
        <f t="shared" si="9"/>
        <v>39854</v>
      </c>
      <c r="N320" s="19">
        <v>0.38124999999999998</v>
      </c>
    </row>
    <row r="321" spans="1:14" x14ac:dyDescent="0.3">
      <c r="A321" s="6" t="s">
        <v>21</v>
      </c>
      <c r="B321" s="6">
        <v>3600</v>
      </c>
      <c r="C321" s="6" t="s">
        <v>65</v>
      </c>
      <c r="D321" s="6" t="s">
        <v>601</v>
      </c>
      <c r="E321" s="6" t="s">
        <v>166</v>
      </c>
      <c r="F321" s="6" t="s">
        <v>50</v>
      </c>
      <c r="G321" s="6" t="s">
        <v>16</v>
      </c>
      <c r="H321" s="7">
        <v>39854.54791666667</v>
      </c>
      <c r="I321" s="6">
        <v>34.052219999999998</v>
      </c>
      <c r="J321" s="6">
        <v>-118.24278</v>
      </c>
      <c r="K321" s="8">
        <v>90012</v>
      </c>
      <c r="L321" s="5">
        <f t="shared" si="8"/>
        <v>2009</v>
      </c>
      <c r="M321" s="5">
        <f t="shared" si="9"/>
        <v>39854</v>
      </c>
      <c r="N321" s="18">
        <v>0.47083333333333333</v>
      </c>
    </row>
    <row r="322" spans="1:14" x14ac:dyDescent="0.3">
      <c r="A322" s="3" t="s">
        <v>11</v>
      </c>
      <c r="B322" s="3">
        <v>1200</v>
      </c>
      <c r="C322" s="3" t="s">
        <v>17</v>
      </c>
      <c r="D322" s="3" t="s">
        <v>83</v>
      </c>
      <c r="E322" s="3" t="s">
        <v>365</v>
      </c>
      <c r="F322" s="3" t="s">
        <v>95</v>
      </c>
      <c r="G322" s="3" t="s">
        <v>16</v>
      </c>
      <c r="H322" s="4">
        <v>39854.611805555556</v>
      </c>
      <c r="I322" s="3">
        <v>35.052500000000002</v>
      </c>
      <c r="J322" s="3">
        <v>-78.878609999999995</v>
      </c>
      <c r="K322" s="5">
        <v>28301</v>
      </c>
      <c r="L322" s="8">
        <f t="shared" ref="L322:L385" si="10">YEAR(H322)</f>
        <v>2009</v>
      </c>
      <c r="M322" s="8">
        <f t="shared" ref="M322:M385" si="11">INT(H322)</f>
        <v>39854</v>
      </c>
      <c r="N322" s="19">
        <v>0.28333333333333333</v>
      </c>
    </row>
    <row r="323" spans="1:14" x14ac:dyDescent="0.3">
      <c r="A323" s="6" t="s">
        <v>11</v>
      </c>
      <c r="B323" s="6">
        <v>1200</v>
      </c>
      <c r="C323" s="6" t="s">
        <v>12</v>
      </c>
      <c r="D323" s="6" t="s">
        <v>602</v>
      </c>
      <c r="E323" s="6" t="s">
        <v>603</v>
      </c>
      <c r="F323" s="6" t="s">
        <v>604</v>
      </c>
      <c r="G323" s="6" t="s">
        <v>16</v>
      </c>
      <c r="H323" s="7">
        <v>39854.645833333336</v>
      </c>
      <c r="I323" s="6">
        <v>34.736939999999997</v>
      </c>
      <c r="J323" s="6">
        <v>-82.254440000000002</v>
      </c>
      <c r="K323" s="8">
        <v>29681</v>
      </c>
      <c r="L323" s="5">
        <f t="shared" si="10"/>
        <v>2009</v>
      </c>
      <c r="M323" s="5">
        <f t="shared" si="11"/>
        <v>39854</v>
      </c>
      <c r="N323" s="18">
        <v>0.25486111111111109</v>
      </c>
    </row>
    <row r="324" spans="1:14" x14ac:dyDescent="0.3">
      <c r="A324" s="3" t="s">
        <v>11</v>
      </c>
      <c r="B324" s="3">
        <v>1200</v>
      </c>
      <c r="C324" s="3" t="s">
        <v>12</v>
      </c>
      <c r="D324" s="3" t="s">
        <v>605</v>
      </c>
      <c r="E324" s="3" t="s">
        <v>606</v>
      </c>
      <c r="F324" s="3" t="s">
        <v>27</v>
      </c>
      <c r="G324" s="3" t="s">
        <v>16</v>
      </c>
      <c r="H324" s="4">
        <v>39854.761111111111</v>
      </c>
      <c r="I324" s="3">
        <v>40.83972</v>
      </c>
      <c r="J324" s="3">
        <v>-74.276939999999996</v>
      </c>
      <c r="K324" s="5">
        <v>7006</v>
      </c>
      <c r="L324" s="5">
        <f t="shared" si="10"/>
        <v>2009</v>
      </c>
      <c r="M324" s="5">
        <f t="shared" si="11"/>
        <v>39854</v>
      </c>
      <c r="N324" s="18">
        <v>0.46180555555555558</v>
      </c>
    </row>
    <row r="325" spans="1:14" x14ac:dyDescent="0.3">
      <c r="A325" s="6" t="s">
        <v>11</v>
      </c>
      <c r="B325" s="6">
        <v>1200</v>
      </c>
      <c r="C325" s="6" t="s">
        <v>12</v>
      </c>
      <c r="D325" s="6" t="s">
        <v>607</v>
      </c>
      <c r="E325" s="6" t="s">
        <v>440</v>
      </c>
      <c r="F325" s="6" t="s">
        <v>50</v>
      </c>
      <c r="G325" s="6" t="s">
        <v>16</v>
      </c>
      <c r="H325" s="7">
        <v>39854.998611111114</v>
      </c>
      <c r="I325" s="6">
        <v>37.339440000000003</v>
      </c>
      <c r="J325" s="6">
        <v>-121.89389</v>
      </c>
      <c r="K325" s="8">
        <v>95113</v>
      </c>
      <c r="L325" s="8">
        <f t="shared" si="10"/>
        <v>2009</v>
      </c>
      <c r="M325" s="8">
        <f t="shared" si="11"/>
        <v>39854</v>
      </c>
      <c r="N325" s="19">
        <v>7.013888888888889E-2</v>
      </c>
    </row>
    <row r="326" spans="1:14" x14ac:dyDescent="0.3">
      <c r="A326" s="3" t="s">
        <v>11</v>
      </c>
      <c r="B326" s="3">
        <v>1200</v>
      </c>
      <c r="C326" s="3" t="s">
        <v>12</v>
      </c>
      <c r="D326" s="3" t="s">
        <v>608</v>
      </c>
      <c r="E326" s="3" t="s">
        <v>609</v>
      </c>
      <c r="F326" s="3" t="s">
        <v>50</v>
      </c>
      <c r="G326" s="3" t="s">
        <v>16</v>
      </c>
      <c r="H326" s="4">
        <v>39855.356944444444</v>
      </c>
      <c r="I326" s="3">
        <v>38.589170000000003</v>
      </c>
      <c r="J326" s="3">
        <v>-121.30167</v>
      </c>
      <c r="K326" s="5">
        <v>95670</v>
      </c>
      <c r="L326" s="5">
        <f t="shared" si="10"/>
        <v>2009</v>
      </c>
      <c r="M326" s="5">
        <f t="shared" si="11"/>
        <v>39855</v>
      </c>
      <c r="N326" s="18">
        <v>0.3527777777777778</v>
      </c>
    </row>
    <row r="327" spans="1:14" x14ac:dyDescent="0.3">
      <c r="A327" s="6" t="s">
        <v>11</v>
      </c>
      <c r="B327" s="6">
        <v>1200</v>
      </c>
      <c r="C327" s="6" t="s">
        <v>12</v>
      </c>
      <c r="D327" s="6" t="s">
        <v>610</v>
      </c>
      <c r="E327" s="6" t="s">
        <v>405</v>
      </c>
      <c r="F327" s="6" t="s">
        <v>195</v>
      </c>
      <c r="G327" s="6" t="s">
        <v>16</v>
      </c>
      <c r="H327" s="7">
        <v>39855.482638888891</v>
      </c>
      <c r="I327" s="6">
        <v>44.98</v>
      </c>
      <c r="J327" s="6">
        <v>-93.26361</v>
      </c>
      <c r="K327" s="8">
        <v>55401</v>
      </c>
      <c r="L327" s="8">
        <f t="shared" si="10"/>
        <v>2009</v>
      </c>
      <c r="M327" s="8">
        <f t="shared" si="11"/>
        <v>39855</v>
      </c>
      <c r="N327" s="19">
        <v>0.29930555555555555</v>
      </c>
    </row>
    <row r="328" spans="1:14" x14ac:dyDescent="0.3">
      <c r="A328" s="3" t="s">
        <v>21</v>
      </c>
      <c r="B328" s="3">
        <v>3600</v>
      </c>
      <c r="C328" s="3" t="s">
        <v>17</v>
      </c>
      <c r="D328" s="3" t="s">
        <v>611</v>
      </c>
      <c r="E328" s="3" t="s">
        <v>70</v>
      </c>
      <c r="F328" s="3" t="s">
        <v>106</v>
      </c>
      <c r="G328" s="3" t="s">
        <v>16</v>
      </c>
      <c r="H328" s="4">
        <v>39855.489583333336</v>
      </c>
      <c r="I328" s="3">
        <v>39.516390000000001</v>
      </c>
      <c r="J328" s="3">
        <v>-76.616389999999996</v>
      </c>
      <c r="K328" s="5">
        <v>21131</v>
      </c>
      <c r="L328" s="5">
        <f t="shared" si="10"/>
        <v>2009</v>
      </c>
      <c r="M328" s="5">
        <f t="shared" si="11"/>
        <v>39855</v>
      </c>
      <c r="N328" s="18">
        <v>0.23541666666666666</v>
      </c>
    </row>
    <row r="329" spans="1:14" x14ac:dyDescent="0.3">
      <c r="A329" s="6" t="s">
        <v>11</v>
      </c>
      <c r="B329" s="6">
        <v>1200</v>
      </c>
      <c r="C329" s="6" t="s">
        <v>12</v>
      </c>
      <c r="D329" s="6" t="s">
        <v>612</v>
      </c>
      <c r="E329" s="6" t="s">
        <v>613</v>
      </c>
      <c r="F329" s="6" t="s">
        <v>36</v>
      </c>
      <c r="G329" s="6" t="s">
        <v>16</v>
      </c>
      <c r="H329" s="7">
        <v>39855.716666666667</v>
      </c>
      <c r="I329" s="6">
        <v>40.927779999999998</v>
      </c>
      <c r="J329" s="6">
        <v>-73.752219999999994</v>
      </c>
      <c r="K329" s="8">
        <v>10538</v>
      </c>
      <c r="L329" s="8">
        <f t="shared" si="10"/>
        <v>2009</v>
      </c>
      <c r="M329" s="8">
        <f t="shared" si="11"/>
        <v>39855</v>
      </c>
      <c r="N329" s="19">
        <v>0.36458333333333331</v>
      </c>
    </row>
    <row r="330" spans="1:14" x14ac:dyDescent="0.3">
      <c r="A330" s="3" t="s">
        <v>11</v>
      </c>
      <c r="B330" s="3">
        <v>1200</v>
      </c>
      <c r="C330" s="3" t="s">
        <v>12</v>
      </c>
      <c r="D330" s="3" t="s">
        <v>541</v>
      </c>
      <c r="E330" s="3" t="s">
        <v>614</v>
      </c>
      <c r="F330" s="3" t="s">
        <v>30</v>
      </c>
      <c r="G330" s="3" t="s">
        <v>16</v>
      </c>
      <c r="H330" s="4">
        <v>39855.747916666667</v>
      </c>
      <c r="I330" s="3">
        <v>41.914169999999999</v>
      </c>
      <c r="J330" s="3">
        <v>-88.308610000000002</v>
      </c>
      <c r="K330" s="5">
        <v>60174</v>
      </c>
      <c r="L330" s="5">
        <f t="shared" si="10"/>
        <v>2009</v>
      </c>
      <c r="M330" s="5">
        <f t="shared" si="11"/>
        <v>39855</v>
      </c>
      <c r="N330" s="18">
        <v>0.44791666666666669</v>
      </c>
    </row>
    <row r="331" spans="1:14" x14ac:dyDescent="0.3">
      <c r="A331" s="6" t="s">
        <v>11</v>
      </c>
      <c r="B331" s="6">
        <v>1200</v>
      </c>
      <c r="C331" s="6" t="s">
        <v>12</v>
      </c>
      <c r="D331" s="6" t="s">
        <v>615</v>
      </c>
      <c r="E331" s="6" t="s">
        <v>616</v>
      </c>
      <c r="F331" s="6" t="s">
        <v>33</v>
      </c>
      <c r="G331" s="6" t="s">
        <v>16</v>
      </c>
      <c r="H331" s="7">
        <v>39855.77847222222</v>
      </c>
      <c r="I331" s="6">
        <v>36.033059999999999</v>
      </c>
      <c r="J331" s="6">
        <v>-86.782780000000002</v>
      </c>
      <c r="K331" s="8">
        <v>37027</v>
      </c>
      <c r="L331" s="5">
        <f t="shared" si="10"/>
        <v>2009</v>
      </c>
      <c r="M331" s="5">
        <f t="shared" si="11"/>
        <v>39855</v>
      </c>
      <c r="N331" s="18">
        <v>0.36805555555555558</v>
      </c>
    </row>
    <row r="332" spans="1:14" x14ac:dyDescent="0.3">
      <c r="A332" s="3" t="s">
        <v>21</v>
      </c>
      <c r="B332" s="3">
        <v>3600</v>
      </c>
      <c r="C332" s="3" t="s">
        <v>12</v>
      </c>
      <c r="D332" s="3" t="s">
        <v>191</v>
      </c>
      <c r="E332" s="3" t="s">
        <v>617</v>
      </c>
      <c r="F332" s="3" t="s">
        <v>61</v>
      </c>
      <c r="G332" s="3" t="s">
        <v>16</v>
      </c>
      <c r="H332" s="4">
        <v>39855.786805555559</v>
      </c>
      <c r="I332" s="3">
        <v>30.421109999999999</v>
      </c>
      <c r="J332" s="3">
        <v>-87.216939999999994</v>
      </c>
      <c r="K332" s="5">
        <v>32501</v>
      </c>
      <c r="L332" s="8">
        <f t="shared" si="10"/>
        <v>2009</v>
      </c>
      <c r="M332" s="8">
        <f t="shared" si="11"/>
        <v>39855</v>
      </c>
      <c r="N332" s="19">
        <v>0.2986111111111111</v>
      </c>
    </row>
    <row r="333" spans="1:14" x14ac:dyDescent="0.3">
      <c r="A333" s="6" t="s">
        <v>11</v>
      </c>
      <c r="B333" s="6">
        <v>1200</v>
      </c>
      <c r="C333" s="6" t="s">
        <v>65</v>
      </c>
      <c r="D333" s="6" t="s">
        <v>618</v>
      </c>
      <c r="E333" s="6" t="s">
        <v>619</v>
      </c>
      <c r="F333" s="6" t="s">
        <v>61</v>
      </c>
      <c r="G333" s="6" t="s">
        <v>16</v>
      </c>
      <c r="H333" s="7">
        <v>39856.195138888892</v>
      </c>
      <c r="I333" s="6">
        <v>27.77056</v>
      </c>
      <c r="J333" s="6">
        <v>-82.67944</v>
      </c>
      <c r="K333" s="8">
        <v>33711</v>
      </c>
      <c r="L333" s="5">
        <f t="shared" si="10"/>
        <v>2009</v>
      </c>
      <c r="M333" s="5">
        <f t="shared" si="11"/>
        <v>39856</v>
      </c>
      <c r="N333" s="18">
        <v>0.25624999999999998</v>
      </c>
    </row>
    <row r="334" spans="1:14" x14ac:dyDescent="0.3">
      <c r="A334" s="3" t="s">
        <v>11</v>
      </c>
      <c r="B334" s="3">
        <v>1200</v>
      </c>
      <c r="C334" s="3" t="s">
        <v>12</v>
      </c>
      <c r="D334" s="3" t="s">
        <v>83</v>
      </c>
      <c r="E334" s="3" t="s">
        <v>620</v>
      </c>
      <c r="F334" s="3" t="s">
        <v>68</v>
      </c>
      <c r="G334" s="3" t="s">
        <v>16</v>
      </c>
      <c r="H334" s="4">
        <v>39856.434027777781</v>
      </c>
      <c r="I334" s="3">
        <v>38.942219999999999</v>
      </c>
      <c r="J334" s="3">
        <v>-77.182500000000005</v>
      </c>
      <c r="K334" s="5">
        <v>22101</v>
      </c>
      <c r="L334" s="8">
        <f t="shared" si="10"/>
        <v>2009</v>
      </c>
      <c r="M334" s="8">
        <f t="shared" si="11"/>
        <v>39856</v>
      </c>
      <c r="N334" s="19">
        <v>0.28819444444444442</v>
      </c>
    </row>
    <row r="335" spans="1:14" x14ac:dyDescent="0.3">
      <c r="A335" s="6" t="s">
        <v>11</v>
      </c>
      <c r="B335" s="6">
        <v>1200</v>
      </c>
      <c r="C335" s="6" t="s">
        <v>17</v>
      </c>
      <c r="D335" s="6" t="s">
        <v>66</v>
      </c>
      <c r="E335" s="6" t="s">
        <v>621</v>
      </c>
      <c r="F335" s="6" t="s">
        <v>33</v>
      </c>
      <c r="G335" s="6" t="s">
        <v>16</v>
      </c>
      <c r="H335" s="7">
        <v>39856.479861111111</v>
      </c>
      <c r="I335" s="6">
        <v>36.304720000000003</v>
      </c>
      <c r="J335" s="6">
        <v>-86.62</v>
      </c>
      <c r="K335" s="8">
        <v>37075</v>
      </c>
      <c r="L335" s="5">
        <f t="shared" si="10"/>
        <v>2009</v>
      </c>
      <c r="M335" s="5">
        <f t="shared" si="11"/>
        <v>39856</v>
      </c>
      <c r="N335" s="18">
        <v>0.28749999999999998</v>
      </c>
    </row>
    <row r="336" spans="1:14" x14ac:dyDescent="0.3">
      <c r="A336" s="3" t="s">
        <v>11</v>
      </c>
      <c r="B336" s="3">
        <v>1200</v>
      </c>
      <c r="C336" s="3" t="s">
        <v>12</v>
      </c>
      <c r="D336" s="3" t="s">
        <v>189</v>
      </c>
      <c r="E336" s="3" t="s">
        <v>590</v>
      </c>
      <c r="F336" s="3" t="s">
        <v>115</v>
      </c>
      <c r="G336" s="3" t="s">
        <v>16</v>
      </c>
      <c r="H336" s="4">
        <v>39856.542361111111</v>
      </c>
      <c r="I336" s="3">
        <v>42.68056</v>
      </c>
      <c r="J336" s="3">
        <v>-83.133889999999994</v>
      </c>
      <c r="K336" s="5">
        <v>48307</v>
      </c>
      <c r="L336" s="8">
        <f t="shared" si="10"/>
        <v>2009</v>
      </c>
      <c r="M336" s="8">
        <f t="shared" si="11"/>
        <v>39856</v>
      </c>
      <c r="N336" s="19">
        <v>0.28541666666666665</v>
      </c>
    </row>
    <row r="337" spans="1:14" x14ac:dyDescent="0.3">
      <c r="A337" s="6" t="s">
        <v>11</v>
      </c>
      <c r="B337" s="6">
        <v>1200</v>
      </c>
      <c r="C337" s="6" t="s">
        <v>65</v>
      </c>
      <c r="D337" s="6" t="s">
        <v>622</v>
      </c>
      <c r="E337" s="6" t="s">
        <v>623</v>
      </c>
      <c r="F337" s="6" t="s">
        <v>50</v>
      </c>
      <c r="G337" s="6" t="s">
        <v>16</v>
      </c>
      <c r="H337" s="7">
        <v>39856.818749999999</v>
      </c>
      <c r="I337" s="6">
        <v>34.005000000000003</v>
      </c>
      <c r="J337" s="6">
        <v>-118.80916999999999</v>
      </c>
      <c r="K337" s="8">
        <v>90265</v>
      </c>
      <c r="L337" s="5">
        <f t="shared" si="10"/>
        <v>2009</v>
      </c>
      <c r="M337" s="5">
        <f t="shared" si="11"/>
        <v>39856</v>
      </c>
      <c r="N337" s="18">
        <v>0.12430555555555556</v>
      </c>
    </row>
    <row r="338" spans="1:14" x14ac:dyDescent="0.3">
      <c r="A338" s="3" t="s">
        <v>11</v>
      </c>
      <c r="B338" s="3">
        <v>1200</v>
      </c>
      <c r="C338" s="3" t="s">
        <v>12</v>
      </c>
      <c r="D338" s="3" t="s">
        <v>250</v>
      </c>
      <c r="E338" s="3" t="s">
        <v>624</v>
      </c>
      <c r="F338" s="3" t="s">
        <v>39</v>
      </c>
      <c r="G338" s="3" t="s">
        <v>16</v>
      </c>
      <c r="H338" s="4">
        <v>39856.945138888892</v>
      </c>
      <c r="I338" s="3">
        <v>33.103059999999999</v>
      </c>
      <c r="J338" s="3">
        <v>-96.670280000000005</v>
      </c>
      <c r="K338" s="5">
        <v>75013</v>
      </c>
      <c r="L338" s="5">
        <f t="shared" si="10"/>
        <v>2009</v>
      </c>
      <c r="M338" s="5">
        <f t="shared" si="11"/>
        <v>39856</v>
      </c>
      <c r="N338" s="18">
        <v>0.15416666666666667</v>
      </c>
    </row>
    <row r="339" spans="1:14" x14ac:dyDescent="0.3">
      <c r="A339" s="6" t="s">
        <v>11</v>
      </c>
      <c r="B339" s="6">
        <v>1200</v>
      </c>
      <c r="C339" s="6" t="s">
        <v>65</v>
      </c>
      <c r="D339" s="6" t="s">
        <v>625</v>
      </c>
      <c r="E339" s="6" t="s">
        <v>626</v>
      </c>
      <c r="F339" s="6" t="s">
        <v>61</v>
      </c>
      <c r="G339" s="6" t="s">
        <v>16</v>
      </c>
      <c r="H339" s="7">
        <v>39857.518055555556</v>
      </c>
      <c r="I339" s="6">
        <v>25.790279999999999</v>
      </c>
      <c r="J339" s="6">
        <v>-80.130279999999999</v>
      </c>
      <c r="K339" s="8">
        <v>33139</v>
      </c>
      <c r="L339" s="8">
        <f t="shared" si="10"/>
        <v>2009</v>
      </c>
      <c r="M339" s="8">
        <f t="shared" si="11"/>
        <v>39857</v>
      </c>
      <c r="N339" s="19">
        <v>0.32569444444444445</v>
      </c>
    </row>
    <row r="340" spans="1:14" x14ac:dyDescent="0.3">
      <c r="A340" s="3" t="s">
        <v>11</v>
      </c>
      <c r="B340" s="3">
        <v>1200</v>
      </c>
      <c r="C340" s="3" t="s">
        <v>17</v>
      </c>
      <c r="D340" s="3" t="s">
        <v>434</v>
      </c>
      <c r="E340" s="3" t="s">
        <v>35</v>
      </c>
      <c r="F340" s="3" t="s">
        <v>36</v>
      </c>
      <c r="G340" s="3" t="s">
        <v>16</v>
      </c>
      <c r="H340" s="4">
        <v>39857.611805555556</v>
      </c>
      <c r="I340" s="3">
        <v>40.714170000000003</v>
      </c>
      <c r="J340" s="3">
        <v>-74.006389999999996</v>
      </c>
      <c r="K340" s="5">
        <v>10007</v>
      </c>
      <c r="L340" s="5">
        <f t="shared" si="10"/>
        <v>2009</v>
      </c>
      <c r="M340" s="5">
        <f t="shared" si="11"/>
        <v>39857</v>
      </c>
      <c r="N340" s="18">
        <v>0.44027777777777777</v>
      </c>
    </row>
    <row r="341" spans="1:14" x14ac:dyDescent="0.3">
      <c r="A341" s="6" t="s">
        <v>11</v>
      </c>
      <c r="B341" s="6">
        <v>1200</v>
      </c>
      <c r="C341" s="6" t="s">
        <v>17</v>
      </c>
      <c r="D341" s="6" t="s">
        <v>627</v>
      </c>
      <c r="E341" s="6" t="s">
        <v>628</v>
      </c>
      <c r="F341" s="6" t="s">
        <v>50</v>
      </c>
      <c r="G341" s="6" t="s">
        <v>16</v>
      </c>
      <c r="H341" s="7">
        <v>39857.697916666664</v>
      </c>
      <c r="I341" s="6">
        <v>34.168329999999997</v>
      </c>
      <c r="J341" s="6">
        <v>-118.605</v>
      </c>
      <c r="K341" s="8">
        <v>91364</v>
      </c>
      <c r="L341" s="8">
        <f t="shared" si="10"/>
        <v>2009</v>
      </c>
      <c r="M341" s="8">
        <f t="shared" si="11"/>
        <v>39857</v>
      </c>
      <c r="N341" s="19">
        <v>0.16805555555555557</v>
      </c>
    </row>
    <row r="342" spans="1:14" x14ac:dyDescent="0.3">
      <c r="A342" s="3" t="s">
        <v>11</v>
      </c>
      <c r="B342" s="3">
        <v>1200</v>
      </c>
      <c r="C342" s="3" t="s">
        <v>12</v>
      </c>
      <c r="D342" s="3" t="s">
        <v>629</v>
      </c>
      <c r="E342" s="3" t="s">
        <v>275</v>
      </c>
      <c r="F342" s="3" t="s">
        <v>276</v>
      </c>
      <c r="G342" s="3" t="s">
        <v>16</v>
      </c>
      <c r="H342" s="4">
        <v>39857.723611111112</v>
      </c>
      <c r="I342" s="3">
        <v>61.218060000000001</v>
      </c>
      <c r="J342" s="3">
        <v>-149.90028000000001</v>
      </c>
      <c r="K342" s="5">
        <v>99501</v>
      </c>
      <c r="L342" s="5">
        <f t="shared" si="10"/>
        <v>2009</v>
      </c>
      <c r="M342" s="5">
        <f t="shared" si="11"/>
        <v>39857</v>
      </c>
      <c r="N342" s="18">
        <v>0.25347222222222221</v>
      </c>
    </row>
    <row r="343" spans="1:14" x14ac:dyDescent="0.3">
      <c r="A343" s="6" t="s">
        <v>11</v>
      </c>
      <c r="B343" s="6">
        <v>1200</v>
      </c>
      <c r="C343" s="6" t="s">
        <v>12</v>
      </c>
      <c r="D343" s="6" t="s">
        <v>630</v>
      </c>
      <c r="E343" s="6" t="s">
        <v>631</v>
      </c>
      <c r="F343" s="6" t="s">
        <v>50</v>
      </c>
      <c r="G343" s="6" t="s">
        <v>16</v>
      </c>
      <c r="H343" s="7">
        <v>39857.813888888886</v>
      </c>
      <c r="I343" s="6">
        <v>33.88861</v>
      </c>
      <c r="J343" s="6">
        <v>-117.81222</v>
      </c>
      <c r="K343" s="8">
        <v>92886</v>
      </c>
      <c r="L343" s="8">
        <f t="shared" si="10"/>
        <v>2009</v>
      </c>
      <c r="M343" s="8">
        <f t="shared" si="11"/>
        <v>39857</v>
      </c>
      <c r="N343" s="19">
        <v>0.36944444444444446</v>
      </c>
    </row>
    <row r="344" spans="1:14" x14ac:dyDescent="0.3">
      <c r="A344" s="3" t="s">
        <v>11</v>
      </c>
      <c r="B344" s="3">
        <v>1200</v>
      </c>
      <c r="C344" s="3" t="s">
        <v>65</v>
      </c>
      <c r="D344" s="3" t="s">
        <v>632</v>
      </c>
      <c r="E344" s="3" t="s">
        <v>633</v>
      </c>
      <c r="F344" s="3" t="s">
        <v>217</v>
      </c>
      <c r="G344" s="3" t="s">
        <v>16</v>
      </c>
      <c r="H344" s="4">
        <v>39857.847222222219</v>
      </c>
      <c r="I344" s="3">
        <v>42.309719999999999</v>
      </c>
      <c r="J344" s="3">
        <v>-71.120829999999998</v>
      </c>
      <c r="K344" s="5">
        <v>2130</v>
      </c>
      <c r="L344" s="5">
        <f t="shared" si="10"/>
        <v>2009</v>
      </c>
      <c r="M344" s="5">
        <f t="shared" si="11"/>
        <v>39857</v>
      </c>
      <c r="N344" s="18">
        <v>0.44027777777777777</v>
      </c>
    </row>
    <row r="345" spans="1:14" x14ac:dyDescent="0.3">
      <c r="A345" s="6" t="s">
        <v>11</v>
      </c>
      <c r="B345" s="6">
        <v>1200</v>
      </c>
      <c r="C345" s="6" t="s">
        <v>12</v>
      </c>
      <c r="D345" s="6" t="s">
        <v>634</v>
      </c>
      <c r="E345" s="6" t="s">
        <v>635</v>
      </c>
      <c r="F345" s="6" t="s">
        <v>50</v>
      </c>
      <c r="G345" s="6" t="s">
        <v>16</v>
      </c>
      <c r="H345" s="7">
        <v>39858.417361111111</v>
      </c>
      <c r="I345" s="6">
        <v>34.073610000000002</v>
      </c>
      <c r="J345" s="6">
        <v>-118.39944</v>
      </c>
      <c r="K345" s="8">
        <v>90210</v>
      </c>
      <c r="L345" s="5">
        <f t="shared" si="10"/>
        <v>2009</v>
      </c>
      <c r="M345" s="5">
        <f t="shared" si="11"/>
        <v>39858</v>
      </c>
      <c r="N345" s="18">
        <v>0.42152777777777778</v>
      </c>
    </row>
    <row r="346" spans="1:14" x14ac:dyDescent="0.3">
      <c r="A346" s="3" t="s">
        <v>21</v>
      </c>
      <c r="B346" s="3">
        <v>3600</v>
      </c>
      <c r="C346" s="3" t="s">
        <v>12</v>
      </c>
      <c r="D346" s="3" t="s">
        <v>636</v>
      </c>
      <c r="E346" s="3" t="s">
        <v>637</v>
      </c>
      <c r="F346" s="3" t="s">
        <v>50</v>
      </c>
      <c r="G346" s="3" t="s">
        <v>16</v>
      </c>
      <c r="H346" s="4">
        <v>39858.444444444445</v>
      </c>
      <c r="I346" s="3">
        <v>38.40222</v>
      </c>
      <c r="J346" s="3">
        <v>-122.82277999999999</v>
      </c>
      <c r="K346" s="5">
        <v>95472</v>
      </c>
      <c r="L346" s="8">
        <f t="shared" si="10"/>
        <v>2009</v>
      </c>
      <c r="M346" s="8">
        <f t="shared" si="11"/>
        <v>39858</v>
      </c>
      <c r="N346" s="19">
        <v>0.52430555555555558</v>
      </c>
    </row>
    <row r="347" spans="1:14" x14ac:dyDescent="0.3">
      <c r="A347" s="6" t="s">
        <v>11</v>
      </c>
      <c r="B347" s="6">
        <v>1200</v>
      </c>
      <c r="C347" s="6" t="s">
        <v>12</v>
      </c>
      <c r="D347" s="6" t="s">
        <v>308</v>
      </c>
      <c r="E347" s="6" t="s">
        <v>638</v>
      </c>
      <c r="F347" s="6" t="s">
        <v>50</v>
      </c>
      <c r="G347" s="6" t="s">
        <v>16</v>
      </c>
      <c r="H347" s="7">
        <v>39858.474305555559</v>
      </c>
      <c r="I347" s="6">
        <v>34.136110000000002</v>
      </c>
      <c r="J347" s="6">
        <v>-117.86444</v>
      </c>
      <c r="K347" s="8">
        <v>91741</v>
      </c>
      <c r="L347" s="5">
        <f t="shared" si="10"/>
        <v>2009</v>
      </c>
      <c r="M347" s="5">
        <f t="shared" si="11"/>
        <v>39858</v>
      </c>
      <c r="N347" s="18">
        <v>0.20555555555555555</v>
      </c>
    </row>
    <row r="348" spans="1:14" x14ac:dyDescent="0.3">
      <c r="A348" s="3" t="s">
        <v>11</v>
      </c>
      <c r="B348" s="3">
        <v>1200</v>
      </c>
      <c r="C348" s="3" t="s">
        <v>12</v>
      </c>
      <c r="D348" s="3" t="s">
        <v>639</v>
      </c>
      <c r="E348" s="3" t="s">
        <v>640</v>
      </c>
      <c r="F348" s="3" t="s">
        <v>353</v>
      </c>
      <c r="G348" s="3" t="s">
        <v>16</v>
      </c>
      <c r="H348" s="4">
        <v>39858.685416666667</v>
      </c>
      <c r="I348" s="3">
        <v>45.783329999999999</v>
      </c>
      <c r="J348" s="3">
        <v>-108.5</v>
      </c>
      <c r="K348" s="5">
        <v>59101</v>
      </c>
      <c r="L348" s="8">
        <f t="shared" si="10"/>
        <v>2009</v>
      </c>
      <c r="M348" s="8">
        <f t="shared" si="11"/>
        <v>39858</v>
      </c>
      <c r="N348" s="19">
        <v>0.27291666666666664</v>
      </c>
    </row>
    <row r="349" spans="1:14" x14ac:dyDescent="0.3">
      <c r="A349" s="6" t="s">
        <v>11</v>
      </c>
      <c r="B349" s="6">
        <v>1200</v>
      </c>
      <c r="C349" s="6" t="s">
        <v>12</v>
      </c>
      <c r="D349" s="6" t="s">
        <v>641</v>
      </c>
      <c r="E349" s="6" t="s">
        <v>642</v>
      </c>
      <c r="F349" s="6" t="s">
        <v>30</v>
      </c>
      <c r="G349" s="6" t="s">
        <v>16</v>
      </c>
      <c r="H349" s="7">
        <v>39858.738194444442</v>
      </c>
      <c r="I349" s="6">
        <v>42.283059999999999</v>
      </c>
      <c r="J349" s="6">
        <v>-87.953059999999994</v>
      </c>
      <c r="K349" s="8">
        <v>60048</v>
      </c>
      <c r="L349" s="5">
        <f t="shared" si="10"/>
        <v>2009</v>
      </c>
      <c r="M349" s="5">
        <f t="shared" si="11"/>
        <v>39858</v>
      </c>
      <c r="N349" s="18">
        <v>0.48819444444444443</v>
      </c>
    </row>
    <row r="350" spans="1:14" x14ac:dyDescent="0.3">
      <c r="A350" s="3" t="s">
        <v>21</v>
      </c>
      <c r="B350" s="3">
        <v>3600</v>
      </c>
      <c r="C350" s="3" t="s">
        <v>65</v>
      </c>
      <c r="D350" s="3" t="s">
        <v>643</v>
      </c>
      <c r="E350" s="3" t="s">
        <v>644</v>
      </c>
      <c r="F350" s="3" t="s">
        <v>50</v>
      </c>
      <c r="G350" s="3" t="s">
        <v>16</v>
      </c>
      <c r="H350" s="4">
        <v>39858.799305555556</v>
      </c>
      <c r="I350" s="3">
        <v>33.493609999999997</v>
      </c>
      <c r="J350" s="3">
        <v>-117.14749999999999</v>
      </c>
      <c r="K350" s="5">
        <v>92590</v>
      </c>
      <c r="L350" s="8">
        <f t="shared" si="10"/>
        <v>2009</v>
      </c>
      <c r="M350" s="8">
        <f t="shared" si="11"/>
        <v>39858</v>
      </c>
      <c r="N350" s="19">
        <v>0.1875</v>
      </c>
    </row>
    <row r="351" spans="1:14" x14ac:dyDescent="0.3">
      <c r="A351" s="6" t="s">
        <v>11</v>
      </c>
      <c r="B351" s="6">
        <v>1200</v>
      </c>
      <c r="C351" s="6" t="s">
        <v>12</v>
      </c>
      <c r="D351" s="6" t="s">
        <v>645</v>
      </c>
      <c r="E351" s="6" t="s">
        <v>646</v>
      </c>
      <c r="F351" s="6" t="s">
        <v>42</v>
      </c>
      <c r="G351" s="6" t="s">
        <v>16</v>
      </c>
      <c r="H351" s="7">
        <v>39858.804861111108</v>
      </c>
      <c r="I351" s="6">
        <v>43.613610000000001</v>
      </c>
      <c r="J351" s="6">
        <v>-116.2025</v>
      </c>
      <c r="K351" s="8">
        <v>83702</v>
      </c>
      <c r="L351" s="5">
        <f t="shared" si="10"/>
        <v>2009</v>
      </c>
      <c r="M351" s="5">
        <f t="shared" si="11"/>
        <v>39858</v>
      </c>
      <c r="N351" s="18">
        <v>0.5395833333333333</v>
      </c>
    </row>
    <row r="352" spans="1:14" x14ac:dyDescent="0.3">
      <c r="A352" s="3" t="s">
        <v>11</v>
      </c>
      <c r="B352" s="3">
        <v>1200</v>
      </c>
      <c r="C352" s="3" t="s">
        <v>12</v>
      </c>
      <c r="D352" s="3" t="s">
        <v>647</v>
      </c>
      <c r="E352" s="3" t="s">
        <v>648</v>
      </c>
      <c r="F352" s="3" t="s">
        <v>604</v>
      </c>
      <c r="G352" s="3" t="s">
        <v>16</v>
      </c>
      <c r="H352" s="4">
        <v>39858.81527777778</v>
      </c>
      <c r="I352" s="3">
        <v>34.924720000000001</v>
      </c>
      <c r="J352" s="3">
        <v>-81.025279999999995</v>
      </c>
      <c r="K352" s="5">
        <v>29730</v>
      </c>
      <c r="L352" s="5">
        <f t="shared" si="10"/>
        <v>2009</v>
      </c>
      <c r="M352" s="5">
        <f t="shared" si="11"/>
        <v>39858</v>
      </c>
      <c r="N352" s="18">
        <v>0.20277777777777778</v>
      </c>
    </row>
    <row r="353" spans="1:14" x14ac:dyDescent="0.3">
      <c r="A353" s="6" t="s">
        <v>11</v>
      </c>
      <c r="B353" s="6">
        <v>1200</v>
      </c>
      <c r="C353" s="6" t="s">
        <v>17</v>
      </c>
      <c r="D353" s="6" t="s">
        <v>649</v>
      </c>
      <c r="E353" s="6" t="s">
        <v>385</v>
      </c>
      <c r="F353" s="6" t="s">
        <v>124</v>
      </c>
      <c r="G353" s="6" t="s">
        <v>16</v>
      </c>
      <c r="H353" s="7">
        <v>39858.81527777778</v>
      </c>
      <c r="I353" s="6">
        <v>21.425560000000001</v>
      </c>
      <c r="J353" s="6">
        <v>-157.96082999999999</v>
      </c>
      <c r="K353" s="8">
        <v>96782</v>
      </c>
      <c r="L353" s="8">
        <f t="shared" si="10"/>
        <v>2009</v>
      </c>
      <c r="M353" s="8">
        <f t="shared" si="11"/>
        <v>39858</v>
      </c>
      <c r="N353" s="19">
        <v>0.50277777777777777</v>
      </c>
    </row>
    <row r="354" spans="1:14" x14ac:dyDescent="0.3">
      <c r="A354" s="3" t="s">
        <v>11</v>
      </c>
      <c r="B354" s="3">
        <v>1200</v>
      </c>
      <c r="C354" s="3" t="s">
        <v>12</v>
      </c>
      <c r="D354" s="3" t="s">
        <v>650</v>
      </c>
      <c r="E354" s="3" t="s">
        <v>651</v>
      </c>
      <c r="F354" s="3" t="s">
        <v>132</v>
      </c>
      <c r="G354" s="3" t="s">
        <v>16</v>
      </c>
      <c r="H354" s="4">
        <v>39859.338888888888</v>
      </c>
      <c r="I354" s="3">
        <v>39.836669999999998</v>
      </c>
      <c r="J354" s="3">
        <v>-105.03667</v>
      </c>
      <c r="K354" s="5">
        <v>80030</v>
      </c>
      <c r="L354" s="5">
        <f t="shared" si="10"/>
        <v>2009</v>
      </c>
      <c r="M354" s="5">
        <f t="shared" si="11"/>
        <v>39859</v>
      </c>
      <c r="N354" s="18">
        <v>0.24166666666666667</v>
      </c>
    </row>
    <row r="355" spans="1:14" x14ac:dyDescent="0.3">
      <c r="A355" s="6" t="s">
        <v>21</v>
      </c>
      <c r="B355" s="6">
        <v>3600</v>
      </c>
      <c r="C355" s="6" t="s">
        <v>12</v>
      </c>
      <c r="D355" s="6" t="s">
        <v>652</v>
      </c>
      <c r="E355" s="6" t="s">
        <v>495</v>
      </c>
      <c r="F355" s="6" t="s">
        <v>169</v>
      </c>
      <c r="G355" s="6" t="s">
        <v>16</v>
      </c>
      <c r="H355" s="7">
        <v>39859.569444444445</v>
      </c>
      <c r="I355" s="6">
        <v>47.530279999999998</v>
      </c>
      <c r="J355" s="6">
        <v>-122.03139</v>
      </c>
      <c r="K355" s="8">
        <v>98027</v>
      </c>
      <c r="L355" s="8">
        <f t="shared" si="10"/>
        <v>2009</v>
      </c>
      <c r="M355" s="8">
        <f t="shared" si="11"/>
        <v>39859</v>
      </c>
      <c r="N355" s="19">
        <v>0.50347222222222221</v>
      </c>
    </row>
    <row r="356" spans="1:14" x14ac:dyDescent="0.3">
      <c r="A356" s="3" t="s">
        <v>11</v>
      </c>
      <c r="B356" s="3">
        <v>1200</v>
      </c>
      <c r="C356" s="3" t="s">
        <v>17</v>
      </c>
      <c r="D356" s="3" t="s">
        <v>653</v>
      </c>
      <c r="E356" s="3" t="s">
        <v>654</v>
      </c>
      <c r="F356" s="3" t="s">
        <v>50</v>
      </c>
      <c r="G356" s="3" t="s">
        <v>16</v>
      </c>
      <c r="H356" s="4">
        <v>39859.640972222223</v>
      </c>
      <c r="I356" s="3">
        <v>33.816940000000002</v>
      </c>
      <c r="J356" s="3">
        <v>-118.03639</v>
      </c>
      <c r="K356" s="5">
        <v>90630</v>
      </c>
      <c r="L356" s="5">
        <f t="shared" si="10"/>
        <v>2009</v>
      </c>
      <c r="M356" s="5">
        <f t="shared" si="11"/>
        <v>39859</v>
      </c>
      <c r="N356" s="18">
        <v>0.12152777777777778</v>
      </c>
    </row>
    <row r="357" spans="1:14" x14ac:dyDescent="0.3">
      <c r="A357" s="6" t="s">
        <v>11</v>
      </c>
      <c r="B357" s="6">
        <v>1200</v>
      </c>
      <c r="C357" s="6" t="s">
        <v>12</v>
      </c>
      <c r="D357" s="6" t="s">
        <v>655</v>
      </c>
      <c r="E357" s="6" t="s">
        <v>656</v>
      </c>
      <c r="F357" s="6" t="s">
        <v>240</v>
      </c>
      <c r="G357" s="6" t="s">
        <v>16</v>
      </c>
      <c r="H357" s="7">
        <v>39859.657638888886</v>
      </c>
      <c r="I357" s="6">
        <v>40.157220000000002</v>
      </c>
      <c r="J357" s="6">
        <v>-76.307220000000001</v>
      </c>
      <c r="K357" s="8">
        <v>17543</v>
      </c>
      <c r="L357" s="8">
        <f t="shared" si="10"/>
        <v>2009</v>
      </c>
      <c r="M357" s="8">
        <f t="shared" si="11"/>
        <v>39859</v>
      </c>
      <c r="N357" s="19">
        <v>0.27847222222222223</v>
      </c>
    </row>
    <row r="358" spans="1:14" x14ac:dyDescent="0.3">
      <c r="A358" s="3" t="s">
        <v>11</v>
      </c>
      <c r="B358" s="3">
        <v>1200</v>
      </c>
      <c r="C358" s="3" t="s">
        <v>12</v>
      </c>
      <c r="D358" s="3" t="s">
        <v>657</v>
      </c>
      <c r="E358" s="3" t="s">
        <v>658</v>
      </c>
      <c r="F358" s="3" t="s">
        <v>240</v>
      </c>
      <c r="G358" s="3" t="s">
        <v>16</v>
      </c>
      <c r="H358" s="4">
        <v>39859.67083333333</v>
      </c>
      <c r="I358" s="3">
        <v>39.871670000000002</v>
      </c>
      <c r="J358" s="3">
        <v>-75.591669999999993</v>
      </c>
      <c r="K358" s="5">
        <v>19317</v>
      </c>
      <c r="L358" s="5">
        <f t="shared" si="10"/>
        <v>2009</v>
      </c>
      <c r="M358" s="5">
        <f t="shared" si="11"/>
        <v>39859</v>
      </c>
      <c r="N358" s="18">
        <v>0.30486111111111114</v>
      </c>
    </row>
    <row r="359" spans="1:14" x14ac:dyDescent="0.3">
      <c r="A359" s="6" t="s">
        <v>21</v>
      </c>
      <c r="B359" s="6">
        <v>3600</v>
      </c>
      <c r="C359" s="6" t="s">
        <v>12</v>
      </c>
      <c r="D359" s="6" t="s">
        <v>659</v>
      </c>
      <c r="E359" s="6" t="s">
        <v>660</v>
      </c>
      <c r="F359" s="6" t="s">
        <v>661</v>
      </c>
      <c r="G359" s="6" t="s">
        <v>16</v>
      </c>
      <c r="H359" s="7">
        <v>39859.755555555559</v>
      </c>
      <c r="I359" s="6">
        <v>18.359169999999999</v>
      </c>
      <c r="J359" s="6">
        <v>-64.921109999999999</v>
      </c>
      <c r="K359" s="8">
        <v>802</v>
      </c>
      <c r="L359" s="5">
        <f t="shared" si="10"/>
        <v>2009</v>
      </c>
      <c r="M359" s="5">
        <f t="shared" si="11"/>
        <v>39859</v>
      </c>
      <c r="N359" s="18">
        <v>0.24444444444444444</v>
      </c>
    </row>
    <row r="360" spans="1:14" x14ac:dyDescent="0.3">
      <c r="A360" s="3" t="s">
        <v>11</v>
      </c>
      <c r="B360" s="3">
        <v>1200</v>
      </c>
      <c r="C360" s="3" t="s">
        <v>17</v>
      </c>
      <c r="D360" s="3" t="s">
        <v>420</v>
      </c>
      <c r="E360" s="3" t="s">
        <v>662</v>
      </c>
      <c r="F360" s="3" t="s">
        <v>39</v>
      </c>
      <c r="G360" s="3" t="s">
        <v>16</v>
      </c>
      <c r="H360" s="4">
        <v>39859.842361111114</v>
      </c>
      <c r="I360" s="3">
        <v>32.954439999999998</v>
      </c>
      <c r="J360" s="3">
        <v>-97.014719999999997</v>
      </c>
      <c r="K360" s="5">
        <v>75019</v>
      </c>
      <c r="L360" s="8">
        <f t="shared" si="10"/>
        <v>2009</v>
      </c>
      <c r="M360" s="8">
        <f t="shared" si="11"/>
        <v>39859</v>
      </c>
      <c r="N360" s="19">
        <v>0.24722222222222223</v>
      </c>
    </row>
    <row r="361" spans="1:14" x14ac:dyDescent="0.3">
      <c r="A361" s="6" t="s">
        <v>11</v>
      </c>
      <c r="B361" s="6">
        <v>1200</v>
      </c>
      <c r="C361" s="6" t="s">
        <v>12</v>
      </c>
      <c r="D361" s="6" t="s">
        <v>663</v>
      </c>
      <c r="E361" s="6" t="s">
        <v>664</v>
      </c>
      <c r="F361" s="6" t="s">
        <v>50</v>
      </c>
      <c r="G361" s="6" t="s">
        <v>16</v>
      </c>
      <c r="H361" s="7">
        <v>39859.965277777781</v>
      </c>
      <c r="I361" s="6">
        <v>33.57056</v>
      </c>
      <c r="J361" s="6">
        <v>-117.63861</v>
      </c>
      <c r="K361" s="8">
        <v>92694</v>
      </c>
      <c r="L361" s="5">
        <f t="shared" si="10"/>
        <v>2009</v>
      </c>
      <c r="M361" s="5">
        <f t="shared" si="11"/>
        <v>39859</v>
      </c>
      <c r="N361" s="18">
        <v>0.33333333333333331</v>
      </c>
    </row>
    <row r="362" spans="1:14" x14ac:dyDescent="0.3">
      <c r="A362" s="3" t="s">
        <v>11</v>
      </c>
      <c r="B362" s="3">
        <v>1200</v>
      </c>
      <c r="C362" s="3" t="s">
        <v>65</v>
      </c>
      <c r="D362" s="3" t="s">
        <v>665</v>
      </c>
      <c r="E362" s="3" t="s">
        <v>666</v>
      </c>
      <c r="F362" s="3" t="s">
        <v>61</v>
      </c>
      <c r="G362" s="3" t="s">
        <v>16</v>
      </c>
      <c r="H362" s="4">
        <v>39860.287499999999</v>
      </c>
      <c r="I362" s="3">
        <v>26.358329999999999</v>
      </c>
      <c r="J362" s="3">
        <v>-80.083330000000004</v>
      </c>
      <c r="K362" s="5">
        <v>33432</v>
      </c>
      <c r="L362" s="8">
        <f t="shared" si="10"/>
        <v>2009</v>
      </c>
      <c r="M362" s="8">
        <f t="shared" si="11"/>
        <v>39860</v>
      </c>
      <c r="N362" s="19">
        <v>0.53819444444444442</v>
      </c>
    </row>
    <row r="363" spans="1:14" x14ac:dyDescent="0.3">
      <c r="A363" s="6" t="s">
        <v>11</v>
      </c>
      <c r="B363" s="6">
        <v>1200</v>
      </c>
      <c r="C363" s="6" t="s">
        <v>12</v>
      </c>
      <c r="D363" s="6" t="s">
        <v>415</v>
      </c>
      <c r="E363" s="6" t="s">
        <v>667</v>
      </c>
      <c r="F363" s="6" t="s">
        <v>195</v>
      </c>
      <c r="G363" s="6" t="s">
        <v>16</v>
      </c>
      <c r="H363" s="7">
        <v>39860.375</v>
      </c>
      <c r="I363" s="6">
        <v>44.789439999999999</v>
      </c>
      <c r="J363" s="6">
        <v>-93.601939999999999</v>
      </c>
      <c r="K363" s="8">
        <v>55318</v>
      </c>
      <c r="L363" s="5">
        <f t="shared" si="10"/>
        <v>2009</v>
      </c>
      <c r="M363" s="5">
        <f t="shared" si="11"/>
        <v>39860</v>
      </c>
      <c r="N363" s="18">
        <v>6.5972222222222224E-2</v>
      </c>
    </row>
    <row r="364" spans="1:14" x14ac:dyDescent="0.3">
      <c r="A364" s="3" t="s">
        <v>11</v>
      </c>
      <c r="B364" s="3">
        <v>1200</v>
      </c>
      <c r="C364" s="3" t="s">
        <v>12</v>
      </c>
      <c r="D364" s="3" t="s">
        <v>668</v>
      </c>
      <c r="E364" s="3" t="s">
        <v>669</v>
      </c>
      <c r="F364" s="3" t="s">
        <v>132</v>
      </c>
      <c r="G364" s="3" t="s">
        <v>16</v>
      </c>
      <c r="H364" s="4">
        <v>39860.384027777778</v>
      </c>
      <c r="I364" s="3">
        <v>39.613329999999998</v>
      </c>
      <c r="J364" s="3">
        <v>-105.01611</v>
      </c>
      <c r="K364" s="5">
        <v>80120</v>
      </c>
      <c r="L364" s="8">
        <f t="shared" si="10"/>
        <v>2009</v>
      </c>
      <c r="M364" s="8">
        <f t="shared" si="11"/>
        <v>39860</v>
      </c>
      <c r="N364" s="19">
        <v>6.25E-2</v>
      </c>
    </row>
    <row r="365" spans="1:14" x14ac:dyDescent="0.3">
      <c r="A365" s="6" t="s">
        <v>11</v>
      </c>
      <c r="B365" s="6">
        <v>1200</v>
      </c>
      <c r="C365" s="6" t="s">
        <v>65</v>
      </c>
      <c r="D365" s="6" t="s">
        <v>670</v>
      </c>
      <c r="E365" s="6" t="s">
        <v>242</v>
      </c>
      <c r="F365" s="6" t="s">
        <v>80</v>
      </c>
      <c r="G365" s="6" t="s">
        <v>16</v>
      </c>
      <c r="H365" s="7">
        <v>39860.422222222223</v>
      </c>
      <c r="I365" s="6">
        <v>33.748890000000003</v>
      </c>
      <c r="J365" s="6">
        <v>-84.388059999999996</v>
      </c>
      <c r="K365" s="8">
        <v>30334</v>
      </c>
      <c r="L365" s="5">
        <f t="shared" si="10"/>
        <v>2009</v>
      </c>
      <c r="M365" s="5">
        <f t="shared" si="11"/>
        <v>39860</v>
      </c>
      <c r="N365" s="18">
        <v>0.29722222222222222</v>
      </c>
    </row>
    <row r="366" spans="1:14" x14ac:dyDescent="0.3">
      <c r="A366" s="3" t="s">
        <v>11</v>
      </c>
      <c r="B366" s="3">
        <v>1200</v>
      </c>
      <c r="C366" s="3" t="s">
        <v>65</v>
      </c>
      <c r="D366" s="3" t="s">
        <v>671</v>
      </c>
      <c r="E366" s="3" t="s">
        <v>357</v>
      </c>
      <c r="F366" s="3" t="s">
        <v>27</v>
      </c>
      <c r="G366" s="3" t="s">
        <v>16</v>
      </c>
      <c r="H366" s="4">
        <v>39860.429861111108</v>
      </c>
      <c r="I366" s="3">
        <v>40.925280000000001</v>
      </c>
      <c r="J366" s="3">
        <v>-73.963329999999999</v>
      </c>
      <c r="K366" s="5">
        <v>7670</v>
      </c>
      <c r="L366" s="5">
        <f t="shared" si="10"/>
        <v>2009</v>
      </c>
      <c r="M366" s="5">
        <f t="shared" si="11"/>
        <v>39860</v>
      </c>
      <c r="N366" s="18">
        <v>0.21736111111111112</v>
      </c>
    </row>
    <row r="367" spans="1:14" x14ac:dyDescent="0.3">
      <c r="A367" s="6" t="s">
        <v>11</v>
      </c>
      <c r="B367" s="6">
        <v>1200</v>
      </c>
      <c r="C367" s="6" t="s">
        <v>12</v>
      </c>
      <c r="D367" s="6" t="s">
        <v>672</v>
      </c>
      <c r="E367" s="6" t="s">
        <v>180</v>
      </c>
      <c r="F367" s="6" t="s">
        <v>33</v>
      </c>
      <c r="G367" s="6" t="s">
        <v>16</v>
      </c>
      <c r="H367" s="7">
        <v>39860.522916666669</v>
      </c>
      <c r="I367" s="6">
        <v>36.16583</v>
      </c>
      <c r="J367" s="6">
        <v>-86.784440000000004</v>
      </c>
      <c r="K367" s="8">
        <v>37219</v>
      </c>
      <c r="L367" s="8">
        <f t="shared" si="10"/>
        <v>2009</v>
      </c>
      <c r="M367" s="8">
        <f t="shared" si="11"/>
        <v>39860</v>
      </c>
      <c r="N367" s="19">
        <v>0.38611111111111113</v>
      </c>
    </row>
    <row r="368" spans="1:14" x14ac:dyDescent="0.3">
      <c r="A368" s="3" t="s">
        <v>11</v>
      </c>
      <c r="B368" s="3">
        <v>1200</v>
      </c>
      <c r="C368" s="3" t="s">
        <v>12</v>
      </c>
      <c r="D368" s="3" t="s">
        <v>673</v>
      </c>
      <c r="E368" s="3" t="s">
        <v>674</v>
      </c>
      <c r="F368" s="3" t="s">
        <v>568</v>
      </c>
      <c r="G368" s="3" t="s">
        <v>16</v>
      </c>
      <c r="H368" s="4">
        <v>39860.618055555555</v>
      </c>
      <c r="I368" s="3">
        <v>45.043610000000001</v>
      </c>
      <c r="J368" s="3">
        <v>-92.04083</v>
      </c>
      <c r="K368" s="5">
        <v>54725</v>
      </c>
      <c r="L368" s="5">
        <f t="shared" si="10"/>
        <v>2009</v>
      </c>
      <c r="M368" s="5">
        <f t="shared" si="11"/>
        <v>39860</v>
      </c>
      <c r="N368" s="18">
        <v>0.45763888888888887</v>
      </c>
    </row>
    <row r="369" spans="1:14" x14ac:dyDescent="0.3">
      <c r="A369" s="6" t="s">
        <v>11</v>
      </c>
      <c r="B369" s="6">
        <v>1200</v>
      </c>
      <c r="C369" s="6" t="s">
        <v>12</v>
      </c>
      <c r="D369" s="6" t="s">
        <v>675</v>
      </c>
      <c r="E369" s="6" t="s">
        <v>676</v>
      </c>
      <c r="F369" s="6" t="s">
        <v>220</v>
      </c>
      <c r="G369" s="6" t="s">
        <v>16</v>
      </c>
      <c r="H369" s="7">
        <v>39861.152777777781</v>
      </c>
      <c r="I369" s="6">
        <v>41.033329999999999</v>
      </c>
      <c r="J369" s="6">
        <v>-73.599999999999994</v>
      </c>
      <c r="K369" s="8">
        <v>6807</v>
      </c>
      <c r="L369" s="8">
        <f t="shared" si="10"/>
        <v>2009</v>
      </c>
      <c r="M369" s="8">
        <f t="shared" si="11"/>
        <v>39861</v>
      </c>
      <c r="N369" s="19">
        <v>0.36458333333333331</v>
      </c>
    </row>
    <row r="370" spans="1:14" x14ac:dyDescent="0.3">
      <c r="A370" s="3" t="s">
        <v>21</v>
      </c>
      <c r="B370" s="3">
        <v>3600</v>
      </c>
      <c r="C370" s="3" t="s">
        <v>12</v>
      </c>
      <c r="D370" s="3" t="s">
        <v>677</v>
      </c>
      <c r="E370" s="3" t="s">
        <v>678</v>
      </c>
      <c r="F370" s="3" t="s">
        <v>68</v>
      </c>
      <c r="G370" s="3" t="s">
        <v>16</v>
      </c>
      <c r="H370" s="4">
        <v>39861.268055555556</v>
      </c>
      <c r="I370" s="3">
        <v>39.00611</v>
      </c>
      <c r="J370" s="3">
        <v>-77.428889999999996</v>
      </c>
      <c r="K370" s="5">
        <v>20164</v>
      </c>
      <c r="L370" s="5">
        <f t="shared" si="10"/>
        <v>2009</v>
      </c>
      <c r="M370" s="5">
        <f t="shared" si="11"/>
        <v>39861</v>
      </c>
      <c r="N370" s="18">
        <v>0.22083333333333333</v>
      </c>
    </row>
    <row r="371" spans="1:14" x14ac:dyDescent="0.3">
      <c r="A371" s="6" t="s">
        <v>11</v>
      </c>
      <c r="B371" s="6">
        <v>1200</v>
      </c>
      <c r="C371" s="6" t="s">
        <v>17</v>
      </c>
      <c r="D371" s="6" t="s">
        <v>420</v>
      </c>
      <c r="E371" s="6" t="s">
        <v>679</v>
      </c>
      <c r="F371" s="6" t="s">
        <v>220</v>
      </c>
      <c r="G371" s="6" t="s">
        <v>16</v>
      </c>
      <c r="H371" s="7">
        <v>39861.329861111109</v>
      </c>
      <c r="I371" s="6">
        <v>41.281390000000002</v>
      </c>
      <c r="J371" s="6">
        <v>-73.498609999999999</v>
      </c>
      <c r="K371" s="8">
        <v>6877</v>
      </c>
      <c r="L371" s="8">
        <f t="shared" si="10"/>
        <v>2009</v>
      </c>
      <c r="M371" s="8">
        <f t="shared" si="11"/>
        <v>39861</v>
      </c>
      <c r="N371" s="19">
        <v>0.34236111111111112</v>
      </c>
    </row>
    <row r="372" spans="1:14" x14ac:dyDescent="0.3">
      <c r="A372" s="3" t="s">
        <v>11</v>
      </c>
      <c r="B372" s="3">
        <v>1200</v>
      </c>
      <c r="C372" s="3" t="s">
        <v>12</v>
      </c>
      <c r="D372" s="3" t="s">
        <v>680</v>
      </c>
      <c r="E372" s="3" t="s">
        <v>582</v>
      </c>
      <c r="F372" s="3" t="s">
        <v>36</v>
      </c>
      <c r="G372" s="3" t="s">
        <v>16</v>
      </c>
      <c r="H372" s="4">
        <v>39861.456944444442</v>
      </c>
      <c r="I372" s="3">
        <v>40.714170000000003</v>
      </c>
      <c r="J372" s="3">
        <v>-74.006389999999996</v>
      </c>
      <c r="K372" s="5">
        <v>10007</v>
      </c>
      <c r="L372" s="5">
        <f t="shared" si="10"/>
        <v>2009</v>
      </c>
      <c r="M372" s="5">
        <f t="shared" si="11"/>
        <v>39861</v>
      </c>
      <c r="N372" s="18">
        <v>0.15138888888888888</v>
      </c>
    </row>
    <row r="373" spans="1:14" x14ac:dyDescent="0.3">
      <c r="A373" s="6" t="s">
        <v>11</v>
      </c>
      <c r="B373" s="6">
        <v>1200</v>
      </c>
      <c r="C373" s="6" t="s">
        <v>65</v>
      </c>
      <c r="D373" s="6" t="s">
        <v>681</v>
      </c>
      <c r="E373" s="6" t="s">
        <v>203</v>
      </c>
      <c r="F373" s="6" t="s">
        <v>80</v>
      </c>
      <c r="G373" s="6" t="s">
        <v>16</v>
      </c>
      <c r="H373" s="7">
        <v>39861.521527777775</v>
      </c>
      <c r="I373" s="6">
        <v>34.075279999999999</v>
      </c>
      <c r="J373" s="6">
        <v>-84.294169999999994</v>
      </c>
      <c r="K373" s="8">
        <v>30009</v>
      </c>
      <c r="L373" s="5">
        <f t="shared" si="10"/>
        <v>2009</v>
      </c>
      <c r="M373" s="5">
        <f t="shared" si="11"/>
        <v>39861</v>
      </c>
      <c r="N373" s="18">
        <v>0.35625000000000001</v>
      </c>
    </row>
    <row r="374" spans="1:14" x14ac:dyDescent="0.3">
      <c r="A374" s="3" t="s">
        <v>11</v>
      </c>
      <c r="B374" s="3">
        <v>1200</v>
      </c>
      <c r="C374" s="3" t="s">
        <v>17</v>
      </c>
      <c r="D374" s="3" t="s">
        <v>682</v>
      </c>
      <c r="E374" s="3" t="s">
        <v>683</v>
      </c>
      <c r="F374" s="3" t="s">
        <v>33</v>
      </c>
      <c r="G374" s="3" t="s">
        <v>16</v>
      </c>
      <c r="H374" s="4">
        <v>39861.542361111111</v>
      </c>
      <c r="I374" s="3">
        <v>35.086669999999998</v>
      </c>
      <c r="J374" s="3">
        <v>-89.81</v>
      </c>
      <c r="K374" s="5">
        <v>38138</v>
      </c>
      <c r="L374" s="8">
        <f t="shared" si="10"/>
        <v>2009</v>
      </c>
      <c r="M374" s="8">
        <f t="shared" si="11"/>
        <v>39861</v>
      </c>
      <c r="N374" s="19">
        <v>0.34444444444444444</v>
      </c>
    </row>
    <row r="375" spans="1:14" x14ac:dyDescent="0.3">
      <c r="A375" s="6" t="s">
        <v>11</v>
      </c>
      <c r="B375" s="6">
        <v>1200</v>
      </c>
      <c r="C375" s="6" t="s">
        <v>17</v>
      </c>
      <c r="D375" s="6" t="s">
        <v>684</v>
      </c>
      <c r="E375" s="6" t="s">
        <v>685</v>
      </c>
      <c r="F375" s="6" t="s">
        <v>124</v>
      </c>
      <c r="G375" s="6" t="s">
        <v>16</v>
      </c>
      <c r="H375" s="7">
        <v>39861.595138888886</v>
      </c>
      <c r="I375" s="6">
        <v>21.306940000000001</v>
      </c>
      <c r="J375" s="6">
        <v>-157.85833</v>
      </c>
      <c r="K375" s="8">
        <v>96813</v>
      </c>
      <c r="L375" s="5">
        <f t="shared" si="10"/>
        <v>2009</v>
      </c>
      <c r="M375" s="5">
        <f t="shared" si="11"/>
        <v>39861</v>
      </c>
      <c r="N375" s="18">
        <v>0.25833333333333336</v>
      </c>
    </row>
    <row r="376" spans="1:14" x14ac:dyDescent="0.3">
      <c r="A376" s="3" t="s">
        <v>11</v>
      </c>
      <c r="B376" s="3">
        <v>1200</v>
      </c>
      <c r="C376" s="3" t="s">
        <v>17</v>
      </c>
      <c r="D376" s="3" t="s">
        <v>686</v>
      </c>
      <c r="E376" s="3" t="s">
        <v>97</v>
      </c>
      <c r="F376" s="3" t="s">
        <v>36</v>
      </c>
      <c r="G376" s="3" t="s">
        <v>16</v>
      </c>
      <c r="H376" s="4">
        <v>39861.636111111111</v>
      </c>
      <c r="I376" s="3">
        <v>40.911389999999997</v>
      </c>
      <c r="J376" s="3">
        <v>-73.782780000000002</v>
      </c>
      <c r="K376" s="5">
        <v>10801</v>
      </c>
      <c r="L376" s="8">
        <f t="shared" si="10"/>
        <v>2009</v>
      </c>
      <c r="M376" s="8">
        <f t="shared" si="11"/>
        <v>39861</v>
      </c>
      <c r="N376" s="19">
        <v>7.9861111111111105E-2</v>
      </c>
    </row>
    <row r="377" spans="1:14" x14ac:dyDescent="0.3">
      <c r="A377" s="6" t="s">
        <v>11</v>
      </c>
      <c r="B377" s="6">
        <v>1200</v>
      </c>
      <c r="C377" s="6" t="s">
        <v>17</v>
      </c>
      <c r="D377" s="6" t="s">
        <v>51</v>
      </c>
      <c r="E377" s="6" t="s">
        <v>687</v>
      </c>
      <c r="F377" s="6" t="s">
        <v>688</v>
      </c>
      <c r="G377" s="6" t="s">
        <v>16</v>
      </c>
      <c r="H377" s="7">
        <v>39861.645138888889</v>
      </c>
      <c r="I377" s="6">
        <v>44.178600000000003</v>
      </c>
      <c r="J377" s="6">
        <v>-70.716399999999993</v>
      </c>
      <c r="K377" s="8">
        <v>4088</v>
      </c>
      <c r="L377" s="5">
        <f t="shared" si="10"/>
        <v>2009</v>
      </c>
      <c r="M377" s="5">
        <f t="shared" si="11"/>
        <v>39861</v>
      </c>
      <c r="N377" s="18">
        <v>0.49166666666666664</v>
      </c>
    </row>
    <row r="378" spans="1:14" x14ac:dyDescent="0.3">
      <c r="A378" s="3" t="s">
        <v>11</v>
      </c>
      <c r="B378" s="3">
        <v>1200</v>
      </c>
      <c r="C378" s="3" t="s">
        <v>17</v>
      </c>
      <c r="D378" s="3" t="s">
        <v>689</v>
      </c>
      <c r="E378" s="3" t="s">
        <v>690</v>
      </c>
      <c r="F378" s="3" t="s">
        <v>100</v>
      </c>
      <c r="G378" s="3" t="s">
        <v>16</v>
      </c>
      <c r="H378" s="4">
        <v>39861.686805555553</v>
      </c>
      <c r="I378" s="3">
        <v>39.758890000000001</v>
      </c>
      <c r="J378" s="3">
        <v>-84.191670000000002</v>
      </c>
      <c r="K378" s="5">
        <v>45402</v>
      </c>
      <c r="L378" s="8">
        <f t="shared" si="10"/>
        <v>2009</v>
      </c>
      <c r="M378" s="8">
        <f t="shared" si="11"/>
        <v>39861</v>
      </c>
      <c r="N378" s="19">
        <v>0.1388888888888889</v>
      </c>
    </row>
    <row r="379" spans="1:14" x14ac:dyDescent="0.3">
      <c r="A379" s="6" t="s">
        <v>11</v>
      </c>
      <c r="B379" s="6">
        <v>1200</v>
      </c>
      <c r="C379" s="6" t="s">
        <v>17</v>
      </c>
      <c r="D379" s="6" t="s">
        <v>691</v>
      </c>
      <c r="E379" s="6" t="s">
        <v>692</v>
      </c>
      <c r="F379" s="6" t="s">
        <v>95</v>
      </c>
      <c r="G379" s="6" t="s">
        <v>16</v>
      </c>
      <c r="H379" s="7">
        <v>39862.345833333333</v>
      </c>
      <c r="I379" s="6">
        <v>34.225560000000002</v>
      </c>
      <c r="J379" s="6">
        <v>-77.944999999999993</v>
      </c>
      <c r="K379" s="8">
        <v>28401</v>
      </c>
      <c r="L379" s="5">
        <f t="shared" si="10"/>
        <v>2009</v>
      </c>
      <c r="M379" s="5">
        <f t="shared" si="11"/>
        <v>39862</v>
      </c>
      <c r="N379" s="18">
        <v>8.7499999999999994E-2</v>
      </c>
    </row>
    <row r="380" spans="1:14" x14ac:dyDescent="0.3">
      <c r="A380" s="3" t="s">
        <v>11</v>
      </c>
      <c r="B380" s="3">
        <v>1200</v>
      </c>
      <c r="C380" s="3" t="s">
        <v>12</v>
      </c>
      <c r="D380" s="3" t="s">
        <v>693</v>
      </c>
      <c r="E380" s="3" t="s">
        <v>200</v>
      </c>
      <c r="F380" s="3" t="s">
        <v>169</v>
      </c>
      <c r="G380" s="3" t="s">
        <v>16</v>
      </c>
      <c r="H380" s="4">
        <v>39862.660416666666</v>
      </c>
      <c r="I380" s="3">
        <v>47.606389999999998</v>
      </c>
      <c r="J380" s="3">
        <v>-122.33083000000001</v>
      </c>
      <c r="K380" s="5">
        <v>98104</v>
      </c>
      <c r="L380" s="5">
        <f t="shared" si="10"/>
        <v>2009</v>
      </c>
      <c r="M380" s="5">
        <f t="shared" si="11"/>
        <v>39862</v>
      </c>
      <c r="N380" s="18">
        <v>0.12708333333333333</v>
      </c>
    </row>
    <row r="381" spans="1:14" x14ac:dyDescent="0.3">
      <c r="A381" s="6" t="s">
        <v>11</v>
      </c>
      <c r="B381" s="6">
        <v>1200</v>
      </c>
      <c r="C381" s="6" t="s">
        <v>65</v>
      </c>
      <c r="D381" s="6" t="s">
        <v>694</v>
      </c>
      <c r="E381" s="6" t="s">
        <v>695</v>
      </c>
      <c r="F381" s="6" t="s">
        <v>220</v>
      </c>
      <c r="G381" s="6" t="s">
        <v>16</v>
      </c>
      <c r="H381" s="7">
        <v>39862.704861111109</v>
      </c>
      <c r="I381" s="6">
        <v>41.1175</v>
      </c>
      <c r="J381" s="6">
        <v>-73.408330000000007</v>
      </c>
      <c r="K381" s="8">
        <v>6851</v>
      </c>
      <c r="L381" s="8">
        <f t="shared" si="10"/>
        <v>2009</v>
      </c>
      <c r="M381" s="8">
        <f t="shared" si="11"/>
        <v>39862</v>
      </c>
      <c r="N381" s="19">
        <v>0.29444444444444445</v>
      </c>
    </row>
    <row r="382" spans="1:14" x14ac:dyDescent="0.3">
      <c r="A382" s="3" t="s">
        <v>11</v>
      </c>
      <c r="B382" s="3">
        <v>1200</v>
      </c>
      <c r="C382" s="3" t="s">
        <v>17</v>
      </c>
      <c r="D382" s="3" t="s">
        <v>696</v>
      </c>
      <c r="E382" s="3" t="s">
        <v>697</v>
      </c>
      <c r="F382" s="3" t="s">
        <v>240</v>
      </c>
      <c r="G382" s="3" t="s">
        <v>16</v>
      </c>
      <c r="H382" s="4">
        <v>39862.818055555559</v>
      </c>
      <c r="I382" s="3">
        <v>40.340829999999997</v>
      </c>
      <c r="J382" s="3">
        <v>-76.411670000000001</v>
      </c>
      <c r="K382" s="5">
        <v>17042</v>
      </c>
      <c r="L382" s="5">
        <f t="shared" si="10"/>
        <v>2009</v>
      </c>
      <c r="M382" s="5">
        <f t="shared" si="11"/>
        <v>39862</v>
      </c>
      <c r="N382" s="18">
        <v>0.17777777777777778</v>
      </c>
    </row>
    <row r="383" spans="1:14" x14ac:dyDescent="0.3">
      <c r="A383" s="6" t="s">
        <v>21</v>
      </c>
      <c r="B383" s="6">
        <v>3600</v>
      </c>
      <c r="C383" s="6" t="s">
        <v>65</v>
      </c>
      <c r="D383" s="6" t="s">
        <v>417</v>
      </c>
      <c r="E383" s="6" t="s">
        <v>698</v>
      </c>
      <c r="F383" s="6" t="s">
        <v>240</v>
      </c>
      <c r="G383" s="6" t="s">
        <v>16</v>
      </c>
      <c r="H383" s="7">
        <v>39863.138194444444</v>
      </c>
      <c r="I383" s="6">
        <v>40.037219999999998</v>
      </c>
      <c r="J383" s="6">
        <v>-75.349440000000001</v>
      </c>
      <c r="K383" s="8">
        <v>19085</v>
      </c>
      <c r="L383" s="8">
        <f t="shared" si="10"/>
        <v>2009</v>
      </c>
      <c r="M383" s="8">
        <f t="shared" si="11"/>
        <v>39863</v>
      </c>
      <c r="N383" s="19">
        <v>0.25555555555555554</v>
      </c>
    </row>
    <row r="384" spans="1:14" x14ac:dyDescent="0.3">
      <c r="A384" s="3" t="s">
        <v>11</v>
      </c>
      <c r="B384" s="3">
        <v>1200</v>
      </c>
      <c r="C384" s="3" t="s">
        <v>65</v>
      </c>
      <c r="D384" s="3" t="s">
        <v>699</v>
      </c>
      <c r="E384" s="3" t="s">
        <v>537</v>
      </c>
      <c r="F384" s="3" t="s">
        <v>293</v>
      </c>
      <c r="G384" s="3" t="s">
        <v>16</v>
      </c>
      <c r="H384" s="4">
        <v>39863.339583333334</v>
      </c>
      <c r="I384" s="3">
        <v>36.174999999999997</v>
      </c>
      <c r="J384" s="3">
        <v>-115.13639000000001</v>
      </c>
      <c r="K384" s="5">
        <v>89101</v>
      </c>
      <c r="L384" s="5">
        <f t="shared" si="10"/>
        <v>2009</v>
      </c>
      <c r="M384" s="5">
        <f t="shared" si="11"/>
        <v>39863</v>
      </c>
      <c r="N384" s="18">
        <v>0.22777777777777777</v>
      </c>
    </row>
    <row r="385" spans="1:14" x14ac:dyDescent="0.3">
      <c r="A385" s="6" t="s">
        <v>11</v>
      </c>
      <c r="B385" s="6">
        <v>1200</v>
      </c>
      <c r="C385" s="6" t="s">
        <v>12</v>
      </c>
      <c r="D385" s="6" t="s">
        <v>700</v>
      </c>
      <c r="E385" s="6" t="s">
        <v>551</v>
      </c>
      <c r="F385" s="6" t="s">
        <v>36</v>
      </c>
      <c r="G385" s="6" t="s">
        <v>16</v>
      </c>
      <c r="H385" s="7">
        <v>39863.436111111114</v>
      </c>
      <c r="I385" s="6">
        <v>41.256390000000003</v>
      </c>
      <c r="J385" s="6">
        <v>-74.360280000000003</v>
      </c>
      <c r="K385" s="8">
        <v>10990</v>
      </c>
      <c r="L385" s="8">
        <f t="shared" si="10"/>
        <v>2009</v>
      </c>
      <c r="M385" s="8">
        <f t="shared" si="11"/>
        <v>39863</v>
      </c>
      <c r="N385" s="19">
        <v>0.52986111111111112</v>
      </c>
    </row>
    <row r="386" spans="1:14" x14ac:dyDescent="0.3">
      <c r="A386" s="3" t="s">
        <v>21</v>
      </c>
      <c r="B386" s="3">
        <v>3600</v>
      </c>
      <c r="C386" s="3" t="s">
        <v>12</v>
      </c>
      <c r="D386" s="3" t="s">
        <v>701</v>
      </c>
      <c r="E386" s="3" t="s">
        <v>302</v>
      </c>
      <c r="F386" s="3" t="s">
        <v>106</v>
      </c>
      <c r="G386" s="3" t="s">
        <v>16</v>
      </c>
      <c r="H386" s="4">
        <v>39863.446527777778</v>
      </c>
      <c r="I386" s="3">
        <v>38.990560000000002</v>
      </c>
      <c r="J386" s="3">
        <v>-77.026390000000006</v>
      </c>
      <c r="K386" s="5">
        <v>20910</v>
      </c>
      <c r="L386" s="5">
        <f t="shared" ref="L386:L449" si="12">YEAR(H386)</f>
        <v>2009</v>
      </c>
      <c r="M386" s="5">
        <f t="shared" ref="M386:M449" si="13">INT(H386)</f>
        <v>39863</v>
      </c>
      <c r="N386" s="18">
        <v>0.45069444444444445</v>
      </c>
    </row>
    <row r="387" spans="1:14" x14ac:dyDescent="0.3">
      <c r="A387" s="6" t="s">
        <v>11</v>
      </c>
      <c r="B387" s="6">
        <v>1200</v>
      </c>
      <c r="C387" s="6" t="s">
        <v>12</v>
      </c>
      <c r="D387" s="6" t="s">
        <v>702</v>
      </c>
      <c r="E387" s="6" t="s">
        <v>703</v>
      </c>
      <c r="F387" s="6" t="s">
        <v>50</v>
      </c>
      <c r="G387" s="6" t="s">
        <v>16</v>
      </c>
      <c r="H387" s="7">
        <v>39863.503472222219</v>
      </c>
      <c r="I387" s="6">
        <v>38.581670000000003</v>
      </c>
      <c r="J387" s="6">
        <v>-121.49333</v>
      </c>
      <c r="K387" s="8">
        <v>95814</v>
      </c>
      <c r="L387" s="5">
        <f t="shared" si="12"/>
        <v>2009</v>
      </c>
      <c r="M387" s="5">
        <f t="shared" si="13"/>
        <v>39863</v>
      </c>
      <c r="N387" s="18">
        <v>0.21249999999999999</v>
      </c>
    </row>
    <row r="388" spans="1:14" x14ac:dyDescent="0.3">
      <c r="A388" s="3" t="s">
        <v>11</v>
      </c>
      <c r="B388" s="3">
        <v>1200</v>
      </c>
      <c r="C388" s="3" t="s">
        <v>17</v>
      </c>
      <c r="D388" s="3" t="s">
        <v>704</v>
      </c>
      <c r="E388" s="3" t="s">
        <v>705</v>
      </c>
      <c r="F388" s="3" t="s">
        <v>68</v>
      </c>
      <c r="G388" s="3" t="s">
        <v>16</v>
      </c>
      <c r="H388" s="4">
        <v>39863.702777777777</v>
      </c>
      <c r="I388" s="3">
        <v>38.81194</v>
      </c>
      <c r="J388" s="3">
        <v>-77.636669999999995</v>
      </c>
      <c r="K388" s="5">
        <v>20169</v>
      </c>
      <c r="L388" s="8">
        <f t="shared" si="12"/>
        <v>2009</v>
      </c>
      <c r="M388" s="8">
        <f t="shared" si="13"/>
        <v>39863</v>
      </c>
      <c r="N388" s="19">
        <v>0.2638888888888889</v>
      </c>
    </row>
    <row r="389" spans="1:14" x14ac:dyDescent="0.3">
      <c r="A389" s="6" t="s">
        <v>11</v>
      </c>
      <c r="B389" s="6">
        <v>1200</v>
      </c>
      <c r="C389" s="6" t="s">
        <v>12</v>
      </c>
      <c r="D389" s="6" t="s">
        <v>706</v>
      </c>
      <c r="E389" s="6" t="s">
        <v>400</v>
      </c>
      <c r="F389" s="6" t="s">
        <v>71</v>
      </c>
      <c r="G389" s="6" t="s">
        <v>16</v>
      </c>
      <c r="H389" s="7">
        <v>39863.815972222219</v>
      </c>
      <c r="I389" s="6">
        <v>33.509169999999997</v>
      </c>
      <c r="J389" s="6">
        <v>-111.89833</v>
      </c>
      <c r="K389" s="8">
        <v>85251</v>
      </c>
      <c r="L389" s="5">
        <f t="shared" si="12"/>
        <v>2009</v>
      </c>
      <c r="M389" s="5">
        <f t="shared" si="13"/>
        <v>39863</v>
      </c>
      <c r="N389" s="18">
        <v>0.18263888888888888</v>
      </c>
    </row>
    <row r="390" spans="1:14" x14ac:dyDescent="0.3">
      <c r="A390" s="3" t="s">
        <v>11</v>
      </c>
      <c r="B390" s="3">
        <v>1200</v>
      </c>
      <c r="C390" s="3" t="s">
        <v>12</v>
      </c>
      <c r="D390" s="3" t="s">
        <v>707</v>
      </c>
      <c r="E390" s="3" t="s">
        <v>708</v>
      </c>
      <c r="F390" s="3" t="s">
        <v>217</v>
      </c>
      <c r="G390" s="3" t="s">
        <v>16</v>
      </c>
      <c r="H390" s="4">
        <v>39863.822222222225</v>
      </c>
      <c r="I390" s="3">
        <v>42.375</v>
      </c>
      <c r="J390" s="3">
        <v>-71.106110000000001</v>
      </c>
      <c r="K390" s="5">
        <v>2138</v>
      </c>
      <c r="L390" s="8">
        <f t="shared" si="12"/>
        <v>2009</v>
      </c>
      <c r="M390" s="8">
        <f t="shared" si="13"/>
        <v>39863</v>
      </c>
      <c r="N390" s="19">
        <v>0.5180555555555556</v>
      </c>
    </row>
    <row r="391" spans="1:14" x14ac:dyDescent="0.3">
      <c r="A391" s="6" t="s">
        <v>11</v>
      </c>
      <c r="B391" s="6">
        <v>1200</v>
      </c>
      <c r="C391" s="6" t="s">
        <v>12</v>
      </c>
      <c r="D391" s="6" t="s">
        <v>709</v>
      </c>
      <c r="E391" s="6" t="s">
        <v>710</v>
      </c>
      <c r="F391" s="6" t="s">
        <v>61</v>
      </c>
      <c r="G391" s="6" t="s">
        <v>16</v>
      </c>
      <c r="H391" s="7">
        <v>39864.339583333334</v>
      </c>
      <c r="I391" s="6">
        <v>26.010829999999999</v>
      </c>
      <c r="J391" s="6">
        <v>-80.149720000000002</v>
      </c>
      <c r="K391" s="8">
        <v>33020</v>
      </c>
      <c r="L391" s="5">
        <f t="shared" si="12"/>
        <v>2009</v>
      </c>
      <c r="M391" s="5">
        <f t="shared" si="13"/>
        <v>39864</v>
      </c>
      <c r="N391" s="18">
        <v>0.27638888888888891</v>
      </c>
    </row>
    <row r="392" spans="1:14" x14ac:dyDescent="0.3">
      <c r="A392" s="3" t="s">
        <v>11</v>
      </c>
      <c r="B392" s="3">
        <v>1200</v>
      </c>
      <c r="C392" s="3" t="s">
        <v>12</v>
      </c>
      <c r="D392" s="3" t="s">
        <v>135</v>
      </c>
      <c r="E392" s="3" t="s">
        <v>711</v>
      </c>
      <c r="F392" s="3" t="s">
        <v>220</v>
      </c>
      <c r="G392" s="3" t="s">
        <v>16</v>
      </c>
      <c r="H392" s="4">
        <v>39864.422222222223</v>
      </c>
      <c r="I392" s="3">
        <v>41.403060000000004</v>
      </c>
      <c r="J392" s="3">
        <v>-72.451390000000004</v>
      </c>
      <c r="K392" s="5">
        <v>6412</v>
      </c>
      <c r="L392" s="8">
        <f t="shared" si="12"/>
        <v>2009</v>
      </c>
      <c r="M392" s="8">
        <f t="shared" si="13"/>
        <v>39864</v>
      </c>
      <c r="N392" s="19">
        <v>5.9027777777777776E-2</v>
      </c>
    </row>
    <row r="393" spans="1:14" x14ac:dyDescent="0.3">
      <c r="A393" s="6" t="s">
        <v>11</v>
      </c>
      <c r="B393" s="6">
        <v>1200</v>
      </c>
      <c r="C393" s="6" t="s">
        <v>17</v>
      </c>
      <c r="D393" s="6" t="s">
        <v>712</v>
      </c>
      <c r="E393" s="6" t="s">
        <v>67</v>
      </c>
      <c r="F393" s="6" t="s">
        <v>68</v>
      </c>
      <c r="G393" s="6" t="s">
        <v>16</v>
      </c>
      <c r="H393" s="7">
        <v>39864.481944444444</v>
      </c>
      <c r="I393" s="6">
        <v>38.968609999999998</v>
      </c>
      <c r="J393" s="6">
        <v>-77.341390000000004</v>
      </c>
      <c r="K393" s="8">
        <v>20190</v>
      </c>
      <c r="L393" s="5">
        <f t="shared" si="12"/>
        <v>2009</v>
      </c>
      <c r="M393" s="5">
        <f t="shared" si="13"/>
        <v>39864</v>
      </c>
      <c r="N393" s="18">
        <v>0.28958333333333336</v>
      </c>
    </row>
    <row r="394" spans="1:14" x14ac:dyDescent="0.3">
      <c r="A394" s="3" t="s">
        <v>11</v>
      </c>
      <c r="B394" s="3">
        <v>1200</v>
      </c>
      <c r="C394" s="3" t="s">
        <v>17</v>
      </c>
      <c r="D394" s="3" t="s">
        <v>713</v>
      </c>
      <c r="E394" s="3" t="s">
        <v>203</v>
      </c>
      <c r="F394" s="3" t="s">
        <v>80</v>
      </c>
      <c r="G394" s="3" t="s">
        <v>16</v>
      </c>
      <c r="H394" s="4">
        <v>39864.57916666667</v>
      </c>
      <c r="I394" s="3">
        <v>34.075279999999999</v>
      </c>
      <c r="J394" s="3">
        <v>-84.294169999999994</v>
      </c>
      <c r="K394" s="5">
        <v>30009</v>
      </c>
      <c r="L394" s="5">
        <f t="shared" si="12"/>
        <v>2009</v>
      </c>
      <c r="M394" s="5">
        <f t="shared" si="13"/>
        <v>39864</v>
      </c>
      <c r="N394" s="18">
        <v>0.30069444444444443</v>
      </c>
    </row>
    <row r="395" spans="1:14" x14ac:dyDescent="0.3">
      <c r="A395" s="6" t="s">
        <v>11</v>
      </c>
      <c r="B395" s="6">
        <v>1200</v>
      </c>
      <c r="C395" s="6" t="s">
        <v>12</v>
      </c>
      <c r="D395" s="6" t="s">
        <v>51</v>
      </c>
      <c r="E395" s="6" t="s">
        <v>714</v>
      </c>
      <c r="F395" s="6" t="s">
        <v>80</v>
      </c>
      <c r="G395" s="6" t="s">
        <v>16</v>
      </c>
      <c r="H395" s="7">
        <v>39864.661805555559</v>
      </c>
      <c r="I395" s="6">
        <v>34.91583</v>
      </c>
      <c r="J395" s="6">
        <v>-85.109170000000006</v>
      </c>
      <c r="K395" s="8">
        <v>30736</v>
      </c>
      <c r="L395" s="8">
        <f t="shared" si="12"/>
        <v>2009</v>
      </c>
      <c r="M395" s="8">
        <f t="shared" si="13"/>
        <v>39864</v>
      </c>
      <c r="N395" s="19">
        <v>0.1423611111111111</v>
      </c>
    </row>
    <row r="396" spans="1:14" x14ac:dyDescent="0.3">
      <c r="A396" s="3" t="s">
        <v>11</v>
      </c>
      <c r="B396" s="3">
        <v>1200</v>
      </c>
      <c r="C396" s="3" t="s">
        <v>17</v>
      </c>
      <c r="D396" s="3" t="s">
        <v>267</v>
      </c>
      <c r="E396" s="3" t="s">
        <v>715</v>
      </c>
      <c r="F396" s="3" t="s">
        <v>27</v>
      </c>
      <c r="G396" s="3" t="s">
        <v>16</v>
      </c>
      <c r="H396" s="4">
        <v>39864.697916666664</v>
      </c>
      <c r="I396" s="3">
        <v>40.147799999999997</v>
      </c>
      <c r="J396" s="3">
        <v>-74.213300000000004</v>
      </c>
      <c r="K396" s="5">
        <v>7731</v>
      </c>
      <c r="L396" s="5">
        <f t="shared" si="12"/>
        <v>2009</v>
      </c>
      <c r="M396" s="5">
        <f t="shared" si="13"/>
        <v>39864</v>
      </c>
      <c r="N396" s="18">
        <v>0.37291666666666667</v>
      </c>
    </row>
    <row r="397" spans="1:14" x14ac:dyDescent="0.3">
      <c r="A397" s="6" t="s">
        <v>21</v>
      </c>
      <c r="B397" s="6">
        <v>3600</v>
      </c>
      <c r="C397" s="6" t="s">
        <v>17</v>
      </c>
      <c r="D397" s="6" t="s">
        <v>709</v>
      </c>
      <c r="E397" s="6" t="s">
        <v>716</v>
      </c>
      <c r="F397" s="6" t="s">
        <v>50</v>
      </c>
      <c r="G397" s="6" t="s">
        <v>16</v>
      </c>
      <c r="H397" s="7">
        <v>39864.933333333334</v>
      </c>
      <c r="I397" s="6">
        <v>33.66028</v>
      </c>
      <c r="J397" s="6">
        <v>-117.99833</v>
      </c>
      <c r="K397" s="8">
        <v>92648</v>
      </c>
      <c r="L397" s="8">
        <f t="shared" si="12"/>
        <v>2009</v>
      </c>
      <c r="M397" s="8">
        <f t="shared" si="13"/>
        <v>39864</v>
      </c>
      <c r="N397" s="19">
        <v>0.13750000000000001</v>
      </c>
    </row>
    <row r="398" spans="1:14" x14ac:dyDescent="0.3">
      <c r="A398" s="3" t="s">
        <v>11</v>
      </c>
      <c r="B398" s="3">
        <v>1200</v>
      </c>
      <c r="C398" s="3" t="s">
        <v>65</v>
      </c>
      <c r="D398" s="3" t="s">
        <v>717</v>
      </c>
      <c r="E398" s="3" t="s">
        <v>57</v>
      </c>
      <c r="F398" s="3" t="s">
        <v>50</v>
      </c>
      <c r="G398" s="3" t="s">
        <v>16</v>
      </c>
      <c r="H398" s="4">
        <v>39864.964583333334</v>
      </c>
      <c r="I398" s="3">
        <v>37.226669999999999</v>
      </c>
      <c r="J398" s="3">
        <v>-121.97360999999999</v>
      </c>
      <c r="K398" s="5">
        <v>95032</v>
      </c>
      <c r="L398" s="5">
        <f t="shared" si="12"/>
        <v>2009</v>
      </c>
      <c r="M398" s="5">
        <f t="shared" si="13"/>
        <v>39864</v>
      </c>
      <c r="N398" s="18">
        <v>0.32430555555555557</v>
      </c>
    </row>
    <row r="399" spans="1:14" x14ac:dyDescent="0.3">
      <c r="A399" s="6" t="s">
        <v>11</v>
      </c>
      <c r="B399" s="6">
        <v>1200</v>
      </c>
      <c r="C399" s="6" t="s">
        <v>65</v>
      </c>
      <c r="D399" s="6" t="s">
        <v>77</v>
      </c>
      <c r="E399" s="6" t="s">
        <v>696</v>
      </c>
      <c r="F399" s="6" t="s">
        <v>68</v>
      </c>
      <c r="G399" s="6" t="s">
        <v>16</v>
      </c>
      <c r="H399" s="7">
        <v>39865.201388888891</v>
      </c>
      <c r="I399" s="6">
        <v>38.804720000000003</v>
      </c>
      <c r="J399" s="6">
        <v>-77.047219999999996</v>
      </c>
      <c r="K399" s="8">
        <v>22314</v>
      </c>
      <c r="L399" s="8">
        <f t="shared" si="12"/>
        <v>2009</v>
      </c>
      <c r="M399" s="8">
        <f t="shared" si="13"/>
        <v>39865</v>
      </c>
      <c r="N399" s="19">
        <v>0.38333333333333336</v>
      </c>
    </row>
    <row r="400" spans="1:14" x14ac:dyDescent="0.3">
      <c r="A400" s="3" t="s">
        <v>11</v>
      </c>
      <c r="B400" s="3">
        <v>1200</v>
      </c>
      <c r="C400" s="3" t="s">
        <v>12</v>
      </c>
      <c r="D400" s="3" t="s">
        <v>718</v>
      </c>
      <c r="E400" s="3" t="s">
        <v>719</v>
      </c>
      <c r="F400" s="3" t="s">
        <v>568</v>
      </c>
      <c r="G400" s="3" t="s">
        <v>16</v>
      </c>
      <c r="H400" s="4">
        <v>39865.317361111112</v>
      </c>
      <c r="I400" s="3">
        <v>43.552219999999998</v>
      </c>
      <c r="J400" s="3">
        <v>-87.961669999999998</v>
      </c>
      <c r="K400" s="5">
        <v>53075</v>
      </c>
      <c r="L400" s="5">
        <f t="shared" si="12"/>
        <v>2009</v>
      </c>
      <c r="M400" s="5">
        <f t="shared" si="13"/>
        <v>39865</v>
      </c>
      <c r="N400" s="18">
        <v>0.13125000000000001</v>
      </c>
    </row>
    <row r="401" spans="1:14" x14ac:dyDescent="0.3">
      <c r="A401" s="6" t="s">
        <v>11</v>
      </c>
      <c r="B401" s="6">
        <v>1200</v>
      </c>
      <c r="C401" s="6" t="s">
        <v>17</v>
      </c>
      <c r="D401" s="6" t="s">
        <v>720</v>
      </c>
      <c r="E401" s="6" t="s">
        <v>138</v>
      </c>
      <c r="F401" s="6" t="s">
        <v>50</v>
      </c>
      <c r="G401" s="6" t="s">
        <v>16</v>
      </c>
      <c r="H401" s="7">
        <v>39865.393055555556</v>
      </c>
      <c r="I401" s="6">
        <v>37.774999999999999</v>
      </c>
      <c r="J401" s="6">
        <v>-122.41833</v>
      </c>
      <c r="K401" s="8">
        <v>94103</v>
      </c>
      <c r="L401" s="5">
        <f t="shared" si="12"/>
        <v>2009</v>
      </c>
      <c r="M401" s="5">
        <f t="shared" si="13"/>
        <v>39865</v>
      </c>
      <c r="N401" s="18">
        <v>0.40902777777777777</v>
      </c>
    </row>
    <row r="402" spans="1:14" x14ac:dyDescent="0.3">
      <c r="A402" s="3" t="s">
        <v>11</v>
      </c>
      <c r="B402" s="3">
        <v>1200</v>
      </c>
      <c r="C402" s="3" t="s">
        <v>65</v>
      </c>
      <c r="D402" s="3" t="s">
        <v>721</v>
      </c>
      <c r="E402" s="3" t="s">
        <v>722</v>
      </c>
      <c r="F402" s="3" t="s">
        <v>36</v>
      </c>
      <c r="G402" s="3" t="s">
        <v>16</v>
      </c>
      <c r="H402" s="4">
        <v>39865.543749999997</v>
      </c>
      <c r="I402" s="3">
        <v>41.204169999999998</v>
      </c>
      <c r="J402" s="3">
        <v>-73.727500000000006</v>
      </c>
      <c r="K402" s="5">
        <v>10549</v>
      </c>
      <c r="L402" s="8">
        <f t="shared" si="12"/>
        <v>2009</v>
      </c>
      <c r="M402" s="8">
        <f t="shared" si="13"/>
        <v>39865</v>
      </c>
      <c r="N402" s="19">
        <v>8.7499999999999994E-2</v>
      </c>
    </row>
    <row r="403" spans="1:14" x14ac:dyDescent="0.3">
      <c r="A403" s="6" t="s">
        <v>11</v>
      </c>
      <c r="B403" s="6">
        <v>1200</v>
      </c>
      <c r="C403" s="6" t="s">
        <v>17</v>
      </c>
      <c r="D403" s="6" t="s">
        <v>723</v>
      </c>
      <c r="E403" s="6" t="s">
        <v>724</v>
      </c>
      <c r="F403" s="6" t="s">
        <v>688</v>
      </c>
      <c r="G403" s="6" t="s">
        <v>16</v>
      </c>
      <c r="H403" s="7">
        <v>39865.78125</v>
      </c>
      <c r="I403" s="6">
        <v>44.946109999999997</v>
      </c>
      <c r="J403" s="6">
        <v>-68.644440000000003</v>
      </c>
      <c r="K403" s="8">
        <v>4461</v>
      </c>
      <c r="L403" s="5">
        <f t="shared" si="12"/>
        <v>2009</v>
      </c>
      <c r="M403" s="5">
        <f t="shared" si="13"/>
        <v>39865</v>
      </c>
      <c r="N403" s="18">
        <v>0.5</v>
      </c>
    </row>
    <row r="404" spans="1:14" x14ac:dyDescent="0.3">
      <c r="A404" s="3" t="s">
        <v>11</v>
      </c>
      <c r="B404" s="3">
        <v>1200</v>
      </c>
      <c r="C404" s="3" t="s">
        <v>12</v>
      </c>
      <c r="D404" s="3" t="s">
        <v>147</v>
      </c>
      <c r="E404" s="3" t="s">
        <v>725</v>
      </c>
      <c r="F404" s="3" t="s">
        <v>36</v>
      </c>
      <c r="G404" s="3" t="s">
        <v>16</v>
      </c>
      <c r="H404" s="4">
        <v>39866.493750000001</v>
      </c>
      <c r="I404" s="3">
        <v>41.221899999999998</v>
      </c>
      <c r="J404" s="3">
        <v>-73.887</v>
      </c>
      <c r="K404" s="5">
        <v>10520</v>
      </c>
      <c r="L404" s="8">
        <f t="shared" si="12"/>
        <v>2009</v>
      </c>
      <c r="M404" s="8">
        <f t="shared" si="13"/>
        <v>39866</v>
      </c>
      <c r="N404" s="19">
        <v>0.34375</v>
      </c>
    </row>
    <row r="405" spans="1:14" x14ac:dyDescent="0.3">
      <c r="A405" s="6" t="s">
        <v>11</v>
      </c>
      <c r="B405" s="6">
        <v>1200</v>
      </c>
      <c r="C405" s="6" t="s">
        <v>17</v>
      </c>
      <c r="D405" s="6" t="s">
        <v>726</v>
      </c>
      <c r="E405" s="6" t="s">
        <v>180</v>
      </c>
      <c r="F405" s="6" t="s">
        <v>33</v>
      </c>
      <c r="G405" s="6" t="s">
        <v>16</v>
      </c>
      <c r="H405" s="7">
        <v>39866.665277777778</v>
      </c>
      <c r="I405" s="6">
        <v>36.16583</v>
      </c>
      <c r="J405" s="6">
        <v>-86.784440000000004</v>
      </c>
      <c r="K405" s="8">
        <v>37219</v>
      </c>
      <c r="L405" s="5">
        <f t="shared" si="12"/>
        <v>2009</v>
      </c>
      <c r="M405" s="5">
        <f t="shared" si="13"/>
        <v>39866</v>
      </c>
      <c r="N405" s="18">
        <v>0.375</v>
      </c>
    </row>
    <row r="406" spans="1:14" x14ac:dyDescent="0.3">
      <c r="A406" s="3" t="s">
        <v>11</v>
      </c>
      <c r="B406" s="3">
        <v>1200</v>
      </c>
      <c r="C406" s="3" t="s">
        <v>17</v>
      </c>
      <c r="D406" s="3" t="s">
        <v>727</v>
      </c>
      <c r="E406" s="3" t="s">
        <v>728</v>
      </c>
      <c r="F406" s="3" t="s">
        <v>61</v>
      </c>
      <c r="G406" s="3" t="s">
        <v>16</v>
      </c>
      <c r="H406" s="4">
        <v>39866.775000000001</v>
      </c>
      <c r="I406" s="3">
        <v>26.141670000000001</v>
      </c>
      <c r="J406" s="3">
        <v>-81.795000000000002</v>
      </c>
      <c r="K406" s="5">
        <v>34102</v>
      </c>
      <c r="L406" s="8">
        <f t="shared" si="12"/>
        <v>2009</v>
      </c>
      <c r="M406" s="8">
        <f t="shared" si="13"/>
        <v>39866</v>
      </c>
      <c r="N406" s="19">
        <v>0.42916666666666664</v>
      </c>
    </row>
    <row r="407" spans="1:14" x14ac:dyDescent="0.3">
      <c r="A407" s="6" t="s">
        <v>11</v>
      </c>
      <c r="B407" s="6">
        <v>1200</v>
      </c>
      <c r="C407" s="6" t="s">
        <v>17</v>
      </c>
      <c r="D407" s="6" t="s">
        <v>729</v>
      </c>
      <c r="E407" s="6" t="s">
        <v>730</v>
      </c>
      <c r="F407" s="6" t="s">
        <v>27</v>
      </c>
      <c r="G407" s="6" t="s">
        <v>16</v>
      </c>
      <c r="H407" s="7">
        <v>39866.783333333333</v>
      </c>
      <c r="I407" s="6">
        <v>40.594499999999996</v>
      </c>
      <c r="J407" s="6">
        <v>-74.624399999999994</v>
      </c>
      <c r="K407" s="8">
        <v>8807</v>
      </c>
      <c r="L407" s="5">
        <f t="shared" si="12"/>
        <v>2009</v>
      </c>
      <c r="M407" s="5">
        <f t="shared" si="13"/>
        <v>39866</v>
      </c>
      <c r="N407" s="18">
        <v>0.12291666666666666</v>
      </c>
    </row>
    <row r="408" spans="1:14" x14ac:dyDescent="0.3">
      <c r="A408" s="3" t="s">
        <v>21</v>
      </c>
      <c r="B408" s="3">
        <v>3600</v>
      </c>
      <c r="C408" s="3" t="s">
        <v>17</v>
      </c>
      <c r="D408" s="3" t="s">
        <v>731</v>
      </c>
      <c r="E408" s="3" t="s">
        <v>205</v>
      </c>
      <c r="F408" s="3" t="s">
        <v>206</v>
      </c>
      <c r="G408" s="3" t="s">
        <v>16</v>
      </c>
      <c r="H408" s="4">
        <v>39866.790277777778</v>
      </c>
      <c r="I408" s="3">
        <v>38.895000000000003</v>
      </c>
      <c r="J408" s="3">
        <v>-77.036670000000001</v>
      </c>
      <c r="K408" s="5">
        <v>20004</v>
      </c>
      <c r="L408" s="5">
        <f t="shared" si="12"/>
        <v>2009</v>
      </c>
      <c r="M408" s="5">
        <f t="shared" si="13"/>
        <v>39866</v>
      </c>
      <c r="N408" s="18">
        <v>0.42222222222222222</v>
      </c>
    </row>
    <row r="409" spans="1:14" x14ac:dyDescent="0.3">
      <c r="A409" s="6" t="s">
        <v>11</v>
      </c>
      <c r="B409" s="6">
        <v>1200</v>
      </c>
      <c r="C409" s="6" t="s">
        <v>12</v>
      </c>
      <c r="D409" s="6" t="s">
        <v>732</v>
      </c>
      <c r="E409" s="6" t="s">
        <v>733</v>
      </c>
      <c r="F409" s="6" t="s">
        <v>95</v>
      </c>
      <c r="G409" s="6" t="s">
        <v>16</v>
      </c>
      <c r="H409" s="7">
        <v>39867.218055555553</v>
      </c>
      <c r="I409" s="6">
        <v>35.410559999999997</v>
      </c>
      <c r="J409" s="6">
        <v>-80.843059999999994</v>
      </c>
      <c r="K409" s="8">
        <v>28078</v>
      </c>
      <c r="L409" s="8">
        <f t="shared" si="12"/>
        <v>2009</v>
      </c>
      <c r="M409" s="8">
        <f t="shared" si="13"/>
        <v>39867</v>
      </c>
      <c r="N409" s="19">
        <v>0.1361111111111111</v>
      </c>
    </row>
    <row r="410" spans="1:14" x14ac:dyDescent="0.3">
      <c r="A410" s="3" t="s">
        <v>21</v>
      </c>
      <c r="B410" s="3">
        <v>3600</v>
      </c>
      <c r="C410" s="3" t="s">
        <v>12</v>
      </c>
      <c r="D410" s="3" t="s">
        <v>734</v>
      </c>
      <c r="E410" s="3" t="s">
        <v>735</v>
      </c>
      <c r="F410" s="3" t="s">
        <v>508</v>
      </c>
      <c r="G410" s="3" t="s">
        <v>16</v>
      </c>
      <c r="H410" s="4">
        <v>39867.26666666667</v>
      </c>
      <c r="I410" s="3">
        <v>39.698610000000002</v>
      </c>
      <c r="J410" s="3">
        <v>-86.463610000000003</v>
      </c>
      <c r="K410" s="5">
        <v>46168</v>
      </c>
      <c r="L410" s="5">
        <f t="shared" si="12"/>
        <v>2009</v>
      </c>
      <c r="M410" s="5">
        <f t="shared" si="13"/>
        <v>39867</v>
      </c>
      <c r="N410" s="18">
        <v>0.16388888888888889</v>
      </c>
    </row>
    <row r="411" spans="1:14" x14ac:dyDescent="0.3">
      <c r="A411" s="6" t="s">
        <v>11</v>
      </c>
      <c r="B411" s="6">
        <v>1200</v>
      </c>
      <c r="C411" s="6" t="s">
        <v>12</v>
      </c>
      <c r="D411" s="6" t="s">
        <v>736</v>
      </c>
      <c r="E411" s="6" t="s">
        <v>737</v>
      </c>
      <c r="F411" s="6" t="s">
        <v>39</v>
      </c>
      <c r="G411" s="6" t="s">
        <v>16</v>
      </c>
      <c r="H411" s="7">
        <v>39867.288888888892</v>
      </c>
      <c r="I411" s="6">
        <v>33.01444</v>
      </c>
      <c r="J411" s="6">
        <v>-97.096670000000003</v>
      </c>
      <c r="K411" s="8">
        <v>75022</v>
      </c>
      <c r="L411" s="8">
        <f t="shared" si="12"/>
        <v>2009</v>
      </c>
      <c r="M411" s="8">
        <f t="shared" si="13"/>
        <v>39867</v>
      </c>
      <c r="N411" s="19">
        <v>0.3659722222222222</v>
      </c>
    </row>
    <row r="412" spans="1:14" x14ac:dyDescent="0.3">
      <c r="A412" s="3" t="s">
        <v>11</v>
      </c>
      <c r="B412" s="3">
        <v>1200</v>
      </c>
      <c r="C412" s="3" t="s">
        <v>12</v>
      </c>
      <c r="D412" s="3" t="s">
        <v>738</v>
      </c>
      <c r="E412" s="3" t="s">
        <v>739</v>
      </c>
      <c r="F412" s="3" t="s">
        <v>115</v>
      </c>
      <c r="G412" s="3" t="s">
        <v>16</v>
      </c>
      <c r="H412" s="4">
        <v>39867.290277777778</v>
      </c>
      <c r="I412" s="3">
        <v>42.68056</v>
      </c>
      <c r="J412" s="3">
        <v>-83.133889999999994</v>
      </c>
      <c r="K412" s="5">
        <v>48307</v>
      </c>
      <c r="L412" s="5">
        <f t="shared" si="12"/>
        <v>2009</v>
      </c>
      <c r="M412" s="5">
        <f t="shared" si="13"/>
        <v>39867</v>
      </c>
      <c r="N412" s="18">
        <v>0.4</v>
      </c>
    </row>
    <row r="413" spans="1:14" x14ac:dyDescent="0.3">
      <c r="A413" s="6" t="s">
        <v>11</v>
      </c>
      <c r="B413" s="6">
        <v>1200</v>
      </c>
      <c r="C413" s="6" t="s">
        <v>12</v>
      </c>
      <c r="D413" s="6" t="s">
        <v>740</v>
      </c>
      <c r="E413" s="6" t="s">
        <v>741</v>
      </c>
      <c r="F413" s="6" t="s">
        <v>100</v>
      </c>
      <c r="G413" s="6" t="s">
        <v>16</v>
      </c>
      <c r="H413" s="7">
        <v>39867.482638888891</v>
      </c>
      <c r="I413" s="6">
        <v>39.961109999999998</v>
      </c>
      <c r="J413" s="6">
        <v>-82.998890000000003</v>
      </c>
      <c r="K413" s="8">
        <v>43215</v>
      </c>
      <c r="L413" s="8">
        <f t="shared" si="12"/>
        <v>2009</v>
      </c>
      <c r="M413" s="8">
        <f t="shared" si="13"/>
        <v>39867</v>
      </c>
      <c r="N413" s="19">
        <v>0.25694444444444442</v>
      </c>
    </row>
    <row r="414" spans="1:14" x14ac:dyDescent="0.3">
      <c r="A414" s="3" t="s">
        <v>11</v>
      </c>
      <c r="B414" s="3">
        <v>1200</v>
      </c>
      <c r="C414" s="3" t="s">
        <v>17</v>
      </c>
      <c r="D414" s="3" t="s">
        <v>214</v>
      </c>
      <c r="E414" s="3" t="s">
        <v>742</v>
      </c>
      <c r="F414" s="3" t="s">
        <v>36</v>
      </c>
      <c r="G414" s="3" t="s">
        <v>16</v>
      </c>
      <c r="H414" s="4">
        <v>39867.566666666666</v>
      </c>
      <c r="I414" s="3">
        <v>40.997779999999999</v>
      </c>
      <c r="J414" s="3">
        <v>-72.293059999999997</v>
      </c>
      <c r="K414" s="5">
        <v>11963</v>
      </c>
      <c r="L414" s="5">
        <f t="shared" si="12"/>
        <v>2009</v>
      </c>
      <c r="M414" s="5">
        <f t="shared" si="13"/>
        <v>39867</v>
      </c>
      <c r="N414" s="18">
        <v>0.25972222222222224</v>
      </c>
    </row>
    <row r="415" spans="1:14" x14ac:dyDescent="0.3">
      <c r="A415" s="6" t="s">
        <v>11</v>
      </c>
      <c r="B415" s="6">
        <v>1200</v>
      </c>
      <c r="C415" s="6" t="s">
        <v>12</v>
      </c>
      <c r="D415" s="6" t="s">
        <v>743</v>
      </c>
      <c r="E415" s="6" t="s">
        <v>493</v>
      </c>
      <c r="F415" s="6" t="s">
        <v>50</v>
      </c>
      <c r="G415" s="6" t="s">
        <v>16</v>
      </c>
      <c r="H415" s="7">
        <v>39867.652083333334</v>
      </c>
      <c r="I415" s="6">
        <v>32.71528</v>
      </c>
      <c r="J415" s="6">
        <v>-117.15639</v>
      </c>
      <c r="K415" s="8">
        <v>92101</v>
      </c>
      <c r="L415" s="5">
        <f t="shared" si="12"/>
        <v>2009</v>
      </c>
      <c r="M415" s="5">
        <f t="shared" si="13"/>
        <v>39867</v>
      </c>
      <c r="N415" s="18">
        <v>0.39652777777777776</v>
      </c>
    </row>
    <row r="416" spans="1:14" x14ac:dyDescent="0.3">
      <c r="A416" s="3" t="s">
        <v>11</v>
      </c>
      <c r="B416" s="3">
        <v>1200</v>
      </c>
      <c r="C416" s="3" t="s">
        <v>17</v>
      </c>
      <c r="D416" s="3" t="s">
        <v>744</v>
      </c>
      <c r="E416" s="3" t="s">
        <v>692</v>
      </c>
      <c r="F416" s="3" t="s">
        <v>745</v>
      </c>
      <c r="G416" s="3" t="s">
        <v>16</v>
      </c>
      <c r="H416" s="4">
        <v>39867.686805555553</v>
      </c>
      <c r="I416" s="3">
        <v>39.745829999999998</v>
      </c>
      <c r="J416" s="3">
        <v>-75.546940000000006</v>
      </c>
      <c r="K416" s="5">
        <v>19801</v>
      </c>
      <c r="L416" s="8">
        <f t="shared" si="12"/>
        <v>2009</v>
      </c>
      <c r="M416" s="8">
        <f t="shared" si="13"/>
        <v>39867</v>
      </c>
      <c r="N416" s="19">
        <v>0.31319444444444444</v>
      </c>
    </row>
    <row r="417" spans="1:14" x14ac:dyDescent="0.3">
      <c r="A417" s="6" t="s">
        <v>11</v>
      </c>
      <c r="B417" s="6">
        <v>1200</v>
      </c>
      <c r="C417" s="6" t="s">
        <v>65</v>
      </c>
      <c r="D417" s="6" t="s">
        <v>185</v>
      </c>
      <c r="E417" s="6" t="s">
        <v>495</v>
      </c>
      <c r="F417" s="6" t="s">
        <v>169</v>
      </c>
      <c r="G417" s="6" t="s">
        <v>16</v>
      </c>
      <c r="H417" s="7">
        <v>39867.915277777778</v>
      </c>
      <c r="I417" s="6">
        <v>47.61056</v>
      </c>
      <c r="J417" s="6">
        <v>-122.19944</v>
      </c>
      <c r="K417" s="8">
        <v>98004</v>
      </c>
      <c r="L417" s="5">
        <f t="shared" si="12"/>
        <v>2009</v>
      </c>
      <c r="M417" s="5">
        <f t="shared" si="13"/>
        <v>39867</v>
      </c>
      <c r="N417" s="18">
        <v>0.50694444444444442</v>
      </c>
    </row>
    <row r="418" spans="1:14" x14ac:dyDescent="0.3">
      <c r="A418" s="3" t="s">
        <v>21</v>
      </c>
      <c r="B418" s="3">
        <v>3600</v>
      </c>
      <c r="C418" s="3" t="s">
        <v>12</v>
      </c>
      <c r="D418" s="3" t="s">
        <v>746</v>
      </c>
      <c r="E418" s="3" t="s">
        <v>747</v>
      </c>
      <c r="F418" s="3" t="s">
        <v>80</v>
      </c>
      <c r="G418" s="3" t="s">
        <v>16</v>
      </c>
      <c r="H418" s="4">
        <v>39868.348611111112</v>
      </c>
      <c r="I418" s="3">
        <v>33.81861</v>
      </c>
      <c r="J418" s="3">
        <v>-84.582499999999996</v>
      </c>
      <c r="K418" s="5">
        <v>30126</v>
      </c>
      <c r="L418" s="8">
        <f t="shared" si="12"/>
        <v>2009</v>
      </c>
      <c r="M418" s="8">
        <f t="shared" si="13"/>
        <v>39868</v>
      </c>
      <c r="N418" s="19">
        <v>0.30972222222222223</v>
      </c>
    </row>
    <row r="419" spans="1:14" x14ac:dyDescent="0.3">
      <c r="A419" s="6" t="s">
        <v>11</v>
      </c>
      <c r="B419" s="6">
        <v>1200</v>
      </c>
      <c r="C419" s="6" t="s">
        <v>12</v>
      </c>
      <c r="D419" s="6" t="s">
        <v>748</v>
      </c>
      <c r="E419" s="6" t="s">
        <v>493</v>
      </c>
      <c r="F419" s="6" t="s">
        <v>50</v>
      </c>
      <c r="G419" s="6" t="s">
        <v>16</v>
      </c>
      <c r="H419" s="7">
        <v>39868.355555555558</v>
      </c>
      <c r="I419" s="6">
        <v>32.71528</v>
      </c>
      <c r="J419" s="6">
        <v>-117.15639</v>
      </c>
      <c r="K419" s="8">
        <v>92101</v>
      </c>
      <c r="L419" s="5">
        <f t="shared" si="12"/>
        <v>2009</v>
      </c>
      <c r="M419" s="5">
        <f t="shared" si="13"/>
        <v>39868</v>
      </c>
      <c r="N419" s="18">
        <v>0.16805555555555557</v>
      </c>
    </row>
    <row r="420" spans="1:14" x14ac:dyDescent="0.3">
      <c r="A420" s="3" t="s">
        <v>11</v>
      </c>
      <c r="B420" s="3">
        <v>1200</v>
      </c>
      <c r="C420" s="3" t="s">
        <v>17</v>
      </c>
      <c r="D420" s="3" t="s">
        <v>749</v>
      </c>
      <c r="E420" s="3" t="s">
        <v>405</v>
      </c>
      <c r="F420" s="3" t="s">
        <v>195</v>
      </c>
      <c r="G420" s="3" t="s">
        <v>16</v>
      </c>
      <c r="H420" s="4">
        <v>39868.365277777775</v>
      </c>
      <c r="I420" s="3">
        <v>44.98</v>
      </c>
      <c r="J420" s="3">
        <v>-93.26361</v>
      </c>
      <c r="K420" s="5">
        <v>55401</v>
      </c>
      <c r="L420" s="8">
        <f t="shared" si="12"/>
        <v>2009</v>
      </c>
      <c r="M420" s="8">
        <f t="shared" si="13"/>
        <v>39868</v>
      </c>
      <c r="N420" s="19">
        <v>5.0694444444444445E-2</v>
      </c>
    </row>
    <row r="421" spans="1:14" x14ac:dyDescent="0.3">
      <c r="A421" s="6" t="s">
        <v>21</v>
      </c>
      <c r="B421" s="6">
        <v>3600</v>
      </c>
      <c r="C421" s="6" t="s">
        <v>17</v>
      </c>
      <c r="D421" s="6" t="s">
        <v>750</v>
      </c>
      <c r="E421" s="6" t="s">
        <v>334</v>
      </c>
      <c r="F421" s="6" t="s">
        <v>68</v>
      </c>
      <c r="G421" s="6" t="s">
        <v>16</v>
      </c>
      <c r="H421" s="7">
        <v>39868.693055555559</v>
      </c>
      <c r="I421" s="6">
        <v>38.890279999999997</v>
      </c>
      <c r="J421" s="6">
        <v>-77.084440000000001</v>
      </c>
      <c r="K421" s="8">
        <v>22201</v>
      </c>
      <c r="L421" s="5">
        <f t="shared" si="12"/>
        <v>2009</v>
      </c>
      <c r="M421" s="5">
        <f t="shared" si="13"/>
        <v>39868</v>
      </c>
      <c r="N421" s="18">
        <v>0.1125</v>
      </c>
    </row>
    <row r="422" spans="1:14" x14ac:dyDescent="0.3">
      <c r="A422" s="3" t="s">
        <v>11</v>
      </c>
      <c r="B422" s="3">
        <v>1200</v>
      </c>
      <c r="C422" s="3" t="s">
        <v>17</v>
      </c>
      <c r="D422" s="3" t="s">
        <v>627</v>
      </c>
      <c r="E422" s="3" t="s">
        <v>751</v>
      </c>
      <c r="F422" s="3" t="s">
        <v>61</v>
      </c>
      <c r="G422" s="3" t="s">
        <v>16</v>
      </c>
      <c r="H422" s="4">
        <v>39868.770138888889</v>
      </c>
      <c r="I422" s="3">
        <v>29.474720000000001</v>
      </c>
      <c r="J422" s="3">
        <v>-82.86</v>
      </c>
      <c r="K422" s="5">
        <v>32626</v>
      </c>
      <c r="L422" s="5">
        <f t="shared" si="12"/>
        <v>2009</v>
      </c>
      <c r="M422" s="5">
        <f t="shared" si="13"/>
        <v>39868</v>
      </c>
      <c r="N422" s="18">
        <v>0.51111111111111107</v>
      </c>
    </row>
    <row r="423" spans="1:14" x14ac:dyDescent="0.3">
      <c r="A423" s="6" t="s">
        <v>11</v>
      </c>
      <c r="B423" s="6">
        <v>1200</v>
      </c>
      <c r="C423" s="6" t="s">
        <v>12</v>
      </c>
      <c r="D423" s="6" t="s">
        <v>752</v>
      </c>
      <c r="E423" s="6" t="s">
        <v>753</v>
      </c>
      <c r="F423" s="6" t="s">
        <v>217</v>
      </c>
      <c r="G423" s="6" t="s">
        <v>16</v>
      </c>
      <c r="H423" s="7">
        <v>39869.102777777778</v>
      </c>
      <c r="I423" s="6">
        <v>42.336939999999998</v>
      </c>
      <c r="J423" s="6">
        <v>-71.209720000000004</v>
      </c>
      <c r="K423" s="8">
        <v>2459</v>
      </c>
      <c r="L423" s="8">
        <f t="shared" si="12"/>
        <v>2009</v>
      </c>
      <c r="M423" s="8">
        <f t="shared" si="13"/>
        <v>39869</v>
      </c>
      <c r="N423" s="19">
        <v>0.2361111111111111</v>
      </c>
    </row>
    <row r="424" spans="1:14" x14ac:dyDescent="0.3">
      <c r="A424" s="3" t="s">
        <v>11</v>
      </c>
      <c r="B424" s="3">
        <v>1200</v>
      </c>
      <c r="C424" s="3" t="s">
        <v>17</v>
      </c>
      <c r="D424" s="3" t="s">
        <v>754</v>
      </c>
      <c r="E424" s="3" t="s">
        <v>755</v>
      </c>
      <c r="F424" s="3" t="s">
        <v>132</v>
      </c>
      <c r="G424" s="3" t="s">
        <v>16</v>
      </c>
      <c r="H424" s="4">
        <v>39869.320833333331</v>
      </c>
      <c r="I424" s="3">
        <v>39.372219999999999</v>
      </c>
      <c r="J424" s="3">
        <v>-104.85556</v>
      </c>
      <c r="K424" s="5">
        <v>80104</v>
      </c>
      <c r="L424" s="5">
        <f t="shared" si="12"/>
        <v>2009</v>
      </c>
      <c r="M424" s="5">
        <f t="shared" si="13"/>
        <v>39869</v>
      </c>
      <c r="N424" s="18">
        <v>0.43819444444444444</v>
      </c>
    </row>
    <row r="425" spans="1:14" x14ac:dyDescent="0.3">
      <c r="A425" s="6" t="s">
        <v>11</v>
      </c>
      <c r="B425" s="6">
        <v>1200</v>
      </c>
      <c r="C425" s="6" t="s">
        <v>65</v>
      </c>
      <c r="D425" s="6" t="s">
        <v>756</v>
      </c>
      <c r="E425" s="6" t="s">
        <v>231</v>
      </c>
      <c r="F425" s="6" t="s">
        <v>106</v>
      </c>
      <c r="G425" s="6" t="s">
        <v>16</v>
      </c>
      <c r="H425" s="7">
        <v>39869.449999999997</v>
      </c>
      <c r="I425" s="6">
        <v>39.083889999999997</v>
      </c>
      <c r="J425" s="6">
        <v>-77.153059999999996</v>
      </c>
      <c r="K425" s="8">
        <v>20850</v>
      </c>
      <c r="L425" s="8">
        <f t="shared" si="12"/>
        <v>2009</v>
      </c>
      <c r="M425" s="8">
        <f t="shared" si="13"/>
        <v>39869</v>
      </c>
      <c r="N425" s="19">
        <v>0.19722222222222222</v>
      </c>
    </row>
    <row r="426" spans="1:14" x14ac:dyDescent="0.3">
      <c r="A426" s="3" t="s">
        <v>64</v>
      </c>
      <c r="B426" s="3">
        <v>7500</v>
      </c>
      <c r="C426" s="3" t="s">
        <v>17</v>
      </c>
      <c r="D426" s="3" t="s">
        <v>757</v>
      </c>
      <c r="E426" s="3" t="s">
        <v>474</v>
      </c>
      <c r="F426" s="3" t="s">
        <v>39</v>
      </c>
      <c r="G426" s="3" t="s">
        <v>16</v>
      </c>
      <c r="H426" s="4">
        <v>39869.598611111112</v>
      </c>
      <c r="I426" s="3">
        <v>29.538609999999998</v>
      </c>
      <c r="J426" s="3">
        <v>-95.447220000000002</v>
      </c>
      <c r="K426" s="5">
        <v>77545</v>
      </c>
      <c r="L426" s="5">
        <f t="shared" si="12"/>
        <v>2009</v>
      </c>
      <c r="M426" s="5">
        <f t="shared" si="13"/>
        <v>39869</v>
      </c>
      <c r="N426" s="18">
        <v>0.4826388888888889</v>
      </c>
    </row>
    <row r="427" spans="1:14" x14ac:dyDescent="0.3">
      <c r="A427" s="6" t="s">
        <v>11</v>
      </c>
      <c r="B427" s="6">
        <v>1200</v>
      </c>
      <c r="C427" s="6" t="s">
        <v>17</v>
      </c>
      <c r="D427" s="6" t="s">
        <v>356</v>
      </c>
      <c r="E427" s="6" t="s">
        <v>474</v>
      </c>
      <c r="F427" s="6" t="s">
        <v>39</v>
      </c>
      <c r="G427" s="6" t="s">
        <v>16</v>
      </c>
      <c r="H427" s="7">
        <v>39869.598611111112</v>
      </c>
      <c r="I427" s="6">
        <v>29.538609999999998</v>
      </c>
      <c r="J427" s="6">
        <v>-95.447220000000002</v>
      </c>
      <c r="K427" s="8">
        <v>77545</v>
      </c>
      <c r="L427" s="8">
        <f t="shared" si="12"/>
        <v>2009</v>
      </c>
      <c r="M427" s="8">
        <f t="shared" si="13"/>
        <v>39869</v>
      </c>
      <c r="N427" s="19">
        <v>8.4722222222222227E-2</v>
      </c>
    </row>
    <row r="428" spans="1:14" x14ac:dyDescent="0.3">
      <c r="A428" s="3" t="s">
        <v>11</v>
      </c>
      <c r="B428" s="3">
        <v>1200</v>
      </c>
      <c r="C428" s="3" t="s">
        <v>17</v>
      </c>
      <c r="D428" s="3" t="s">
        <v>625</v>
      </c>
      <c r="E428" s="3" t="s">
        <v>758</v>
      </c>
      <c r="F428" s="3" t="s">
        <v>39</v>
      </c>
      <c r="G428" s="3" t="s">
        <v>16</v>
      </c>
      <c r="H428" s="4">
        <v>39869.724999999999</v>
      </c>
      <c r="I428" s="3">
        <v>30.388059999999999</v>
      </c>
      <c r="J428" s="3">
        <v>-95.696110000000004</v>
      </c>
      <c r="K428" s="5">
        <v>77356</v>
      </c>
      <c r="L428" s="5">
        <f t="shared" si="12"/>
        <v>2009</v>
      </c>
      <c r="M428" s="5">
        <f t="shared" si="13"/>
        <v>39869</v>
      </c>
      <c r="N428" s="18">
        <v>0.43541666666666667</v>
      </c>
    </row>
    <row r="429" spans="1:14" x14ac:dyDescent="0.3">
      <c r="A429" s="6" t="s">
        <v>11</v>
      </c>
      <c r="B429" s="6">
        <v>1200</v>
      </c>
      <c r="C429" s="6" t="s">
        <v>17</v>
      </c>
      <c r="D429" s="6" t="s">
        <v>420</v>
      </c>
      <c r="E429" s="6" t="s">
        <v>759</v>
      </c>
      <c r="F429" s="6" t="s">
        <v>30</v>
      </c>
      <c r="G429" s="6" t="s">
        <v>16</v>
      </c>
      <c r="H429" s="7">
        <v>39869.810416666667</v>
      </c>
      <c r="I429" s="6">
        <v>41.25056</v>
      </c>
      <c r="J429" s="6">
        <v>-87.831389999999999</v>
      </c>
      <c r="K429" s="8">
        <v>60950</v>
      </c>
      <c r="L429" s="5">
        <f t="shared" si="12"/>
        <v>2009</v>
      </c>
      <c r="M429" s="5">
        <f t="shared" si="13"/>
        <v>39869</v>
      </c>
      <c r="N429" s="18">
        <v>0.27291666666666664</v>
      </c>
    </row>
    <row r="430" spans="1:14" x14ac:dyDescent="0.3">
      <c r="A430" s="3" t="s">
        <v>21</v>
      </c>
      <c r="B430" s="3">
        <v>3600</v>
      </c>
      <c r="C430" s="3" t="s">
        <v>17</v>
      </c>
      <c r="D430" s="3" t="s">
        <v>760</v>
      </c>
      <c r="E430" s="3" t="s">
        <v>284</v>
      </c>
      <c r="F430" s="3" t="s">
        <v>61</v>
      </c>
      <c r="G430" s="3" t="s">
        <v>16</v>
      </c>
      <c r="H430" s="4">
        <v>39870.029166666667</v>
      </c>
      <c r="I430" s="3">
        <v>28.021940000000001</v>
      </c>
      <c r="J430" s="3">
        <v>-81.733059999999995</v>
      </c>
      <c r="K430" s="5">
        <v>33880</v>
      </c>
      <c r="L430" s="8">
        <f t="shared" si="12"/>
        <v>2009</v>
      </c>
      <c r="M430" s="8">
        <f t="shared" si="13"/>
        <v>39870</v>
      </c>
      <c r="N430" s="19">
        <v>0.22152777777777777</v>
      </c>
    </row>
    <row r="431" spans="1:14" x14ac:dyDescent="0.3">
      <c r="A431" s="6" t="s">
        <v>11</v>
      </c>
      <c r="B431" s="6">
        <v>1200</v>
      </c>
      <c r="C431" s="6" t="s">
        <v>12</v>
      </c>
      <c r="D431" s="6" t="s">
        <v>761</v>
      </c>
      <c r="E431" s="6" t="s">
        <v>89</v>
      </c>
      <c r="F431" s="6" t="s">
        <v>61</v>
      </c>
      <c r="G431" s="6" t="s">
        <v>16</v>
      </c>
      <c r="H431" s="7">
        <v>39870.244444444441</v>
      </c>
      <c r="I431" s="6">
        <v>26.121939999999999</v>
      </c>
      <c r="J431" s="6">
        <v>-80.143609999999995</v>
      </c>
      <c r="K431" s="8">
        <v>33301</v>
      </c>
      <c r="L431" s="5">
        <f t="shared" si="12"/>
        <v>2009</v>
      </c>
      <c r="M431" s="5">
        <f t="shared" si="13"/>
        <v>39870</v>
      </c>
      <c r="N431" s="18">
        <v>0.14027777777777778</v>
      </c>
    </row>
    <row r="432" spans="1:14" x14ac:dyDescent="0.3">
      <c r="A432" s="3" t="s">
        <v>21</v>
      </c>
      <c r="B432" s="3">
        <v>3600</v>
      </c>
      <c r="C432" s="3" t="s">
        <v>65</v>
      </c>
      <c r="D432" s="3" t="s">
        <v>762</v>
      </c>
      <c r="E432" s="3" t="s">
        <v>763</v>
      </c>
      <c r="F432" s="3" t="s">
        <v>240</v>
      </c>
      <c r="G432" s="3" t="s">
        <v>16</v>
      </c>
      <c r="H432" s="4">
        <v>39870.25277777778</v>
      </c>
      <c r="I432" s="3">
        <v>40.694719999999997</v>
      </c>
      <c r="J432" s="3">
        <v>-80.131110000000007</v>
      </c>
      <c r="K432" s="5">
        <v>16066</v>
      </c>
      <c r="L432" s="8">
        <f t="shared" si="12"/>
        <v>2009</v>
      </c>
      <c r="M432" s="8">
        <f t="shared" si="13"/>
        <v>39870</v>
      </c>
      <c r="N432" s="19">
        <v>0.23472222222222222</v>
      </c>
    </row>
    <row r="433" spans="1:14" x14ac:dyDescent="0.3">
      <c r="A433" s="6" t="s">
        <v>11</v>
      </c>
      <c r="B433" s="6">
        <v>1200</v>
      </c>
      <c r="C433" s="6" t="s">
        <v>12</v>
      </c>
      <c r="D433" s="6" t="s">
        <v>764</v>
      </c>
      <c r="E433" s="6" t="s">
        <v>334</v>
      </c>
      <c r="F433" s="6" t="s">
        <v>68</v>
      </c>
      <c r="G433" s="6" t="s">
        <v>16</v>
      </c>
      <c r="H433" s="7">
        <v>39870.255555555559</v>
      </c>
      <c r="I433" s="6">
        <v>38.890279999999997</v>
      </c>
      <c r="J433" s="6">
        <v>-77.084440000000001</v>
      </c>
      <c r="K433" s="8">
        <v>22201</v>
      </c>
      <c r="L433" s="5">
        <f t="shared" si="12"/>
        <v>2009</v>
      </c>
      <c r="M433" s="5">
        <f t="shared" si="13"/>
        <v>39870</v>
      </c>
      <c r="N433" s="18">
        <v>0.44305555555555554</v>
      </c>
    </row>
    <row r="434" spans="1:14" x14ac:dyDescent="0.3">
      <c r="A434" s="3" t="s">
        <v>11</v>
      </c>
      <c r="B434" s="3">
        <v>1200</v>
      </c>
      <c r="C434" s="3" t="s">
        <v>17</v>
      </c>
      <c r="D434" s="3" t="s">
        <v>377</v>
      </c>
      <c r="E434" s="3" t="s">
        <v>765</v>
      </c>
      <c r="F434" s="3" t="s">
        <v>36</v>
      </c>
      <c r="G434" s="3" t="s">
        <v>16</v>
      </c>
      <c r="H434" s="4">
        <v>39870.259722222225</v>
      </c>
      <c r="I434" s="3">
        <v>40.835000000000001</v>
      </c>
      <c r="J434" s="3">
        <v>-73.13167</v>
      </c>
      <c r="K434" s="5">
        <v>11767</v>
      </c>
      <c r="L434" s="8">
        <f t="shared" si="12"/>
        <v>2009</v>
      </c>
      <c r="M434" s="8">
        <f t="shared" si="13"/>
        <v>39870</v>
      </c>
      <c r="N434" s="19">
        <v>0.3125</v>
      </c>
    </row>
    <row r="435" spans="1:14" x14ac:dyDescent="0.3">
      <c r="A435" s="6" t="s">
        <v>11</v>
      </c>
      <c r="B435" s="6">
        <v>1200</v>
      </c>
      <c r="C435" s="6" t="s">
        <v>12</v>
      </c>
      <c r="D435" s="6" t="s">
        <v>746</v>
      </c>
      <c r="E435" s="6" t="s">
        <v>696</v>
      </c>
      <c r="F435" s="6" t="s">
        <v>68</v>
      </c>
      <c r="G435" s="6" t="s">
        <v>16</v>
      </c>
      <c r="H435" s="7">
        <v>39870.302777777775</v>
      </c>
      <c r="I435" s="6">
        <v>38.804720000000003</v>
      </c>
      <c r="J435" s="6">
        <v>-77.047219999999996</v>
      </c>
      <c r="K435" s="8">
        <v>22314</v>
      </c>
      <c r="L435" s="5">
        <f t="shared" si="12"/>
        <v>2009</v>
      </c>
      <c r="M435" s="5">
        <f t="shared" si="13"/>
        <v>39870</v>
      </c>
      <c r="N435" s="18">
        <v>0.27638888888888891</v>
      </c>
    </row>
    <row r="436" spans="1:14" x14ac:dyDescent="0.3">
      <c r="A436" s="3" t="s">
        <v>11</v>
      </c>
      <c r="B436" s="3">
        <v>1200</v>
      </c>
      <c r="C436" s="3" t="s">
        <v>65</v>
      </c>
      <c r="D436" s="3" t="s">
        <v>675</v>
      </c>
      <c r="E436" s="3" t="s">
        <v>766</v>
      </c>
      <c r="F436" s="3" t="s">
        <v>604</v>
      </c>
      <c r="G436" s="3" t="s">
        <v>16</v>
      </c>
      <c r="H436" s="4">
        <v>39870.325694444444</v>
      </c>
      <c r="I436" s="3">
        <v>32.236939999999997</v>
      </c>
      <c r="J436" s="3">
        <v>-80.860560000000007</v>
      </c>
      <c r="K436" s="5">
        <v>29910</v>
      </c>
      <c r="L436" s="5">
        <f t="shared" si="12"/>
        <v>2009</v>
      </c>
      <c r="M436" s="5">
        <f t="shared" si="13"/>
        <v>39870</v>
      </c>
      <c r="N436" s="18">
        <v>0.33333333333333331</v>
      </c>
    </row>
    <row r="437" spans="1:14" x14ac:dyDescent="0.3">
      <c r="A437" s="6" t="s">
        <v>11</v>
      </c>
      <c r="B437" s="6">
        <v>1200</v>
      </c>
      <c r="C437" s="6" t="s">
        <v>65</v>
      </c>
      <c r="D437" s="6" t="s">
        <v>767</v>
      </c>
      <c r="E437" s="6" t="s">
        <v>768</v>
      </c>
      <c r="F437" s="6" t="s">
        <v>61</v>
      </c>
      <c r="G437" s="6" t="s">
        <v>16</v>
      </c>
      <c r="H437" s="7">
        <v>39870.345138888886</v>
      </c>
      <c r="I437" s="6">
        <v>28.698609999999999</v>
      </c>
      <c r="J437" s="6">
        <v>-81.308329999999998</v>
      </c>
      <c r="K437" s="8">
        <v>32708</v>
      </c>
      <c r="L437" s="8">
        <f t="shared" si="12"/>
        <v>2009</v>
      </c>
      <c r="M437" s="8">
        <f t="shared" si="13"/>
        <v>39870</v>
      </c>
      <c r="N437" s="19">
        <v>0.36180555555555555</v>
      </c>
    </row>
    <row r="438" spans="1:14" x14ac:dyDescent="0.3">
      <c r="A438" s="3" t="s">
        <v>11</v>
      </c>
      <c r="B438" s="3">
        <v>1200</v>
      </c>
      <c r="C438" s="3" t="s">
        <v>17</v>
      </c>
      <c r="D438" s="3" t="s">
        <v>756</v>
      </c>
      <c r="E438" s="3" t="s">
        <v>769</v>
      </c>
      <c r="F438" s="3" t="s">
        <v>217</v>
      </c>
      <c r="G438" s="3" t="s">
        <v>16</v>
      </c>
      <c r="H438" s="4">
        <v>39870.359722222223</v>
      </c>
      <c r="I438" s="3">
        <v>42.599719999999998</v>
      </c>
      <c r="J438" s="3">
        <v>-71.367779999999996</v>
      </c>
      <c r="K438" s="5">
        <v>1824</v>
      </c>
      <c r="L438" s="5">
        <f t="shared" si="12"/>
        <v>2009</v>
      </c>
      <c r="M438" s="5">
        <f t="shared" si="13"/>
        <v>39870</v>
      </c>
      <c r="N438" s="18">
        <v>0.43888888888888888</v>
      </c>
    </row>
    <row r="439" spans="1:14" x14ac:dyDescent="0.3">
      <c r="A439" s="6" t="s">
        <v>11</v>
      </c>
      <c r="B439" s="6">
        <v>1200</v>
      </c>
      <c r="C439" s="6" t="s">
        <v>12</v>
      </c>
      <c r="D439" s="6" t="s">
        <v>770</v>
      </c>
      <c r="E439" s="6" t="s">
        <v>110</v>
      </c>
      <c r="F439" s="6" t="s">
        <v>100</v>
      </c>
      <c r="G439" s="6" t="s">
        <v>16</v>
      </c>
      <c r="H439" s="7">
        <v>39870.502083333333</v>
      </c>
      <c r="I439" s="6">
        <v>39.161940000000001</v>
      </c>
      <c r="J439" s="6">
        <v>-84.456940000000003</v>
      </c>
      <c r="K439" s="8">
        <v>45212</v>
      </c>
      <c r="L439" s="8">
        <f t="shared" si="12"/>
        <v>2009</v>
      </c>
      <c r="M439" s="8">
        <f t="shared" si="13"/>
        <v>39870</v>
      </c>
      <c r="N439" s="19">
        <v>0.25833333333333336</v>
      </c>
    </row>
    <row r="440" spans="1:14" x14ac:dyDescent="0.3">
      <c r="A440" s="3" t="s">
        <v>11</v>
      </c>
      <c r="B440" s="3">
        <v>1200</v>
      </c>
      <c r="C440" s="3" t="s">
        <v>12</v>
      </c>
      <c r="D440" s="3" t="s">
        <v>771</v>
      </c>
      <c r="E440" s="3" t="s">
        <v>73</v>
      </c>
      <c r="F440" s="3" t="s">
        <v>39</v>
      </c>
      <c r="G440" s="3" t="s">
        <v>16</v>
      </c>
      <c r="H440" s="4">
        <v>39870.504166666666</v>
      </c>
      <c r="I440" s="3">
        <v>29.763059999999999</v>
      </c>
      <c r="J440" s="3">
        <v>-95.363060000000004</v>
      </c>
      <c r="K440" s="5">
        <v>77002</v>
      </c>
      <c r="L440" s="5">
        <f t="shared" si="12"/>
        <v>2009</v>
      </c>
      <c r="M440" s="5">
        <f t="shared" si="13"/>
        <v>39870</v>
      </c>
      <c r="N440" s="18">
        <v>0.14930555555555555</v>
      </c>
    </row>
    <row r="441" spans="1:14" x14ac:dyDescent="0.3">
      <c r="A441" s="6" t="s">
        <v>11</v>
      </c>
      <c r="B441" s="6">
        <v>1200</v>
      </c>
      <c r="C441" s="6" t="s">
        <v>65</v>
      </c>
      <c r="D441" s="6" t="s">
        <v>772</v>
      </c>
      <c r="E441" s="6" t="s">
        <v>773</v>
      </c>
      <c r="F441" s="6" t="s">
        <v>50</v>
      </c>
      <c r="G441" s="6" t="s">
        <v>16</v>
      </c>
      <c r="H441" s="7">
        <v>39870.510416666664</v>
      </c>
      <c r="I441" s="6">
        <v>38.017220000000002</v>
      </c>
      <c r="J441" s="6">
        <v>-122.28749999999999</v>
      </c>
      <c r="K441" s="8">
        <v>94547</v>
      </c>
      <c r="L441" s="8">
        <f t="shared" si="12"/>
        <v>2009</v>
      </c>
      <c r="M441" s="8">
        <f t="shared" si="13"/>
        <v>39870</v>
      </c>
      <c r="N441" s="19">
        <v>0.47499999999999998</v>
      </c>
    </row>
    <row r="442" spans="1:14" x14ac:dyDescent="0.3">
      <c r="A442" s="3" t="s">
        <v>11</v>
      </c>
      <c r="B442" s="3">
        <v>1200</v>
      </c>
      <c r="C442" s="3" t="s">
        <v>17</v>
      </c>
      <c r="D442" s="3" t="s">
        <v>774</v>
      </c>
      <c r="E442" s="3" t="s">
        <v>775</v>
      </c>
      <c r="F442" s="3" t="s">
        <v>36</v>
      </c>
      <c r="G442" s="3" t="s">
        <v>16</v>
      </c>
      <c r="H442" s="4">
        <v>39870.511805555558</v>
      </c>
      <c r="I442" s="3">
        <v>41.700279999999999</v>
      </c>
      <c r="J442" s="3">
        <v>-73.921390000000002</v>
      </c>
      <c r="K442" s="5">
        <v>12601</v>
      </c>
      <c r="L442" s="5">
        <f t="shared" si="12"/>
        <v>2009</v>
      </c>
      <c r="M442" s="5">
        <f t="shared" si="13"/>
        <v>39870</v>
      </c>
      <c r="N442" s="18">
        <v>0.47430555555555554</v>
      </c>
    </row>
    <row r="443" spans="1:14" x14ac:dyDescent="0.3">
      <c r="A443" s="6" t="s">
        <v>11</v>
      </c>
      <c r="B443" s="6">
        <v>1200</v>
      </c>
      <c r="C443" s="6" t="s">
        <v>17</v>
      </c>
      <c r="D443" s="6" t="s">
        <v>776</v>
      </c>
      <c r="E443" s="6" t="s">
        <v>110</v>
      </c>
      <c r="F443" s="6" t="s">
        <v>100</v>
      </c>
      <c r="G443" s="6" t="s">
        <v>16</v>
      </c>
      <c r="H443" s="7">
        <v>39870.51666666667</v>
      </c>
      <c r="I443" s="6">
        <v>39.161940000000001</v>
      </c>
      <c r="J443" s="6">
        <v>-84.456940000000003</v>
      </c>
      <c r="K443" s="8">
        <v>45212</v>
      </c>
      <c r="L443" s="5">
        <f t="shared" si="12"/>
        <v>2009</v>
      </c>
      <c r="M443" s="5">
        <f t="shared" si="13"/>
        <v>39870</v>
      </c>
      <c r="N443" s="18">
        <v>0.37152777777777779</v>
      </c>
    </row>
    <row r="444" spans="1:14" x14ac:dyDescent="0.3">
      <c r="A444" s="3" t="s">
        <v>11</v>
      </c>
      <c r="B444" s="3">
        <v>1200</v>
      </c>
      <c r="C444" s="3" t="s">
        <v>12</v>
      </c>
      <c r="D444" s="3" t="s">
        <v>675</v>
      </c>
      <c r="E444" s="3" t="s">
        <v>777</v>
      </c>
      <c r="F444" s="3" t="s">
        <v>217</v>
      </c>
      <c r="G444" s="3" t="s">
        <v>16</v>
      </c>
      <c r="H444" s="4">
        <v>39870.53125</v>
      </c>
      <c r="I444" s="3">
        <v>41.865000000000002</v>
      </c>
      <c r="J444" s="3">
        <v>-69.991669999999999</v>
      </c>
      <c r="K444" s="5">
        <v>2642</v>
      </c>
      <c r="L444" s="8">
        <f t="shared" si="12"/>
        <v>2009</v>
      </c>
      <c r="M444" s="8">
        <f t="shared" si="13"/>
        <v>39870</v>
      </c>
      <c r="N444" s="19">
        <v>0.40277777777777779</v>
      </c>
    </row>
    <row r="445" spans="1:14" x14ac:dyDescent="0.3">
      <c r="A445" s="6" t="s">
        <v>21</v>
      </c>
      <c r="B445" s="6">
        <v>3600</v>
      </c>
      <c r="C445" s="6" t="s">
        <v>12</v>
      </c>
      <c r="D445" s="6" t="s">
        <v>778</v>
      </c>
      <c r="E445" s="6" t="s">
        <v>779</v>
      </c>
      <c r="F445" s="6" t="s">
        <v>276</v>
      </c>
      <c r="G445" s="6" t="s">
        <v>16</v>
      </c>
      <c r="H445" s="7">
        <v>39870.540277777778</v>
      </c>
      <c r="I445" s="6">
        <v>57.053060000000002</v>
      </c>
      <c r="J445" s="6">
        <v>-135.33000000000001</v>
      </c>
      <c r="K445" s="8">
        <v>99835</v>
      </c>
      <c r="L445" s="5">
        <f t="shared" si="12"/>
        <v>2009</v>
      </c>
      <c r="M445" s="5">
        <f t="shared" si="13"/>
        <v>39870</v>
      </c>
      <c r="N445" s="18">
        <v>0.13750000000000001</v>
      </c>
    </row>
    <row r="446" spans="1:14" x14ac:dyDescent="0.3">
      <c r="A446" s="3" t="s">
        <v>21</v>
      </c>
      <c r="B446" s="3">
        <v>3600</v>
      </c>
      <c r="C446" s="3" t="s">
        <v>65</v>
      </c>
      <c r="D446" s="3" t="s">
        <v>607</v>
      </c>
      <c r="E446" s="3" t="s">
        <v>158</v>
      </c>
      <c r="F446" s="3" t="s">
        <v>30</v>
      </c>
      <c r="G446" s="3" t="s">
        <v>16</v>
      </c>
      <c r="H446" s="4">
        <v>39870.634722222225</v>
      </c>
      <c r="I446" s="3">
        <v>41.85</v>
      </c>
      <c r="J446" s="3">
        <v>-87.65</v>
      </c>
      <c r="K446" s="5">
        <v>60608</v>
      </c>
      <c r="L446" s="8">
        <f t="shared" si="12"/>
        <v>2009</v>
      </c>
      <c r="M446" s="8">
        <f t="shared" si="13"/>
        <v>39870</v>
      </c>
      <c r="N446" s="19">
        <v>0.29791666666666666</v>
      </c>
    </row>
    <row r="447" spans="1:14" x14ac:dyDescent="0.3">
      <c r="A447" s="6" t="s">
        <v>11</v>
      </c>
      <c r="B447" s="6">
        <v>1200</v>
      </c>
      <c r="C447" s="6" t="s">
        <v>17</v>
      </c>
      <c r="D447" s="6" t="s">
        <v>780</v>
      </c>
      <c r="E447" s="6" t="s">
        <v>781</v>
      </c>
      <c r="F447" s="6" t="s">
        <v>169</v>
      </c>
      <c r="G447" s="6" t="s">
        <v>16</v>
      </c>
      <c r="H447" s="7">
        <v>39870.645833333336</v>
      </c>
      <c r="I447" s="6">
        <v>47.641939999999998</v>
      </c>
      <c r="J447" s="6">
        <v>-122.07917</v>
      </c>
      <c r="K447" s="8">
        <v>98074</v>
      </c>
      <c r="L447" s="5">
        <f t="shared" si="12"/>
        <v>2009</v>
      </c>
      <c r="M447" s="5">
        <f t="shared" si="13"/>
        <v>39870</v>
      </c>
      <c r="N447" s="18">
        <v>0.46041666666666664</v>
      </c>
    </row>
    <row r="448" spans="1:14" x14ac:dyDescent="0.3">
      <c r="A448" s="3" t="s">
        <v>11</v>
      </c>
      <c r="B448" s="3">
        <v>1200</v>
      </c>
      <c r="C448" s="3" t="s">
        <v>17</v>
      </c>
      <c r="D448" s="3" t="s">
        <v>320</v>
      </c>
      <c r="E448" s="3" t="s">
        <v>782</v>
      </c>
      <c r="F448" s="3" t="s">
        <v>124</v>
      </c>
      <c r="G448" s="3" t="s">
        <v>16</v>
      </c>
      <c r="H448" s="4">
        <v>39870.740972222222</v>
      </c>
      <c r="I448" s="3">
        <v>21.315560000000001</v>
      </c>
      <c r="J448" s="3">
        <v>-158.00721999999999</v>
      </c>
      <c r="K448" s="5">
        <v>96706</v>
      </c>
      <c r="L448" s="8">
        <f t="shared" si="12"/>
        <v>2009</v>
      </c>
      <c r="M448" s="8">
        <f t="shared" si="13"/>
        <v>39870</v>
      </c>
      <c r="N448" s="19">
        <v>0.3298611111111111</v>
      </c>
    </row>
    <row r="449" spans="1:14" x14ac:dyDescent="0.3">
      <c r="A449" s="6" t="s">
        <v>11</v>
      </c>
      <c r="B449" s="6">
        <v>1200</v>
      </c>
      <c r="C449" s="6" t="s">
        <v>12</v>
      </c>
      <c r="D449" s="6" t="s">
        <v>783</v>
      </c>
      <c r="E449" s="6" t="s">
        <v>784</v>
      </c>
      <c r="F449" s="6" t="s">
        <v>95</v>
      </c>
      <c r="G449" s="6" t="s">
        <v>16</v>
      </c>
      <c r="H449" s="7">
        <v>39870.776388888888</v>
      </c>
      <c r="I449" s="6">
        <v>35.782499999999999</v>
      </c>
      <c r="J449" s="6">
        <v>-80.887500000000003</v>
      </c>
      <c r="K449" s="8">
        <v>28677</v>
      </c>
      <c r="L449" s="5">
        <f t="shared" si="12"/>
        <v>2009</v>
      </c>
      <c r="M449" s="5">
        <f t="shared" si="13"/>
        <v>39870</v>
      </c>
      <c r="N449" s="18">
        <v>0.1111111111111111</v>
      </c>
    </row>
    <row r="450" spans="1:14" x14ac:dyDescent="0.3">
      <c r="A450" s="3" t="s">
        <v>11</v>
      </c>
      <c r="B450" s="3">
        <v>1200</v>
      </c>
      <c r="C450" s="3" t="s">
        <v>12</v>
      </c>
      <c r="D450" s="3" t="s">
        <v>201</v>
      </c>
      <c r="E450" s="3" t="s">
        <v>785</v>
      </c>
      <c r="F450" s="3" t="s">
        <v>124</v>
      </c>
      <c r="G450" s="3" t="s">
        <v>16</v>
      </c>
      <c r="H450" s="4">
        <v>39870.847916666666</v>
      </c>
      <c r="I450" s="3">
        <v>22.078330000000001</v>
      </c>
      <c r="J450" s="3">
        <v>-159.32194000000001</v>
      </c>
      <c r="K450" s="5">
        <v>96746</v>
      </c>
      <c r="L450" s="5">
        <f t="shared" ref="L450:L513" si="14">YEAR(H450)</f>
        <v>2009</v>
      </c>
      <c r="M450" s="5">
        <f t="shared" ref="M450:M513" si="15">INT(H450)</f>
        <v>39870</v>
      </c>
      <c r="N450" s="18">
        <v>0.24652777777777779</v>
      </c>
    </row>
    <row r="451" spans="1:14" x14ac:dyDescent="0.3">
      <c r="A451" s="6" t="s">
        <v>11</v>
      </c>
      <c r="B451" s="6">
        <v>1200</v>
      </c>
      <c r="C451" s="6" t="s">
        <v>17</v>
      </c>
      <c r="D451" s="6" t="s">
        <v>786</v>
      </c>
      <c r="E451" s="6" t="s">
        <v>787</v>
      </c>
      <c r="F451" s="6" t="s">
        <v>50</v>
      </c>
      <c r="G451" s="6" t="s">
        <v>16</v>
      </c>
      <c r="H451" s="7">
        <v>39870.848611111112</v>
      </c>
      <c r="I451" s="6">
        <v>34.18083</v>
      </c>
      <c r="J451" s="6">
        <v>-118.30806</v>
      </c>
      <c r="K451" s="8">
        <v>91502</v>
      </c>
      <c r="L451" s="8">
        <f t="shared" si="14"/>
        <v>2009</v>
      </c>
      <c r="M451" s="8">
        <f t="shared" si="15"/>
        <v>39870</v>
      </c>
      <c r="N451" s="19">
        <v>0.53749999999999998</v>
      </c>
    </row>
    <row r="452" spans="1:14" x14ac:dyDescent="0.3">
      <c r="A452" s="3" t="s">
        <v>21</v>
      </c>
      <c r="B452" s="3">
        <v>3600</v>
      </c>
      <c r="C452" s="3" t="s">
        <v>17</v>
      </c>
      <c r="D452" s="3" t="s">
        <v>788</v>
      </c>
      <c r="E452" s="3" t="s">
        <v>789</v>
      </c>
      <c r="F452" s="3" t="s">
        <v>604</v>
      </c>
      <c r="G452" s="3" t="s">
        <v>16</v>
      </c>
      <c r="H452" s="4">
        <v>39871.314583333333</v>
      </c>
      <c r="I452" s="3">
        <v>32.21611</v>
      </c>
      <c r="J452" s="3">
        <v>-80.752780000000001</v>
      </c>
      <c r="K452" s="5">
        <v>29926</v>
      </c>
      <c r="L452" s="5">
        <f t="shared" si="14"/>
        <v>2009</v>
      </c>
      <c r="M452" s="5">
        <f t="shared" si="15"/>
        <v>39871</v>
      </c>
      <c r="N452" s="18">
        <v>0.3972222222222222</v>
      </c>
    </row>
    <row r="453" spans="1:14" x14ac:dyDescent="0.3">
      <c r="A453" s="6" t="s">
        <v>64</v>
      </c>
      <c r="B453" s="6">
        <v>7500</v>
      </c>
      <c r="C453" s="6" t="s">
        <v>12</v>
      </c>
      <c r="D453" s="6" t="s">
        <v>790</v>
      </c>
      <c r="E453" s="6" t="s">
        <v>791</v>
      </c>
      <c r="F453" s="6" t="s">
        <v>50</v>
      </c>
      <c r="G453" s="6" t="s">
        <v>16</v>
      </c>
      <c r="H453" s="7">
        <v>39871.450694444444</v>
      </c>
      <c r="I453" s="6">
        <v>33.218330000000002</v>
      </c>
      <c r="J453" s="6">
        <v>-117.03333000000001</v>
      </c>
      <c r="K453" s="8">
        <v>92082</v>
      </c>
      <c r="L453" s="8">
        <f t="shared" si="14"/>
        <v>2009</v>
      </c>
      <c r="M453" s="8">
        <f t="shared" si="15"/>
        <v>39871</v>
      </c>
      <c r="N453" s="19">
        <v>0.53125</v>
      </c>
    </row>
    <row r="454" spans="1:14" x14ac:dyDescent="0.3">
      <c r="A454" s="3" t="s">
        <v>21</v>
      </c>
      <c r="B454" s="3">
        <v>100000</v>
      </c>
      <c r="C454" s="3" t="s">
        <v>17</v>
      </c>
      <c r="D454" s="3" t="s">
        <v>792</v>
      </c>
      <c r="E454" s="3" t="s">
        <v>793</v>
      </c>
      <c r="F454" s="3" t="s">
        <v>217</v>
      </c>
      <c r="G454" s="3" t="s">
        <v>16</v>
      </c>
      <c r="H454" s="4">
        <v>39871.541666666664</v>
      </c>
      <c r="I454" s="3">
        <v>42.470829999999999</v>
      </c>
      <c r="J454" s="3">
        <v>-70.918059999999997</v>
      </c>
      <c r="K454" s="5">
        <v>1907</v>
      </c>
      <c r="L454" s="5">
        <f t="shared" si="14"/>
        <v>2009</v>
      </c>
      <c r="M454" s="5">
        <f t="shared" si="15"/>
        <v>39871</v>
      </c>
      <c r="N454" s="18">
        <v>0.25763888888888886</v>
      </c>
    </row>
    <row r="455" spans="1:14" x14ac:dyDescent="0.3">
      <c r="A455" s="6" t="s">
        <v>11</v>
      </c>
      <c r="B455" s="6">
        <v>1200</v>
      </c>
      <c r="C455" s="6" t="s">
        <v>17</v>
      </c>
      <c r="D455" s="6" t="s">
        <v>794</v>
      </c>
      <c r="E455" s="6" t="s">
        <v>307</v>
      </c>
      <c r="F455" s="6" t="s">
        <v>39</v>
      </c>
      <c r="G455" s="6" t="s">
        <v>16</v>
      </c>
      <c r="H455" s="7">
        <v>39871.613888888889</v>
      </c>
      <c r="I455" s="6">
        <v>29.42389</v>
      </c>
      <c r="J455" s="6">
        <v>-98.49333</v>
      </c>
      <c r="K455" s="8">
        <v>78205</v>
      </c>
      <c r="L455" s="8">
        <f t="shared" si="14"/>
        <v>2009</v>
      </c>
      <c r="M455" s="8">
        <f t="shared" si="15"/>
        <v>39871</v>
      </c>
      <c r="N455" s="19">
        <v>0.4513888888888889</v>
      </c>
    </row>
    <row r="456" spans="1:14" x14ac:dyDescent="0.3">
      <c r="A456" s="3" t="s">
        <v>11</v>
      </c>
      <c r="B456" s="3">
        <v>1200</v>
      </c>
      <c r="C456" s="3" t="s">
        <v>12</v>
      </c>
      <c r="D456" s="3" t="s">
        <v>795</v>
      </c>
      <c r="E456" s="3" t="s">
        <v>796</v>
      </c>
      <c r="F456" s="3" t="s">
        <v>559</v>
      </c>
      <c r="G456" s="3" t="s">
        <v>16</v>
      </c>
      <c r="H456" s="4">
        <v>39871.717361111114</v>
      </c>
      <c r="I456" s="3">
        <v>41.676940000000002</v>
      </c>
      <c r="J456" s="3">
        <v>-71.266670000000005</v>
      </c>
      <c r="K456" s="5">
        <v>2809</v>
      </c>
      <c r="L456" s="5">
        <f t="shared" si="14"/>
        <v>2009</v>
      </c>
      <c r="M456" s="5">
        <f t="shared" si="15"/>
        <v>39871</v>
      </c>
      <c r="N456" s="18">
        <v>0.35972222222222222</v>
      </c>
    </row>
    <row r="457" spans="1:14" x14ac:dyDescent="0.3">
      <c r="A457" s="6" t="s">
        <v>11</v>
      </c>
      <c r="B457" s="6">
        <v>1200</v>
      </c>
      <c r="C457" s="6" t="s">
        <v>17</v>
      </c>
      <c r="D457" s="6" t="s">
        <v>797</v>
      </c>
      <c r="E457" s="6" t="s">
        <v>798</v>
      </c>
      <c r="F457" s="6" t="s">
        <v>39</v>
      </c>
      <c r="G457" s="6" t="s">
        <v>16</v>
      </c>
      <c r="H457" s="7">
        <v>39871.796527777777</v>
      </c>
      <c r="I457" s="6">
        <v>33.138330000000003</v>
      </c>
      <c r="J457" s="6">
        <v>-96.110560000000007</v>
      </c>
      <c r="K457" s="8">
        <v>75401</v>
      </c>
      <c r="L457" s="5">
        <f t="shared" si="14"/>
        <v>2009</v>
      </c>
      <c r="M457" s="5">
        <f t="shared" si="15"/>
        <v>39871</v>
      </c>
      <c r="N457" s="18">
        <v>0.26041666666666669</v>
      </c>
    </row>
    <row r="458" spans="1:14" x14ac:dyDescent="0.3">
      <c r="A458" s="3" t="s">
        <v>11</v>
      </c>
      <c r="B458" s="3">
        <v>1200</v>
      </c>
      <c r="C458" s="3" t="s">
        <v>12</v>
      </c>
      <c r="D458" s="3" t="s">
        <v>799</v>
      </c>
      <c r="E458" s="3" t="s">
        <v>800</v>
      </c>
      <c r="F458" s="3" t="s">
        <v>50</v>
      </c>
      <c r="G458" s="3" t="s">
        <v>16</v>
      </c>
      <c r="H458" s="4">
        <v>39871.902777777781</v>
      </c>
      <c r="I458" s="3">
        <v>33.800559999999997</v>
      </c>
      <c r="J458" s="3">
        <v>-118.38916999999999</v>
      </c>
      <c r="K458" s="5">
        <v>90274</v>
      </c>
      <c r="L458" s="8">
        <f t="shared" si="14"/>
        <v>2009</v>
      </c>
      <c r="M458" s="8">
        <f t="shared" si="15"/>
        <v>39871</v>
      </c>
      <c r="N458" s="19">
        <v>0.38819444444444445</v>
      </c>
    </row>
    <row r="459" spans="1:14" x14ac:dyDescent="0.3">
      <c r="A459" s="6" t="s">
        <v>11</v>
      </c>
      <c r="B459" s="6">
        <v>1200</v>
      </c>
      <c r="C459" s="6" t="s">
        <v>17</v>
      </c>
      <c r="D459" s="6" t="s">
        <v>801</v>
      </c>
      <c r="E459" s="6" t="s">
        <v>802</v>
      </c>
      <c r="F459" s="6" t="s">
        <v>132</v>
      </c>
      <c r="G459" s="6" t="s">
        <v>16</v>
      </c>
      <c r="H459" s="7">
        <v>39872.352083333331</v>
      </c>
      <c r="I459" s="6">
        <v>39.65361</v>
      </c>
      <c r="J459" s="6">
        <v>-105.19056</v>
      </c>
      <c r="K459" s="8">
        <v>80465</v>
      </c>
      <c r="L459" s="5">
        <f t="shared" si="14"/>
        <v>2009</v>
      </c>
      <c r="M459" s="5">
        <f t="shared" si="15"/>
        <v>39872</v>
      </c>
      <c r="N459" s="18">
        <v>5.9027777777777776E-2</v>
      </c>
    </row>
    <row r="460" spans="1:14" x14ac:dyDescent="0.3">
      <c r="A460" s="3" t="s">
        <v>11</v>
      </c>
      <c r="B460" s="3">
        <v>1200</v>
      </c>
      <c r="C460" s="3" t="s">
        <v>17</v>
      </c>
      <c r="D460" s="3" t="s">
        <v>803</v>
      </c>
      <c r="E460" s="3" t="s">
        <v>804</v>
      </c>
      <c r="F460" s="3" t="s">
        <v>50</v>
      </c>
      <c r="G460" s="3" t="s">
        <v>16</v>
      </c>
      <c r="H460" s="4">
        <v>39872.415972222225</v>
      </c>
      <c r="I460" s="3">
        <v>34.098329999999997</v>
      </c>
      <c r="J460" s="3">
        <v>-118.32583</v>
      </c>
      <c r="K460" s="5">
        <v>90028</v>
      </c>
      <c r="L460" s="8">
        <f t="shared" si="14"/>
        <v>2009</v>
      </c>
      <c r="M460" s="8">
        <f t="shared" si="15"/>
        <v>39872</v>
      </c>
      <c r="N460" s="19">
        <v>0.41944444444444445</v>
      </c>
    </row>
    <row r="461" spans="1:14" x14ac:dyDescent="0.3">
      <c r="A461" s="6" t="s">
        <v>11</v>
      </c>
      <c r="B461" s="6">
        <v>1200</v>
      </c>
      <c r="C461" s="6" t="s">
        <v>12</v>
      </c>
      <c r="D461" s="6" t="s">
        <v>805</v>
      </c>
      <c r="E461" s="6" t="s">
        <v>802</v>
      </c>
      <c r="F461" s="6" t="s">
        <v>132</v>
      </c>
      <c r="G461" s="6" t="s">
        <v>16</v>
      </c>
      <c r="H461" s="7">
        <v>39872.720833333333</v>
      </c>
      <c r="I461" s="6">
        <v>39.65361</v>
      </c>
      <c r="J461" s="6">
        <v>-105.19056</v>
      </c>
      <c r="K461" s="8">
        <v>80465</v>
      </c>
      <c r="L461" s="5">
        <f t="shared" si="14"/>
        <v>2009</v>
      </c>
      <c r="M461" s="5">
        <f t="shared" si="15"/>
        <v>39872</v>
      </c>
      <c r="N461" s="18">
        <v>0.47152777777777777</v>
      </c>
    </row>
    <row r="462" spans="1:14" x14ac:dyDescent="0.3">
      <c r="A462" s="3" t="s">
        <v>11</v>
      </c>
      <c r="B462" s="3">
        <v>1200</v>
      </c>
      <c r="C462" s="3" t="s">
        <v>17</v>
      </c>
      <c r="D462" s="3" t="s">
        <v>806</v>
      </c>
      <c r="E462" s="3" t="s">
        <v>807</v>
      </c>
      <c r="F462" s="3" t="s">
        <v>80</v>
      </c>
      <c r="G462" s="3" t="s">
        <v>16</v>
      </c>
      <c r="H462" s="4">
        <v>39872.831250000003</v>
      </c>
      <c r="I462" s="3">
        <v>33.517220000000002</v>
      </c>
      <c r="J462" s="3">
        <v>-82.075829999999996</v>
      </c>
      <c r="K462" s="5">
        <v>30907</v>
      </c>
      <c r="L462" s="8">
        <f t="shared" si="14"/>
        <v>2009</v>
      </c>
      <c r="M462" s="8">
        <f t="shared" si="15"/>
        <v>39872</v>
      </c>
      <c r="N462" s="19">
        <v>0.24166666666666667</v>
      </c>
    </row>
    <row r="463" spans="1:14" x14ac:dyDescent="0.3">
      <c r="A463" s="6" t="s">
        <v>64</v>
      </c>
      <c r="B463" s="6">
        <v>100000</v>
      </c>
      <c r="C463" s="6" t="s">
        <v>65</v>
      </c>
      <c r="D463" s="6" t="s">
        <v>808</v>
      </c>
      <c r="E463" s="6" t="s">
        <v>809</v>
      </c>
      <c r="F463" s="6" t="s">
        <v>36</v>
      </c>
      <c r="G463" s="6" t="s">
        <v>16</v>
      </c>
      <c r="H463" s="7">
        <v>39873.306250000001</v>
      </c>
      <c r="I463" s="6">
        <v>42.946939999999998</v>
      </c>
      <c r="J463" s="6">
        <v>-76.42944</v>
      </c>
      <c r="K463" s="8">
        <v>13152</v>
      </c>
      <c r="L463" s="5">
        <f t="shared" si="14"/>
        <v>2009</v>
      </c>
      <c r="M463" s="5">
        <f t="shared" si="15"/>
        <v>39873</v>
      </c>
      <c r="N463" s="18">
        <v>0.18333333333333332</v>
      </c>
    </row>
    <row r="464" spans="1:14" x14ac:dyDescent="0.3">
      <c r="A464" s="3" t="s">
        <v>11</v>
      </c>
      <c r="B464" s="3">
        <v>1200</v>
      </c>
      <c r="C464" s="3" t="s">
        <v>12</v>
      </c>
      <c r="D464" s="3" t="s">
        <v>810</v>
      </c>
      <c r="E464" s="3" t="s">
        <v>811</v>
      </c>
      <c r="F464" s="3" t="s">
        <v>568</v>
      </c>
      <c r="G464" s="3" t="s">
        <v>16</v>
      </c>
      <c r="H464" s="4">
        <v>39873.426388888889</v>
      </c>
      <c r="I464" s="3">
        <v>43.073059999999998</v>
      </c>
      <c r="J464" s="3">
        <v>-89.401110000000003</v>
      </c>
      <c r="K464" s="5">
        <v>53715</v>
      </c>
      <c r="L464" s="5">
        <f t="shared" si="14"/>
        <v>2009</v>
      </c>
      <c r="M464" s="5">
        <f t="shared" si="15"/>
        <v>39873</v>
      </c>
      <c r="N464" s="18">
        <v>0.39583333333333331</v>
      </c>
    </row>
    <row r="465" spans="1:14" x14ac:dyDescent="0.3">
      <c r="A465" s="6" t="s">
        <v>11</v>
      </c>
      <c r="B465" s="6">
        <v>1200</v>
      </c>
      <c r="C465" s="6" t="s">
        <v>17</v>
      </c>
      <c r="D465" s="6" t="s">
        <v>812</v>
      </c>
      <c r="E465" s="6" t="s">
        <v>813</v>
      </c>
      <c r="F465" s="6" t="s">
        <v>814</v>
      </c>
      <c r="G465" s="6" t="s">
        <v>815</v>
      </c>
      <c r="H465" s="7">
        <v>39815.255555555559</v>
      </c>
      <c r="I465" s="6">
        <v>51.5</v>
      </c>
      <c r="J465" s="6">
        <v>-1.1166666999999999</v>
      </c>
      <c r="K465" s="8"/>
      <c r="L465" s="8">
        <f t="shared" si="14"/>
        <v>2009</v>
      </c>
      <c r="M465" s="8">
        <f t="shared" si="15"/>
        <v>39815</v>
      </c>
      <c r="N465" s="19">
        <v>0.26180555555555557</v>
      </c>
    </row>
    <row r="466" spans="1:14" x14ac:dyDescent="0.3">
      <c r="A466" s="3" t="s">
        <v>21</v>
      </c>
      <c r="B466" s="3">
        <v>100000</v>
      </c>
      <c r="C466" s="3" t="s">
        <v>12</v>
      </c>
      <c r="D466" s="3" t="s">
        <v>816</v>
      </c>
      <c r="E466" s="3" t="s">
        <v>817</v>
      </c>
      <c r="F466" s="3" t="s">
        <v>814</v>
      </c>
      <c r="G466" s="3" t="s">
        <v>815</v>
      </c>
      <c r="H466" s="4">
        <v>39819.386805555558</v>
      </c>
      <c r="I466" s="3">
        <v>51.527209999999997</v>
      </c>
      <c r="J466" s="3">
        <v>0.14559</v>
      </c>
      <c r="K466" s="5"/>
      <c r="L466" s="5">
        <f t="shared" si="14"/>
        <v>2009</v>
      </c>
      <c r="M466" s="5">
        <f t="shared" si="15"/>
        <v>39819</v>
      </c>
      <c r="N466" s="18">
        <v>0.32291666666666669</v>
      </c>
    </row>
    <row r="467" spans="1:14" x14ac:dyDescent="0.3">
      <c r="A467" s="6" t="s">
        <v>11</v>
      </c>
      <c r="B467" s="6">
        <v>1200</v>
      </c>
      <c r="C467" s="6" t="s">
        <v>12</v>
      </c>
      <c r="D467" s="6" t="s">
        <v>818</v>
      </c>
      <c r="E467" s="6" t="s">
        <v>819</v>
      </c>
      <c r="F467" s="6" t="s">
        <v>814</v>
      </c>
      <c r="G467" s="6" t="s">
        <v>815</v>
      </c>
      <c r="H467" s="7">
        <v>39819.563194444447</v>
      </c>
      <c r="I467" s="6">
        <v>53.5</v>
      </c>
      <c r="J467" s="6">
        <v>-2.2166667000000002</v>
      </c>
      <c r="K467" s="8"/>
      <c r="L467" s="8">
        <f t="shared" si="14"/>
        <v>2009</v>
      </c>
      <c r="M467" s="8">
        <f t="shared" si="15"/>
        <v>39819</v>
      </c>
      <c r="N467" s="19">
        <v>0.53888888888888886</v>
      </c>
    </row>
    <row r="468" spans="1:14" x14ac:dyDescent="0.3">
      <c r="A468" s="3" t="s">
        <v>11</v>
      </c>
      <c r="B468" s="3">
        <v>1200</v>
      </c>
      <c r="C468" s="3" t="s">
        <v>12</v>
      </c>
      <c r="D468" s="3" t="s">
        <v>820</v>
      </c>
      <c r="E468" s="3" t="s">
        <v>817</v>
      </c>
      <c r="F468" s="3" t="s">
        <v>814</v>
      </c>
      <c r="G468" s="3" t="s">
        <v>815</v>
      </c>
      <c r="H468" s="4">
        <v>39820.551388888889</v>
      </c>
      <c r="I468" s="3">
        <v>51.527209999999997</v>
      </c>
      <c r="J468" s="3">
        <v>0.14559</v>
      </c>
      <c r="K468" s="5"/>
      <c r="L468" s="5">
        <f t="shared" si="14"/>
        <v>2009</v>
      </c>
      <c r="M468" s="5">
        <f t="shared" si="15"/>
        <v>39820</v>
      </c>
      <c r="N468" s="18">
        <v>0.12291666666666666</v>
      </c>
    </row>
    <row r="469" spans="1:14" x14ac:dyDescent="0.3">
      <c r="A469" s="6" t="s">
        <v>11</v>
      </c>
      <c r="B469" s="6">
        <v>1200</v>
      </c>
      <c r="C469" s="6" t="s">
        <v>17</v>
      </c>
      <c r="D469" s="6" t="s">
        <v>821</v>
      </c>
      <c r="E469" s="6" t="s">
        <v>822</v>
      </c>
      <c r="F469" s="6" t="s">
        <v>814</v>
      </c>
      <c r="G469" s="6" t="s">
        <v>815</v>
      </c>
      <c r="H469" s="7">
        <v>39823.552777777775</v>
      </c>
      <c r="I469" s="6">
        <v>51.4</v>
      </c>
      <c r="J469" s="6">
        <v>-1.3166667000000001</v>
      </c>
      <c r="K469" s="8"/>
      <c r="L469" s="8">
        <f t="shared" si="14"/>
        <v>2009</v>
      </c>
      <c r="M469" s="8">
        <f t="shared" si="15"/>
        <v>39823</v>
      </c>
      <c r="N469" s="19">
        <v>0.16527777777777777</v>
      </c>
    </row>
    <row r="470" spans="1:14" x14ac:dyDescent="0.3">
      <c r="A470" s="3" t="s">
        <v>11</v>
      </c>
      <c r="B470" s="3">
        <v>1200</v>
      </c>
      <c r="C470" s="3" t="s">
        <v>12</v>
      </c>
      <c r="D470" s="3" t="s">
        <v>308</v>
      </c>
      <c r="E470" s="3" t="s">
        <v>823</v>
      </c>
      <c r="F470" s="3" t="s">
        <v>814</v>
      </c>
      <c r="G470" s="3" t="s">
        <v>815</v>
      </c>
      <c r="H470" s="4">
        <v>39825.1</v>
      </c>
      <c r="I470" s="3">
        <v>51.676666699999998</v>
      </c>
      <c r="J470" s="3">
        <v>-2.0180555999999998</v>
      </c>
      <c r="K470" s="5"/>
      <c r="L470" s="5">
        <f t="shared" si="14"/>
        <v>2009</v>
      </c>
      <c r="M470" s="5">
        <f t="shared" si="15"/>
        <v>39825</v>
      </c>
      <c r="N470" s="18">
        <v>0.25486111111111109</v>
      </c>
    </row>
    <row r="471" spans="1:14" x14ac:dyDescent="0.3">
      <c r="A471" s="6" t="s">
        <v>11</v>
      </c>
      <c r="B471" s="6">
        <v>1200</v>
      </c>
      <c r="C471" s="6" t="s">
        <v>17</v>
      </c>
      <c r="D471" s="6" t="s">
        <v>824</v>
      </c>
      <c r="E471" s="6" t="s">
        <v>825</v>
      </c>
      <c r="F471" s="6" t="s">
        <v>814</v>
      </c>
      <c r="G471" s="6" t="s">
        <v>815</v>
      </c>
      <c r="H471" s="7">
        <v>39825.234722222223</v>
      </c>
      <c r="I471" s="6">
        <v>51.116666700000003</v>
      </c>
      <c r="J471" s="6">
        <v>-0.81666669999999997</v>
      </c>
      <c r="K471" s="8"/>
      <c r="L471" s="5">
        <f t="shared" si="14"/>
        <v>2009</v>
      </c>
      <c r="M471" s="5">
        <f t="shared" si="15"/>
        <v>39825</v>
      </c>
      <c r="N471" s="18">
        <v>8.0555555555555561E-2</v>
      </c>
    </row>
    <row r="472" spans="1:14" x14ac:dyDescent="0.3">
      <c r="A472" s="3" t="s">
        <v>11</v>
      </c>
      <c r="B472" s="3">
        <v>1200</v>
      </c>
      <c r="C472" s="3" t="s">
        <v>17</v>
      </c>
      <c r="D472" s="3" t="s">
        <v>826</v>
      </c>
      <c r="E472" s="3" t="s">
        <v>827</v>
      </c>
      <c r="F472" s="3" t="s">
        <v>814</v>
      </c>
      <c r="G472" s="3" t="s">
        <v>815</v>
      </c>
      <c r="H472" s="4">
        <v>39825.338888888888</v>
      </c>
      <c r="I472" s="3">
        <v>50.9</v>
      </c>
      <c r="J472" s="3">
        <v>-1.4</v>
      </c>
      <c r="K472" s="5"/>
      <c r="L472" s="8">
        <f t="shared" si="14"/>
        <v>2009</v>
      </c>
      <c r="M472" s="8">
        <f t="shared" si="15"/>
        <v>39825</v>
      </c>
      <c r="N472" s="19">
        <v>0.22083333333333333</v>
      </c>
    </row>
    <row r="473" spans="1:14" x14ac:dyDescent="0.3">
      <c r="A473" s="6" t="s">
        <v>11</v>
      </c>
      <c r="B473" s="6">
        <v>1200</v>
      </c>
      <c r="C473" s="6" t="s">
        <v>17</v>
      </c>
      <c r="D473" s="6" t="s">
        <v>828</v>
      </c>
      <c r="E473" s="6" t="s">
        <v>829</v>
      </c>
      <c r="F473" s="6" t="s">
        <v>830</v>
      </c>
      <c r="G473" s="6" t="s">
        <v>815</v>
      </c>
      <c r="H473" s="7">
        <v>39826.10833333333</v>
      </c>
      <c r="I473" s="6">
        <v>54.65</v>
      </c>
      <c r="J473" s="6">
        <v>-5.7333333</v>
      </c>
      <c r="K473" s="8"/>
      <c r="L473" s="5">
        <f t="shared" si="14"/>
        <v>2009</v>
      </c>
      <c r="M473" s="5">
        <f t="shared" si="15"/>
        <v>39826</v>
      </c>
      <c r="N473" s="18">
        <v>0.44305555555555554</v>
      </c>
    </row>
    <row r="474" spans="1:14" x14ac:dyDescent="0.3">
      <c r="A474" s="3" t="s">
        <v>11</v>
      </c>
      <c r="B474" s="3">
        <v>1200</v>
      </c>
      <c r="C474" s="3" t="s">
        <v>17</v>
      </c>
      <c r="D474" s="3" t="s">
        <v>803</v>
      </c>
      <c r="E474" s="3" t="s">
        <v>831</v>
      </c>
      <c r="F474" s="3" t="s">
        <v>814</v>
      </c>
      <c r="G474" s="3" t="s">
        <v>815</v>
      </c>
      <c r="H474" s="4">
        <v>39827.098611111112</v>
      </c>
      <c r="I474" s="3">
        <v>51.9</v>
      </c>
      <c r="J474" s="3">
        <v>-2.0833333000000001</v>
      </c>
      <c r="K474" s="5"/>
      <c r="L474" s="8">
        <f t="shared" si="14"/>
        <v>2009</v>
      </c>
      <c r="M474" s="8">
        <f t="shared" si="15"/>
        <v>39827</v>
      </c>
      <c r="N474" s="19">
        <v>8.5416666666666669E-2</v>
      </c>
    </row>
    <row r="475" spans="1:14" x14ac:dyDescent="0.3">
      <c r="A475" s="6" t="s">
        <v>11</v>
      </c>
      <c r="B475" s="6">
        <v>1200</v>
      </c>
      <c r="C475" s="6" t="s">
        <v>17</v>
      </c>
      <c r="D475" s="6" t="s">
        <v>832</v>
      </c>
      <c r="E475" s="6" t="s">
        <v>833</v>
      </c>
      <c r="F475" s="6" t="s">
        <v>814</v>
      </c>
      <c r="G475" s="6" t="s">
        <v>815</v>
      </c>
      <c r="H475" s="7">
        <v>39828.066666666666</v>
      </c>
      <c r="I475" s="6">
        <v>50.716666699999998</v>
      </c>
      <c r="J475" s="6">
        <v>-1.8833333000000001</v>
      </c>
      <c r="K475" s="8"/>
      <c r="L475" s="5">
        <f t="shared" si="14"/>
        <v>2009</v>
      </c>
      <c r="M475" s="5">
        <f t="shared" si="15"/>
        <v>39828</v>
      </c>
      <c r="N475" s="18">
        <v>0.30972222222222223</v>
      </c>
    </row>
    <row r="476" spans="1:14" x14ac:dyDescent="0.3">
      <c r="A476" s="3" t="s">
        <v>11</v>
      </c>
      <c r="B476" s="3">
        <v>1200</v>
      </c>
      <c r="C476" s="3" t="s">
        <v>12</v>
      </c>
      <c r="D476" s="3" t="s">
        <v>834</v>
      </c>
      <c r="E476" s="3" t="s">
        <v>835</v>
      </c>
      <c r="F476" s="3" t="s">
        <v>814</v>
      </c>
      <c r="G476" s="3" t="s">
        <v>815</v>
      </c>
      <c r="H476" s="4">
        <v>39830.195833333331</v>
      </c>
      <c r="I476" s="3">
        <v>53.966666699999998</v>
      </c>
      <c r="J476" s="3">
        <v>-1.0833333000000001</v>
      </c>
      <c r="K476" s="5"/>
      <c r="L476" s="8">
        <f t="shared" si="14"/>
        <v>2009</v>
      </c>
      <c r="M476" s="8">
        <f t="shared" si="15"/>
        <v>39830</v>
      </c>
      <c r="N476" s="19">
        <v>0.43333333333333335</v>
      </c>
    </row>
    <row r="477" spans="1:14" x14ac:dyDescent="0.3">
      <c r="A477" s="6" t="s">
        <v>11</v>
      </c>
      <c r="B477" s="6">
        <v>1200</v>
      </c>
      <c r="C477" s="6" t="s">
        <v>17</v>
      </c>
      <c r="D477" s="6" t="s">
        <v>83</v>
      </c>
      <c r="E477" s="6" t="s">
        <v>836</v>
      </c>
      <c r="F477" s="6" t="s">
        <v>814</v>
      </c>
      <c r="G477" s="6" t="s">
        <v>815</v>
      </c>
      <c r="H477" s="7">
        <v>39830.502083333333</v>
      </c>
      <c r="I477" s="6">
        <v>51.266666700000002</v>
      </c>
      <c r="J477" s="6">
        <v>-1.0833333000000001</v>
      </c>
      <c r="K477" s="8"/>
      <c r="L477" s="5">
        <f t="shared" si="14"/>
        <v>2009</v>
      </c>
      <c r="M477" s="5">
        <f t="shared" si="15"/>
        <v>39830</v>
      </c>
      <c r="N477" s="18">
        <v>0.14722222222222223</v>
      </c>
    </row>
    <row r="478" spans="1:14" x14ac:dyDescent="0.3">
      <c r="A478" s="3" t="s">
        <v>21</v>
      </c>
      <c r="B478" s="3">
        <v>100000</v>
      </c>
      <c r="C478" s="3" t="s">
        <v>12</v>
      </c>
      <c r="D478" s="3" t="s">
        <v>788</v>
      </c>
      <c r="E478" s="3" t="s">
        <v>837</v>
      </c>
      <c r="F478" s="3" t="s">
        <v>814</v>
      </c>
      <c r="G478" s="3" t="s">
        <v>815</v>
      </c>
      <c r="H478" s="4">
        <v>39831.435416666667</v>
      </c>
      <c r="I478" s="3">
        <v>51.4166667</v>
      </c>
      <c r="J478" s="3">
        <v>-0.25</v>
      </c>
      <c r="K478" s="5"/>
      <c r="L478" s="5">
        <f t="shared" si="14"/>
        <v>2009</v>
      </c>
      <c r="M478" s="5">
        <f t="shared" si="15"/>
        <v>39831</v>
      </c>
      <c r="N478" s="18">
        <v>0.48194444444444445</v>
      </c>
    </row>
    <row r="479" spans="1:14" x14ac:dyDescent="0.3">
      <c r="A479" s="6" t="s">
        <v>11</v>
      </c>
      <c r="B479" s="6">
        <v>1200</v>
      </c>
      <c r="C479" s="6" t="s">
        <v>12</v>
      </c>
      <c r="D479" s="6" t="s">
        <v>323</v>
      </c>
      <c r="E479" s="6" t="s">
        <v>838</v>
      </c>
      <c r="F479" s="6" t="s">
        <v>814</v>
      </c>
      <c r="G479" s="6" t="s">
        <v>815</v>
      </c>
      <c r="H479" s="7">
        <v>39831.498611111114</v>
      </c>
      <c r="I479" s="6">
        <v>54.65</v>
      </c>
      <c r="J479" s="6">
        <v>-1.6666666999999999</v>
      </c>
      <c r="K479" s="8"/>
      <c r="L479" s="8">
        <f t="shared" si="14"/>
        <v>2009</v>
      </c>
      <c r="M479" s="8">
        <f t="shared" si="15"/>
        <v>39831</v>
      </c>
      <c r="N479" s="19">
        <v>0.19305555555555556</v>
      </c>
    </row>
    <row r="480" spans="1:14" x14ac:dyDescent="0.3">
      <c r="A480" s="3" t="s">
        <v>11</v>
      </c>
      <c r="B480" s="3">
        <v>1200</v>
      </c>
      <c r="C480" s="3" t="s">
        <v>12</v>
      </c>
      <c r="D480" s="3" t="s">
        <v>135</v>
      </c>
      <c r="E480" s="3" t="s">
        <v>839</v>
      </c>
      <c r="F480" s="3" t="s">
        <v>840</v>
      </c>
      <c r="G480" s="3" t="s">
        <v>815</v>
      </c>
      <c r="H480" s="4">
        <v>39833.024305555555</v>
      </c>
      <c r="I480" s="3">
        <v>57.133333299999997</v>
      </c>
      <c r="J480" s="3">
        <v>-2.1</v>
      </c>
      <c r="K480" s="5"/>
      <c r="L480" s="5">
        <f t="shared" si="14"/>
        <v>2009</v>
      </c>
      <c r="M480" s="5">
        <f t="shared" si="15"/>
        <v>39833</v>
      </c>
      <c r="N480" s="18">
        <v>0.46666666666666667</v>
      </c>
    </row>
    <row r="481" spans="1:14" x14ac:dyDescent="0.3">
      <c r="A481" s="6" t="s">
        <v>11</v>
      </c>
      <c r="B481" s="6">
        <v>1200</v>
      </c>
      <c r="C481" s="6" t="s">
        <v>12</v>
      </c>
      <c r="D481" s="6" t="s">
        <v>841</v>
      </c>
      <c r="E481" s="6" t="s">
        <v>842</v>
      </c>
      <c r="F481" s="6" t="s">
        <v>814</v>
      </c>
      <c r="G481" s="6" t="s">
        <v>815</v>
      </c>
      <c r="H481" s="7">
        <v>39833.129166666666</v>
      </c>
      <c r="I481" s="6">
        <v>53.533333300000002</v>
      </c>
      <c r="J481" s="6">
        <v>-2.6166667000000001</v>
      </c>
      <c r="K481" s="8"/>
      <c r="L481" s="8">
        <f t="shared" si="14"/>
        <v>2009</v>
      </c>
      <c r="M481" s="8">
        <f t="shared" si="15"/>
        <v>39833</v>
      </c>
      <c r="N481" s="19">
        <v>0.13263888888888889</v>
      </c>
    </row>
    <row r="482" spans="1:14" x14ac:dyDescent="0.3">
      <c r="A482" s="3" t="s">
        <v>11</v>
      </c>
      <c r="B482" s="3">
        <v>1200</v>
      </c>
      <c r="C482" s="3" t="s">
        <v>12</v>
      </c>
      <c r="D482" s="3" t="s">
        <v>627</v>
      </c>
      <c r="E482" s="3" t="s">
        <v>843</v>
      </c>
      <c r="F482" s="3" t="s">
        <v>814</v>
      </c>
      <c r="G482" s="3" t="s">
        <v>815</v>
      </c>
      <c r="H482" s="4">
        <v>39833.323611111111</v>
      </c>
      <c r="I482" s="3">
        <v>54.8333333</v>
      </c>
      <c r="J482" s="3">
        <v>-3.2833332999999998</v>
      </c>
      <c r="K482" s="5"/>
      <c r="L482" s="5">
        <f t="shared" si="14"/>
        <v>2009</v>
      </c>
      <c r="M482" s="5">
        <f t="shared" si="15"/>
        <v>39833</v>
      </c>
      <c r="N482" s="18">
        <v>0.24305555555555555</v>
      </c>
    </row>
    <row r="483" spans="1:14" x14ac:dyDescent="0.3">
      <c r="A483" s="6" t="s">
        <v>11</v>
      </c>
      <c r="B483" s="6">
        <v>1200</v>
      </c>
      <c r="C483" s="6" t="s">
        <v>12</v>
      </c>
      <c r="D483" s="6" t="s">
        <v>844</v>
      </c>
      <c r="E483" s="6" t="s">
        <v>845</v>
      </c>
      <c r="F483" s="6" t="s">
        <v>814</v>
      </c>
      <c r="G483" s="6" t="s">
        <v>815</v>
      </c>
      <c r="H483" s="7">
        <v>39833.479861111111</v>
      </c>
      <c r="I483" s="6">
        <v>52.033333300000002</v>
      </c>
      <c r="J483" s="6">
        <v>-0.7</v>
      </c>
      <c r="K483" s="8"/>
      <c r="L483" s="8">
        <f t="shared" si="14"/>
        <v>2009</v>
      </c>
      <c r="M483" s="8">
        <f t="shared" si="15"/>
        <v>39833</v>
      </c>
      <c r="N483" s="19">
        <v>0.35347222222222224</v>
      </c>
    </row>
    <row r="484" spans="1:14" x14ac:dyDescent="0.3">
      <c r="A484" s="3" t="s">
        <v>11</v>
      </c>
      <c r="B484" s="3">
        <v>1200</v>
      </c>
      <c r="C484" s="3" t="s">
        <v>12</v>
      </c>
      <c r="D484" s="3" t="s">
        <v>803</v>
      </c>
      <c r="E484" s="3" t="s">
        <v>817</v>
      </c>
      <c r="F484" s="3" t="s">
        <v>814</v>
      </c>
      <c r="G484" s="3" t="s">
        <v>815</v>
      </c>
      <c r="H484" s="4">
        <v>39835.573611111111</v>
      </c>
      <c r="I484" s="3">
        <v>51.527209999999997</v>
      </c>
      <c r="J484" s="3">
        <v>0.14559</v>
      </c>
      <c r="K484" s="5"/>
      <c r="L484" s="5">
        <f t="shared" si="14"/>
        <v>2009</v>
      </c>
      <c r="M484" s="5">
        <f t="shared" si="15"/>
        <v>39835</v>
      </c>
      <c r="N484" s="18">
        <v>9.375E-2</v>
      </c>
    </row>
    <row r="485" spans="1:14" x14ac:dyDescent="0.3">
      <c r="A485" s="6" t="s">
        <v>11</v>
      </c>
      <c r="B485" s="6">
        <v>1200</v>
      </c>
      <c r="C485" s="6" t="s">
        <v>12</v>
      </c>
      <c r="D485" s="6" t="s">
        <v>846</v>
      </c>
      <c r="E485" s="6" t="s">
        <v>847</v>
      </c>
      <c r="F485" s="6" t="s">
        <v>840</v>
      </c>
      <c r="G485" s="6" t="s">
        <v>815</v>
      </c>
      <c r="H485" s="7">
        <v>39836.140277777777</v>
      </c>
      <c r="I485" s="6">
        <v>55.95</v>
      </c>
      <c r="J485" s="6">
        <v>-3.2</v>
      </c>
      <c r="K485" s="8"/>
      <c r="L485" s="5">
        <f t="shared" si="14"/>
        <v>2009</v>
      </c>
      <c r="M485" s="5">
        <f t="shared" si="15"/>
        <v>39836</v>
      </c>
      <c r="N485" s="18">
        <v>0.17916666666666667</v>
      </c>
    </row>
    <row r="486" spans="1:14" x14ac:dyDescent="0.3">
      <c r="A486" s="3" t="s">
        <v>11</v>
      </c>
      <c r="B486" s="3">
        <v>1200</v>
      </c>
      <c r="C486" s="3" t="s">
        <v>17</v>
      </c>
      <c r="D486" s="3" t="s">
        <v>90</v>
      </c>
      <c r="E486" s="3" t="s">
        <v>848</v>
      </c>
      <c r="F486" s="3" t="s">
        <v>840</v>
      </c>
      <c r="G486" s="3" t="s">
        <v>815</v>
      </c>
      <c r="H486" s="4">
        <v>39837.091666666667</v>
      </c>
      <c r="I486" s="3">
        <v>56.3333333</v>
      </c>
      <c r="J486" s="3">
        <v>-3.25</v>
      </c>
      <c r="K486" s="5"/>
      <c r="L486" s="8">
        <f t="shared" si="14"/>
        <v>2009</v>
      </c>
      <c r="M486" s="8">
        <f t="shared" si="15"/>
        <v>39837</v>
      </c>
      <c r="N486" s="19">
        <v>0.13125000000000001</v>
      </c>
    </row>
    <row r="487" spans="1:14" x14ac:dyDescent="0.3">
      <c r="A487" s="6" t="s">
        <v>21</v>
      </c>
      <c r="B487" s="6">
        <v>100000</v>
      </c>
      <c r="C487" s="6" t="s">
        <v>12</v>
      </c>
      <c r="D487" s="6" t="s">
        <v>465</v>
      </c>
      <c r="E487" s="6" t="s">
        <v>849</v>
      </c>
      <c r="F487" s="6" t="s">
        <v>840</v>
      </c>
      <c r="G487" s="6" t="s">
        <v>815</v>
      </c>
      <c r="H487" s="7">
        <v>39837.334722222222</v>
      </c>
      <c r="I487" s="6">
        <v>56.6666667</v>
      </c>
      <c r="J487" s="6">
        <v>-3</v>
      </c>
      <c r="K487" s="8"/>
      <c r="L487" s="5">
        <f t="shared" si="14"/>
        <v>2009</v>
      </c>
      <c r="M487" s="5">
        <f t="shared" si="15"/>
        <v>39837</v>
      </c>
      <c r="N487" s="18">
        <v>0.37569444444444444</v>
      </c>
    </row>
    <row r="488" spans="1:14" x14ac:dyDescent="0.3">
      <c r="A488" s="3" t="s">
        <v>21</v>
      </c>
      <c r="B488" s="3">
        <v>100000</v>
      </c>
      <c r="C488" s="3" t="s">
        <v>12</v>
      </c>
      <c r="D488" s="3" t="s">
        <v>850</v>
      </c>
      <c r="E488" s="3" t="s">
        <v>851</v>
      </c>
      <c r="F488" s="3" t="s">
        <v>814</v>
      </c>
      <c r="G488" s="3" t="s">
        <v>815</v>
      </c>
      <c r="H488" s="4">
        <v>39837.620833333334</v>
      </c>
      <c r="I488" s="3">
        <v>51.216666699999998</v>
      </c>
      <c r="J488" s="3">
        <v>-0.56666669999999997</v>
      </c>
      <c r="K488" s="5"/>
      <c r="L488" s="8">
        <f t="shared" si="14"/>
        <v>2009</v>
      </c>
      <c r="M488" s="8">
        <f t="shared" si="15"/>
        <v>39837</v>
      </c>
      <c r="N488" s="19">
        <v>0.2986111111111111</v>
      </c>
    </row>
    <row r="489" spans="1:14" x14ac:dyDescent="0.3">
      <c r="A489" s="6" t="s">
        <v>11</v>
      </c>
      <c r="B489" s="6">
        <v>1200</v>
      </c>
      <c r="C489" s="6" t="s">
        <v>12</v>
      </c>
      <c r="D489" s="6" t="s">
        <v>852</v>
      </c>
      <c r="E489" s="6" t="s">
        <v>853</v>
      </c>
      <c r="F489" s="6" t="s">
        <v>814</v>
      </c>
      <c r="G489" s="6" t="s">
        <v>815</v>
      </c>
      <c r="H489" s="7">
        <v>39838.127083333333</v>
      </c>
      <c r="I489" s="6">
        <v>51.866666700000003</v>
      </c>
      <c r="J489" s="6">
        <v>0.1666667</v>
      </c>
      <c r="K489" s="8"/>
      <c r="L489" s="5">
        <f t="shared" si="14"/>
        <v>2009</v>
      </c>
      <c r="M489" s="5">
        <f t="shared" si="15"/>
        <v>39838</v>
      </c>
      <c r="N489" s="18">
        <v>0.16597222222222222</v>
      </c>
    </row>
    <row r="490" spans="1:14" x14ac:dyDescent="0.3">
      <c r="A490" s="3" t="s">
        <v>11</v>
      </c>
      <c r="B490" s="3">
        <v>1200</v>
      </c>
      <c r="C490" s="3" t="s">
        <v>17</v>
      </c>
      <c r="D490" s="3" t="s">
        <v>854</v>
      </c>
      <c r="E490" s="3" t="s">
        <v>855</v>
      </c>
      <c r="F490" s="3" t="s">
        <v>814</v>
      </c>
      <c r="G490" s="3" t="s">
        <v>815</v>
      </c>
      <c r="H490" s="4">
        <v>39838.452777777777</v>
      </c>
      <c r="I490" s="3">
        <v>53.816666699999999</v>
      </c>
      <c r="J490" s="3">
        <v>-3.05</v>
      </c>
      <c r="K490" s="5"/>
      <c r="L490" s="8">
        <f t="shared" si="14"/>
        <v>2009</v>
      </c>
      <c r="M490" s="8">
        <f t="shared" si="15"/>
        <v>39838</v>
      </c>
      <c r="N490" s="19">
        <v>0.38958333333333334</v>
      </c>
    </row>
    <row r="491" spans="1:14" x14ac:dyDescent="0.3">
      <c r="A491" s="6" t="s">
        <v>11</v>
      </c>
      <c r="B491" s="6">
        <v>1200</v>
      </c>
      <c r="C491" s="6" t="s">
        <v>17</v>
      </c>
      <c r="D491" s="6" t="s">
        <v>856</v>
      </c>
      <c r="E491" s="6" t="s">
        <v>817</v>
      </c>
      <c r="F491" s="6" t="s">
        <v>814</v>
      </c>
      <c r="G491" s="6" t="s">
        <v>815</v>
      </c>
      <c r="H491" s="7">
        <v>39838.469444444447</v>
      </c>
      <c r="I491" s="6">
        <v>51.513339999999999</v>
      </c>
      <c r="J491" s="6">
        <v>-8.8950000000000001E-2</v>
      </c>
      <c r="K491" s="8"/>
      <c r="L491" s="5">
        <f t="shared" si="14"/>
        <v>2009</v>
      </c>
      <c r="M491" s="5">
        <f t="shared" si="15"/>
        <v>39838</v>
      </c>
      <c r="N491" s="18">
        <v>0.48333333333333334</v>
      </c>
    </row>
    <row r="492" spans="1:14" x14ac:dyDescent="0.3">
      <c r="A492" s="3" t="s">
        <v>11</v>
      </c>
      <c r="B492" s="3">
        <v>1200</v>
      </c>
      <c r="C492" s="3" t="s">
        <v>65</v>
      </c>
      <c r="D492" s="3" t="s">
        <v>818</v>
      </c>
      <c r="E492" s="3" t="s">
        <v>817</v>
      </c>
      <c r="F492" s="3" t="s">
        <v>814</v>
      </c>
      <c r="G492" s="3" t="s">
        <v>815</v>
      </c>
      <c r="H492" s="4">
        <v>39839.334027777775</v>
      </c>
      <c r="I492" s="3">
        <v>51.527209999999997</v>
      </c>
      <c r="J492" s="3">
        <v>0.14559</v>
      </c>
      <c r="K492" s="5"/>
      <c r="L492" s="5">
        <f t="shared" si="14"/>
        <v>2009</v>
      </c>
      <c r="M492" s="5">
        <f t="shared" si="15"/>
        <v>39839</v>
      </c>
      <c r="N492" s="18">
        <v>0.19791666666666666</v>
      </c>
    </row>
    <row r="493" spans="1:14" x14ac:dyDescent="0.3">
      <c r="A493" s="6" t="s">
        <v>11</v>
      </c>
      <c r="B493" s="6">
        <v>1200</v>
      </c>
      <c r="C493" s="6" t="s">
        <v>17</v>
      </c>
      <c r="D493" s="6" t="s">
        <v>857</v>
      </c>
      <c r="E493" s="6" t="s">
        <v>817</v>
      </c>
      <c r="F493" s="6" t="s">
        <v>814</v>
      </c>
      <c r="G493" s="6" t="s">
        <v>815</v>
      </c>
      <c r="H493" s="7">
        <v>39839.468055555553</v>
      </c>
      <c r="I493" s="6">
        <v>51.527209999999997</v>
      </c>
      <c r="J493" s="6">
        <v>0.14559</v>
      </c>
      <c r="K493" s="8"/>
      <c r="L493" s="8">
        <f t="shared" si="14"/>
        <v>2009</v>
      </c>
      <c r="M493" s="8">
        <f t="shared" si="15"/>
        <v>39839</v>
      </c>
      <c r="N493" s="19">
        <v>0.37361111111111112</v>
      </c>
    </row>
    <row r="494" spans="1:14" x14ac:dyDescent="0.3">
      <c r="A494" s="3" t="s">
        <v>11</v>
      </c>
      <c r="B494" s="3">
        <v>1200</v>
      </c>
      <c r="C494" s="3" t="s">
        <v>17</v>
      </c>
      <c r="D494" s="3" t="s">
        <v>455</v>
      </c>
      <c r="E494" s="3" t="s">
        <v>817</v>
      </c>
      <c r="F494" s="3" t="s">
        <v>814</v>
      </c>
      <c r="G494" s="3" t="s">
        <v>815</v>
      </c>
      <c r="H494" s="4">
        <v>39840.200694444444</v>
      </c>
      <c r="I494" s="3">
        <v>51.527209999999997</v>
      </c>
      <c r="J494" s="3">
        <v>0.14559</v>
      </c>
      <c r="K494" s="5"/>
      <c r="L494" s="5">
        <f t="shared" si="14"/>
        <v>2009</v>
      </c>
      <c r="M494" s="5">
        <f t="shared" si="15"/>
        <v>39840</v>
      </c>
      <c r="N494" s="18">
        <v>0.23125000000000001</v>
      </c>
    </row>
    <row r="495" spans="1:14" x14ac:dyDescent="0.3">
      <c r="A495" s="6" t="s">
        <v>11</v>
      </c>
      <c r="B495" s="6">
        <v>1200</v>
      </c>
      <c r="C495" s="6" t="s">
        <v>12</v>
      </c>
      <c r="D495" s="6" t="s">
        <v>858</v>
      </c>
      <c r="E495" s="6" t="s">
        <v>859</v>
      </c>
      <c r="F495" s="6" t="s">
        <v>814</v>
      </c>
      <c r="G495" s="6" t="s">
        <v>815</v>
      </c>
      <c r="H495" s="7">
        <v>39840.20208333333</v>
      </c>
      <c r="I495" s="6">
        <v>51.5</v>
      </c>
      <c r="J495" s="6">
        <v>-0.58333330000000005</v>
      </c>
      <c r="K495" s="8"/>
      <c r="L495" s="8">
        <f t="shared" si="14"/>
        <v>2009</v>
      </c>
      <c r="M495" s="8">
        <f t="shared" si="15"/>
        <v>39840</v>
      </c>
      <c r="N495" s="19">
        <v>0.21527777777777779</v>
      </c>
    </row>
    <row r="496" spans="1:14" x14ac:dyDescent="0.3">
      <c r="A496" s="3" t="s">
        <v>11</v>
      </c>
      <c r="B496" s="3">
        <v>1200</v>
      </c>
      <c r="C496" s="3" t="s">
        <v>17</v>
      </c>
      <c r="D496" s="3" t="s">
        <v>647</v>
      </c>
      <c r="E496" s="3" t="s">
        <v>860</v>
      </c>
      <c r="F496" s="3" t="s">
        <v>814</v>
      </c>
      <c r="G496" s="3" t="s">
        <v>815</v>
      </c>
      <c r="H496" s="4">
        <v>39841.05972222222</v>
      </c>
      <c r="I496" s="3">
        <v>52.016666700000002</v>
      </c>
      <c r="J496" s="3">
        <v>0.25</v>
      </c>
      <c r="K496" s="5"/>
      <c r="L496" s="5">
        <f t="shared" si="14"/>
        <v>2009</v>
      </c>
      <c r="M496" s="5">
        <f t="shared" si="15"/>
        <v>39841</v>
      </c>
      <c r="N496" s="18">
        <v>0.13750000000000001</v>
      </c>
    </row>
    <row r="497" spans="1:14" x14ac:dyDescent="0.3">
      <c r="A497" s="6" t="s">
        <v>11</v>
      </c>
      <c r="B497" s="6">
        <v>1200</v>
      </c>
      <c r="C497" s="6" t="s">
        <v>12</v>
      </c>
      <c r="D497" s="6" t="s">
        <v>803</v>
      </c>
      <c r="E497" s="6" t="s">
        <v>861</v>
      </c>
      <c r="F497" s="6" t="s">
        <v>814</v>
      </c>
      <c r="G497" s="6" t="s">
        <v>815</v>
      </c>
      <c r="H497" s="7">
        <v>39841.304166666669</v>
      </c>
      <c r="I497" s="6">
        <v>52.4</v>
      </c>
      <c r="J497" s="6">
        <v>-1.6333333000000001</v>
      </c>
      <c r="K497" s="8"/>
      <c r="L497" s="8">
        <f t="shared" si="14"/>
        <v>2009</v>
      </c>
      <c r="M497" s="8">
        <f t="shared" si="15"/>
        <v>39841</v>
      </c>
      <c r="N497" s="19">
        <v>0.29652777777777778</v>
      </c>
    </row>
    <row r="498" spans="1:14" x14ac:dyDescent="0.3">
      <c r="A498" s="3" t="s">
        <v>11</v>
      </c>
      <c r="B498" s="3">
        <v>1200</v>
      </c>
      <c r="C498" s="3" t="s">
        <v>12</v>
      </c>
      <c r="D498" s="3" t="s">
        <v>862</v>
      </c>
      <c r="E498" s="3" t="s">
        <v>863</v>
      </c>
      <c r="F498" s="3" t="s">
        <v>814</v>
      </c>
      <c r="G498" s="3" t="s">
        <v>815</v>
      </c>
      <c r="H498" s="4">
        <v>39841.425000000003</v>
      </c>
      <c r="I498" s="3">
        <v>51.9166667</v>
      </c>
      <c r="J498" s="3">
        <v>-0.65</v>
      </c>
      <c r="K498" s="5"/>
      <c r="L498" s="5">
        <f t="shared" si="14"/>
        <v>2009</v>
      </c>
      <c r="M498" s="5">
        <f t="shared" si="15"/>
        <v>39841</v>
      </c>
      <c r="N498" s="18">
        <v>0.1673611111111111</v>
      </c>
    </row>
    <row r="499" spans="1:14" x14ac:dyDescent="0.3">
      <c r="A499" s="6" t="s">
        <v>11</v>
      </c>
      <c r="B499" s="6">
        <v>1200</v>
      </c>
      <c r="C499" s="6" t="s">
        <v>12</v>
      </c>
      <c r="D499" s="6" t="s">
        <v>864</v>
      </c>
      <c r="E499" s="6" t="s">
        <v>865</v>
      </c>
      <c r="F499" s="6" t="s">
        <v>814</v>
      </c>
      <c r="G499" s="6" t="s">
        <v>815</v>
      </c>
      <c r="H499" s="7">
        <v>39841.463194444441</v>
      </c>
      <c r="I499" s="6">
        <v>54.5833333</v>
      </c>
      <c r="J499" s="6">
        <v>-1.4166666999999999</v>
      </c>
      <c r="K499" s="8"/>
      <c r="L499" s="5">
        <f t="shared" si="14"/>
        <v>2009</v>
      </c>
      <c r="M499" s="5">
        <f t="shared" si="15"/>
        <v>39841</v>
      </c>
      <c r="N499" s="18">
        <v>0.21805555555555556</v>
      </c>
    </row>
    <row r="500" spans="1:14" x14ac:dyDescent="0.3">
      <c r="A500" s="3" t="s">
        <v>11</v>
      </c>
      <c r="B500" s="3">
        <v>1200</v>
      </c>
      <c r="C500" s="3" t="s">
        <v>17</v>
      </c>
      <c r="D500" s="3" t="s">
        <v>866</v>
      </c>
      <c r="E500" s="3" t="s">
        <v>867</v>
      </c>
      <c r="F500" s="3" t="s">
        <v>814</v>
      </c>
      <c r="G500" s="3" t="s">
        <v>815</v>
      </c>
      <c r="H500" s="4">
        <v>39842.142361111109</v>
      </c>
      <c r="I500" s="3">
        <v>51.3</v>
      </c>
      <c r="J500" s="3">
        <v>-0.05</v>
      </c>
      <c r="K500" s="5"/>
      <c r="L500" s="8">
        <f t="shared" si="14"/>
        <v>2009</v>
      </c>
      <c r="M500" s="8">
        <f t="shared" si="15"/>
        <v>39842</v>
      </c>
      <c r="N500" s="19">
        <v>0.34722222222222221</v>
      </c>
    </row>
    <row r="501" spans="1:14" x14ac:dyDescent="0.3">
      <c r="A501" s="6" t="s">
        <v>11</v>
      </c>
      <c r="B501" s="6">
        <v>1200</v>
      </c>
      <c r="C501" s="6" t="s">
        <v>12</v>
      </c>
      <c r="D501" s="6" t="s">
        <v>868</v>
      </c>
      <c r="E501" s="6" t="s">
        <v>869</v>
      </c>
      <c r="F501" s="6" t="s">
        <v>814</v>
      </c>
      <c r="G501" s="6" t="s">
        <v>815</v>
      </c>
      <c r="H501" s="7">
        <v>39842.533333333333</v>
      </c>
      <c r="I501" s="6">
        <v>50.8</v>
      </c>
      <c r="J501" s="6">
        <v>-1.1333333000000001</v>
      </c>
      <c r="K501" s="8"/>
      <c r="L501" s="5">
        <f t="shared" si="14"/>
        <v>2009</v>
      </c>
      <c r="M501" s="5">
        <f t="shared" si="15"/>
        <v>39842</v>
      </c>
      <c r="N501" s="18">
        <v>0.47986111111111113</v>
      </c>
    </row>
    <row r="502" spans="1:14" x14ac:dyDescent="0.3">
      <c r="A502" s="3" t="s">
        <v>11</v>
      </c>
      <c r="B502" s="3">
        <v>1200</v>
      </c>
      <c r="C502" s="3" t="s">
        <v>12</v>
      </c>
      <c r="D502" s="3" t="s">
        <v>870</v>
      </c>
      <c r="E502" s="3" t="s">
        <v>871</v>
      </c>
      <c r="F502" s="3" t="s">
        <v>814</v>
      </c>
      <c r="G502" s="3" t="s">
        <v>815</v>
      </c>
      <c r="H502" s="4">
        <v>39843.245833333334</v>
      </c>
      <c r="I502" s="3">
        <v>50.983333299999998</v>
      </c>
      <c r="J502" s="3">
        <v>-0.6</v>
      </c>
      <c r="K502" s="5"/>
      <c r="L502" s="8">
        <f t="shared" si="14"/>
        <v>2009</v>
      </c>
      <c r="M502" s="8">
        <f t="shared" si="15"/>
        <v>39843</v>
      </c>
      <c r="N502" s="19">
        <v>0.47291666666666665</v>
      </c>
    </row>
    <row r="503" spans="1:14" x14ac:dyDescent="0.3">
      <c r="A503" s="6" t="s">
        <v>11</v>
      </c>
      <c r="B503" s="6">
        <v>1200</v>
      </c>
      <c r="C503" s="6" t="s">
        <v>12</v>
      </c>
      <c r="D503" s="6" t="s">
        <v>872</v>
      </c>
      <c r="E503" s="6" t="s">
        <v>873</v>
      </c>
      <c r="F503" s="6" t="s">
        <v>814</v>
      </c>
      <c r="G503" s="6" t="s">
        <v>815</v>
      </c>
      <c r="H503" s="7">
        <v>39844.380555555559</v>
      </c>
      <c r="I503" s="6">
        <v>51.433333300000001</v>
      </c>
      <c r="J503" s="6">
        <v>-1</v>
      </c>
      <c r="K503" s="8"/>
      <c r="L503" s="5">
        <f t="shared" si="14"/>
        <v>2009</v>
      </c>
      <c r="M503" s="5">
        <f t="shared" si="15"/>
        <v>39844</v>
      </c>
      <c r="N503" s="18">
        <v>0.38333333333333336</v>
      </c>
    </row>
    <row r="504" spans="1:14" x14ac:dyDescent="0.3">
      <c r="A504" s="3" t="s">
        <v>11</v>
      </c>
      <c r="B504" s="3">
        <v>1200</v>
      </c>
      <c r="C504" s="3" t="s">
        <v>12</v>
      </c>
      <c r="D504" s="3" t="s">
        <v>874</v>
      </c>
      <c r="E504" s="3" t="s">
        <v>817</v>
      </c>
      <c r="F504" s="3" t="s">
        <v>814</v>
      </c>
      <c r="G504" s="3" t="s">
        <v>815</v>
      </c>
      <c r="H504" s="4">
        <v>39844.421527777777</v>
      </c>
      <c r="I504" s="3">
        <v>51.513339999999999</v>
      </c>
      <c r="J504" s="3">
        <v>-8.8950000000000001E-2</v>
      </c>
      <c r="K504" s="5"/>
      <c r="L504" s="8">
        <f t="shared" si="14"/>
        <v>2009</v>
      </c>
      <c r="M504" s="8">
        <f t="shared" si="15"/>
        <v>39844</v>
      </c>
      <c r="N504" s="19">
        <v>0.375</v>
      </c>
    </row>
    <row r="505" spans="1:14" x14ac:dyDescent="0.3">
      <c r="A505" s="6" t="s">
        <v>11</v>
      </c>
      <c r="B505" s="6">
        <v>1200</v>
      </c>
      <c r="C505" s="6" t="s">
        <v>17</v>
      </c>
      <c r="D505" s="6" t="s">
        <v>875</v>
      </c>
      <c r="E505" s="6" t="s">
        <v>817</v>
      </c>
      <c r="F505" s="6" t="s">
        <v>814</v>
      </c>
      <c r="G505" s="6" t="s">
        <v>815</v>
      </c>
      <c r="H505" s="7">
        <v>39844.613194444442</v>
      </c>
      <c r="I505" s="6">
        <v>51.527209999999997</v>
      </c>
      <c r="J505" s="6">
        <v>0.14559</v>
      </c>
      <c r="K505" s="8"/>
      <c r="L505" s="5">
        <f t="shared" si="14"/>
        <v>2009</v>
      </c>
      <c r="M505" s="5">
        <f t="shared" si="15"/>
        <v>39844</v>
      </c>
      <c r="N505" s="18">
        <v>0.52222222222222225</v>
      </c>
    </row>
    <row r="506" spans="1:14" x14ac:dyDescent="0.3">
      <c r="A506" s="3" t="s">
        <v>11</v>
      </c>
      <c r="B506" s="3">
        <v>1200</v>
      </c>
      <c r="C506" s="3" t="s">
        <v>12</v>
      </c>
      <c r="D506" s="3" t="s">
        <v>876</v>
      </c>
      <c r="E506" s="3" t="s">
        <v>817</v>
      </c>
      <c r="F506" s="3" t="s">
        <v>814</v>
      </c>
      <c r="G506" s="3" t="s">
        <v>815</v>
      </c>
      <c r="H506" s="4">
        <v>39845.408333333333</v>
      </c>
      <c r="I506" s="3">
        <v>51.527209999999997</v>
      </c>
      <c r="J506" s="3">
        <v>0.14559</v>
      </c>
      <c r="K506" s="5"/>
      <c r="L506" s="5">
        <f t="shared" si="14"/>
        <v>2009</v>
      </c>
      <c r="M506" s="5">
        <f t="shared" si="15"/>
        <v>39845</v>
      </c>
      <c r="N506" s="18">
        <v>0.20347222222222222</v>
      </c>
    </row>
    <row r="507" spans="1:14" x14ac:dyDescent="0.3">
      <c r="A507" s="6" t="s">
        <v>11</v>
      </c>
      <c r="B507" s="6">
        <v>1200</v>
      </c>
      <c r="C507" s="6" t="s">
        <v>12</v>
      </c>
      <c r="D507" s="6" t="s">
        <v>877</v>
      </c>
      <c r="E507" s="6" t="s">
        <v>878</v>
      </c>
      <c r="F507" s="6" t="s">
        <v>830</v>
      </c>
      <c r="G507" s="6" t="s">
        <v>815</v>
      </c>
      <c r="H507" s="7">
        <v>39845.495138888888</v>
      </c>
      <c r="I507" s="6">
        <v>54.466666699999998</v>
      </c>
      <c r="J507" s="6">
        <v>-6.3333332999999996</v>
      </c>
      <c r="K507" s="8"/>
      <c r="L507" s="8">
        <f t="shared" si="14"/>
        <v>2009</v>
      </c>
      <c r="M507" s="8">
        <f t="shared" si="15"/>
        <v>39845</v>
      </c>
      <c r="N507" s="19">
        <v>0.15138888888888888</v>
      </c>
    </row>
    <row r="508" spans="1:14" x14ac:dyDescent="0.3">
      <c r="A508" s="3" t="s">
        <v>11</v>
      </c>
      <c r="B508" s="3">
        <v>1200</v>
      </c>
      <c r="C508" s="3" t="s">
        <v>12</v>
      </c>
      <c r="D508" s="3" t="s">
        <v>232</v>
      </c>
      <c r="E508" s="3" t="s">
        <v>879</v>
      </c>
      <c r="F508" s="3" t="s">
        <v>814</v>
      </c>
      <c r="G508" s="3" t="s">
        <v>815</v>
      </c>
      <c r="H508" s="4">
        <v>39845.935416666667</v>
      </c>
      <c r="I508" s="3">
        <v>51.616666700000003</v>
      </c>
      <c r="J508" s="3">
        <v>0.31666670000000002</v>
      </c>
      <c r="K508" s="5"/>
      <c r="L508" s="5">
        <f t="shared" si="14"/>
        <v>2009</v>
      </c>
      <c r="M508" s="5">
        <f t="shared" si="15"/>
        <v>39845</v>
      </c>
      <c r="N508" s="18">
        <v>4.6527777777777779E-2</v>
      </c>
    </row>
    <row r="509" spans="1:14" x14ac:dyDescent="0.3">
      <c r="A509" s="6" t="s">
        <v>11</v>
      </c>
      <c r="B509" s="6">
        <v>1200</v>
      </c>
      <c r="C509" s="6" t="s">
        <v>12</v>
      </c>
      <c r="D509" s="6" t="s">
        <v>420</v>
      </c>
      <c r="E509" s="6" t="s">
        <v>880</v>
      </c>
      <c r="F509" s="6" t="s">
        <v>814</v>
      </c>
      <c r="G509" s="6" t="s">
        <v>815</v>
      </c>
      <c r="H509" s="7">
        <v>39846.036805555559</v>
      </c>
      <c r="I509" s="6">
        <v>53.5833333</v>
      </c>
      <c r="J509" s="6">
        <v>-2.4333333000000001</v>
      </c>
      <c r="K509" s="8"/>
      <c r="L509" s="8">
        <f t="shared" si="14"/>
        <v>2009</v>
      </c>
      <c r="M509" s="8">
        <f t="shared" si="15"/>
        <v>39846</v>
      </c>
      <c r="N509" s="19">
        <v>0.14305555555555555</v>
      </c>
    </row>
    <row r="510" spans="1:14" x14ac:dyDescent="0.3">
      <c r="A510" s="3" t="s">
        <v>11</v>
      </c>
      <c r="B510" s="3">
        <v>1200</v>
      </c>
      <c r="C510" s="3" t="s">
        <v>17</v>
      </c>
      <c r="D510" s="3" t="s">
        <v>548</v>
      </c>
      <c r="E510" s="3" t="s">
        <v>881</v>
      </c>
      <c r="F510" s="3" t="s">
        <v>814</v>
      </c>
      <c r="G510" s="3" t="s">
        <v>815</v>
      </c>
      <c r="H510" s="4">
        <v>39847.07916666667</v>
      </c>
      <c r="I510" s="3">
        <v>51.633333299999997</v>
      </c>
      <c r="J510" s="3">
        <v>-0.76666670000000003</v>
      </c>
      <c r="K510" s="5"/>
      <c r="L510" s="5">
        <f t="shared" si="14"/>
        <v>2009</v>
      </c>
      <c r="M510" s="5">
        <f t="shared" si="15"/>
        <v>39847</v>
      </c>
      <c r="N510" s="18">
        <v>0.34097222222222223</v>
      </c>
    </row>
    <row r="511" spans="1:14" x14ac:dyDescent="0.3">
      <c r="A511" s="6" t="s">
        <v>11</v>
      </c>
      <c r="B511" s="6">
        <v>1200</v>
      </c>
      <c r="C511" s="6" t="s">
        <v>12</v>
      </c>
      <c r="D511" s="6" t="s">
        <v>882</v>
      </c>
      <c r="E511" s="6" t="s">
        <v>835</v>
      </c>
      <c r="F511" s="6" t="s">
        <v>814</v>
      </c>
      <c r="G511" s="6" t="s">
        <v>815</v>
      </c>
      <c r="H511" s="7">
        <v>39847.539583333331</v>
      </c>
      <c r="I511" s="6">
        <v>53.966666699999998</v>
      </c>
      <c r="J511" s="6">
        <v>-1.0833333000000001</v>
      </c>
      <c r="K511" s="8"/>
      <c r="L511" s="8">
        <f t="shared" si="14"/>
        <v>2009</v>
      </c>
      <c r="M511" s="8">
        <f t="shared" si="15"/>
        <v>39847</v>
      </c>
      <c r="N511" s="19">
        <v>0.43263888888888891</v>
      </c>
    </row>
    <row r="512" spans="1:14" x14ac:dyDescent="0.3">
      <c r="A512" s="3" t="s">
        <v>11</v>
      </c>
      <c r="B512" s="3">
        <v>1200</v>
      </c>
      <c r="C512" s="3" t="s">
        <v>12</v>
      </c>
      <c r="D512" s="3" t="s">
        <v>883</v>
      </c>
      <c r="E512" s="3" t="s">
        <v>880</v>
      </c>
      <c r="F512" s="3" t="s">
        <v>814</v>
      </c>
      <c r="G512" s="3" t="s">
        <v>815</v>
      </c>
      <c r="H512" s="4">
        <v>39847.697916666664</v>
      </c>
      <c r="I512" s="3">
        <v>53.5833333</v>
      </c>
      <c r="J512" s="3">
        <v>-2.4333333000000001</v>
      </c>
      <c r="K512" s="5"/>
      <c r="L512" s="5">
        <f t="shared" si="14"/>
        <v>2009</v>
      </c>
      <c r="M512" s="5">
        <f t="shared" si="15"/>
        <v>39847</v>
      </c>
      <c r="N512" s="18">
        <v>0.16666666666666666</v>
      </c>
    </row>
    <row r="513" spans="1:14" x14ac:dyDescent="0.3">
      <c r="A513" s="6" t="s">
        <v>11</v>
      </c>
      <c r="B513" s="6">
        <v>1200</v>
      </c>
      <c r="C513" s="6" t="s">
        <v>12</v>
      </c>
      <c r="D513" s="6" t="s">
        <v>884</v>
      </c>
      <c r="E513" s="6" t="s">
        <v>817</v>
      </c>
      <c r="F513" s="6" t="s">
        <v>814</v>
      </c>
      <c r="G513" s="6" t="s">
        <v>815</v>
      </c>
      <c r="H513" s="7">
        <v>39848.092361111114</v>
      </c>
      <c r="I513" s="6">
        <v>51.527209999999997</v>
      </c>
      <c r="J513" s="6">
        <v>0.14559</v>
      </c>
      <c r="K513" s="8"/>
      <c r="L513" s="5">
        <f t="shared" si="14"/>
        <v>2009</v>
      </c>
      <c r="M513" s="5">
        <f t="shared" si="15"/>
        <v>39848</v>
      </c>
      <c r="N513" s="18">
        <v>0.53263888888888888</v>
      </c>
    </row>
    <row r="514" spans="1:14" x14ac:dyDescent="0.3">
      <c r="A514" s="3" t="s">
        <v>11</v>
      </c>
      <c r="B514" s="3">
        <v>1200</v>
      </c>
      <c r="C514" s="3" t="s">
        <v>17</v>
      </c>
      <c r="D514" s="3" t="s">
        <v>885</v>
      </c>
      <c r="E514" s="3" t="s">
        <v>817</v>
      </c>
      <c r="F514" s="3" t="s">
        <v>814</v>
      </c>
      <c r="G514" s="3" t="s">
        <v>815</v>
      </c>
      <c r="H514" s="4">
        <v>39848.368055555555</v>
      </c>
      <c r="I514" s="3">
        <v>51.5</v>
      </c>
      <c r="J514" s="3">
        <v>-0.1166667</v>
      </c>
      <c r="K514" s="5"/>
      <c r="L514" s="8">
        <f t="shared" ref="L514:L577" si="16">YEAR(H514)</f>
        <v>2009</v>
      </c>
      <c r="M514" s="8">
        <f t="shared" ref="M514:M577" si="17">INT(H514)</f>
        <v>39848</v>
      </c>
      <c r="N514" s="19">
        <v>0.32430555555555557</v>
      </c>
    </row>
    <row r="515" spans="1:14" x14ac:dyDescent="0.3">
      <c r="A515" s="6" t="s">
        <v>11</v>
      </c>
      <c r="B515" s="6">
        <v>1200</v>
      </c>
      <c r="C515" s="6" t="s">
        <v>17</v>
      </c>
      <c r="D515" s="6" t="s">
        <v>388</v>
      </c>
      <c r="E515" s="6" t="s">
        <v>847</v>
      </c>
      <c r="F515" s="6" t="s">
        <v>840</v>
      </c>
      <c r="G515" s="6" t="s">
        <v>815</v>
      </c>
      <c r="H515" s="7">
        <v>39848.547222222223</v>
      </c>
      <c r="I515" s="6">
        <v>55.95</v>
      </c>
      <c r="J515" s="6">
        <v>-3.2</v>
      </c>
      <c r="K515" s="8"/>
      <c r="L515" s="5">
        <f t="shared" si="16"/>
        <v>2009</v>
      </c>
      <c r="M515" s="5">
        <f t="shared" si="17"/>
        <v>39848</v>
      </c>
      <c r="N515" s="18">
        <v>0.34236111111111112</v>
      </c>
    </row>
    <row r="516" spans="1:14" x14ac:dyDescent="0.3">
      <c r="A516" s="3" t="s">
        <v>11</v>
      </c>
      <c r="B516" s="3">
        <v>1200</v>
      </c>
      <c r="C516" s="3" t="s">
        <v>12</v>
      </c>
      <c r="D516" s="3" t="s">
        <v>886</v>
      </c>
      <c r="E516" s="3" t="s">
        <v>887</v>
      </c>
      <c r="F516" s="3" t="s">
        <v>840</v>
      </c>
      <c r="G516" s="3" t="s">
        <v>815</v>
      </c>
      <c r="H516" s="4">
        <v>39849.135416666664</v>
      </c>
      <c r="I516" s="3">
        <v>56.4</v>
      </c>
      <c r="J516" s="3">
        <v>-3.4333333000000001</v>
      </c>
      <c r="K516" s="5"/>
      <c r="L516" s="8">
        <f t="shared" si="16"/>
        <v>2009</v>
      </c>
      <c r="M516" s="8">
        <f t="shared" si="17"/>
        <v>39849</v>
      </c>
      <c r="N516" s="19">
        <v>0.10555555555555556</v>
      </c>
    </row>
    <row r="517" spans="1:14" x14ac:dyDescent="0.3">
      <c r="A517" s="6" t="s">
        <v>11</v>
      </c>
      <c r="B517" s="6">
        <v>1200</v>
      </c>
      <c r="C517" s="6" t="s">
        <v>65</v>
      </c>
      <c r="D517" s="6" t="s">
        <v>888</v>
      </c>
      <c r="E517" s="6" t="s">
        <v>817</v>
      </c>
      <c r="F517" s="6" t="s">
        <v>814</v>
      </c>
      <c r="G517" s="6" t="s">
        <v>815</v>
      </c>
      <c r="H517" s="7">
        <v>39849.136805555558</v>
      </c>
      <c r="I517" s="6">
        <v>51.513339999999999</v>
      </c>
      <c r="J517" s="6">
        <v>-8.8950000000000001E-2</v>
      </c>
      <c r="K517" s="8"/>
      <c r="L517" s="5">
        <f t="shared" si="16"/>
        <v>2009</v>
      </c>
      <c r="M517" s="5">
        <f t="shared" si="17"/>
        <v>39849</v>
      </c>
      <c r="N517" s="18">
        <v>6.6666666666666666E-2</v>
      </c>
    </row>
    <row r="518" spans="1:14" x14ac:dyDescent="0.3">
      <c r="A518" s="3" t="s">
        <v>11</v>
      </c>
      <c r="B518" s="3">
        <v>1200</v>
      </c>
      <c r="C518" s="3" t="s">
        <v>12</v>
      </c>
      <c r="D518" s="3" t="s">
        <v>889</v>
      </c>
      <c r="E518" s="3" t="s">
        <v>890</v>
      </c>
      <c r="F518" s="3" t="s">
        <v>814</v>
      </c>
      <c r="G518" s="3" t="s">
        <v>815</v>
      </c>
      <c r="H518" s="4">
        <v>39849.26458333333</v>
      </c>
      <c r="I518" s="3">
        <v>51.2</v>
      </c>
      <c r="J518" s="3">
        <v>0.58333330000000005</v>
      </c>
      <c r="K518" s="5"/>
      <c r="L518" s="8">
        <f t="shared" si="16"/>
        <v>2009</v>
      </c>
      <c r="M518" s="8">
        <f t="shared" si="17"/>
        <v>39849</v>
      </c>
      <c r="N518" s="19">
        <v>0.48749999999999999</v>
      </c>
    </row>
    <row r="519" spans="1:14" x14ac:dyDescent="0.3">
      <c r="A519" s="6" t="s">
        <v>11</v>
      </c>
      <c r="B519" s="6">
        <v>1200</v>
      </c>
      <c r="C519" s="6" t="s">
        <v>17</v>
      </c>
      <c r="D519" s="6" t="s">
        <v>445</v>
      </c>
      <c r="E519" s="6" t="s">
        <v>891</v>
      </c>
      <c r="F519" s="6" t="s">
        <v>814</v>
      </c>
      <c r="G519" s="6" t="s">
        <v>815</v>
      </c>
      <c r="H519" s="7">
        <v>39850.00277777778</v>
      </c>
      <c r="I519" s="6">
        <v>52.016666700000002</v>
      </c>
      <c r="J519" s="6">
        <v>-1.9666667</v>
      </c>
      <c r="K519" s="8"/>
      <c r="L519" s="5">
        <f t="shared" si="16"/>
        <v>2009</v>
      </c>
      <c r="M519" s="5">
        <f t="shared" si="17"/>
        <v>39850</v>
      </c>
      <c r="N519" s="18">
        <v>0.49722222222222223</v>
      </c>
    </row>
    <row r="520" spans="1:14" x14ac:dyDescent="0.3">
      <c r="A520" s="3" t="s">
        <v>11</v>
      </c>
      <c r="B520" s="3">
        <v>1200</v>
      </c>
      <c r="C520" s="3" t="s">
        <v>17</v>
      </c>
      <c r="D520" s="3" t="s">
        <v>816</v>
      </c>
      <c r="E520" s="3" t="s">
        <v>845</v>
      </c>
      <c r="F520" s="3" t="s">
        <v>814</v>
      </c>
      <c r="G520" s="3" t="s">
        <v>815</v>
      </c>
      <c r="H520" s="4">
        <v>39851.018055555556</v>
      </c>
      <c r="I520" s="3">
        <v>52.033333300000002</v>
      </c>
      <c r="J520" s="3">
        <v>-0.7</v>
      </c>
      <c r="K520" s="5"/>
      <c r="L520" s="5">
        <f t="shared" si="16"/>
        <v>2009</v>
      </c>
      <c r="M520" s="5">
        <f t="shared" si="17"/>
        <v>39851</v>
      </c>
      <c r="N520" s="18">
        <v>6.1111111111111109E-2</v>
      </c>
    </row>
    <row r="521" spans="1:14" x14ac:dyDescent="0.3">
      <c r="A521" s="6" t="s">
        <v>11</v>
      </c>
      <c r="B521" s="6">
        <v>1200</v>
      </c>
      <c r="C521" s="6" t="s">
        <v>12</v>
      </c>
      <c r="D521" s="6" t="s">
        <v>892</v>
      </c>
      <c r="E521" s="6" t="s">
        <v>893</v>
      </c>
      <c r="F521" s="6" t="s">
        <v>814</v>
      </c>
      <c r="G521" s="6" t="s">
        <v>815</v>
      </c>
      <c r="H521" s="7">
        <v>39851.463888888888</v>
      </c>
      <c r="I521" s="6">
        <v>52.25</v>
      </c>
      <c r="J521" s="6">
        <v>-2.7</v>
      </c>
      <c r="K521" s="8"/>
      <c r="L521" s="8">
        <f t="shared" si="16"/>
        <v>2009</v>
      </c>
      <c r="M521" s="8">
        <f t="shared" si="17"/>
        <v>39851</v>
      </c>
      <c r="N521" s="19">
        <v>0.14097222222222222</v>
      </c>
    </row>
    <row r="522" spans="1:14" x14ac:dyDescent="0.3">
      <c r="A522" s="3" t="s">
        <v>21</v>
      </c>
      <c r="B522" s="3">
        <v>100000</v>
      </c>
      <c r="C522" s="3" t="s">
        <v>12</v>
      </c>
      <c r="D522" s="3" t="s">
        <v>451</v>
      </c>
      <c r="E522" s="3" t="s">
        <v>849</v>
      </c>
      <c r="F522" s="3" t="s">
        <v>840</v>
      </c>
      <c r="G522" s="3" t="s">
        <v>815</v>
      </c>
      <c r="H522" s="4">
        <v>39852.119444444441</v>
      </c>
      <c r="I522" s="3">
        <v>56.6666667</v>
      </c>
      <c r="J522" s="3">
        <v>-3</v>
      </c>
      <c r="K522" s="5"/>
      <c r="L522" s="5">
        <f t="shared" si="16"/>
        <v>2009</v>
      </c>
      <c r="M522" s="5">
        <f t="shared" si="17"/>
        <v>39852</v>
      </c>
      <c r="N522" s="18">
        <v>0.30416666666666664</v>
      </c>
    </row>
    <row r="523" spans="1:14" x14ac:dyDescent="0.3">
      <c r="A523" s="6" t="s">
        <v>11</v>
      </c>
      <c r="B523" s="6">
        <v>1200</v>
      </c>
      <c r="C523" s="6" t="s">
        <v>12</v>
      </c>
      <c r="D523" s="6" t="s">
        <v>894</v>
      </c>
      <c r="E523" s="6" t="s">
        <v>895</v>
      </c>
      <c r="F523" s="6" t="s">
        <v>814</v>
      </c>
      <c r="G523" s="6" t="s">
        <v>815</v>
      </c>
      <c r="H523" s="7">
        <v>39852.958333333336</v>
      </c>
      <c r="I523" s="6">
        <v>51.75</v>
      </c>
      <c r="J523" s="6">
        <v>-1.25</v>
      </c>
      <c r="K523" s="8"/>
      <c r="L523" s="8">
        <f t="shared" si="16"/>
        <v>2009</v>
      </c>
      <c r="M523" s="8">
        <f t="shared" si="17"/>
        <v>39852</v>
      </c>
      <c r="N523" s="19">
        <v>0.5229166666666667</v>
      </c>
    </row>
    <row r="524" spans="1:14" x14ac:dyDescent="0.3">
      <c r="A524" s="3" t="s">
        <v>11</v>
      </c>
      <c r="B524" s="3">
        <v>1200</v>
      </c>
      <c r="C524" s="3" t="s">
        <v>12</v>
      </c>
      <c r="D524" s="3" t="s">
        <v>896</v>
      </c>
      <c r="E524" s="3" t="s">
        <v>897</v>
      </c>
      <c r="F524" s="3" t="s">
        <v>814</v>
      </c>
      <c r="G524" s="3" t="s">
        <v>815</v>
      </c>
      <c r="H524" s="4">
        <v>39853.119444444441</v>
      </c>
      <c r="I524" s="3">
        <v>50.7</v>
      </c>
      <c r="J524" s="3">
        <v>-3.5333332999999998</v>
      </c>
      <c r="K524" s="5"/>
      <c r="L524" s="5">
        <f t="shared" si="16"/>
        <v>2009</v>
      </c>
      <c r="M524" s="5">
        <f t="shared" si="17"/>
        <v>39853</v>
      </c>
      <c r="N524" s="18">
        <v>0.52916666666666667</v>
      </c>
    </row>
    <row r="525" spans="1:14" x14ac:dyDescent="0.3">
      <c r="A525" s="6" t="s">
        <v>21</v>
      </c>
      <c r="B525" s="6">
        <v>100000</v>
      </c>
      <c r="C525" s="6" t="s">
        <v>12</v>
      </c>
      <c r="D525" s="6" t="s">
        <v>447</v>
      </c>
      <c r="E525" s="6" t="s">
        <v>817</v>
      </c>
      <c r="F525" s="6" t="s">
        <v>814</v>
      </c>
      <c r="G525" s="6" t="s">
        <v>815</v>
      </c>
      <c r="H525" s="7">
        <v>39853.195833333331</v>
      </c>
      <c r="I525" s="6">
        <v>51.527209999999997</v>
      </c>
      <c r="J525" s="6">
        <v>0.14559</v>
      </c>
      <c r="K525" s="8"/>
      <c r="L525" s="8">
        <f t="shared" si="16"/>
        <v>2009</v>
      </c>
      <c r="M525" s="8">
        <f t="shared" si="17"/>
        <v>39853</v>
      </c>
      <c r="N525" s="19">
        <v>0.21597222222222223</v>
      </c>
    </row>
    <row r="526" spans="1:14" x14ac:dyDescent="0.3">
      <c r="A526" s="3" t="s">
        <v>21</v>
      </c>
      <c r="B526" s="3">
        <v>100000</v>
      </c>
      <c r="C526" s="3" t="s">
        <v>17</v>
      </c>
      <c r="D526" s="3" t="s">
        <v>898</v>
      </c>
      <c r="E526" s="3" t="s">
        <v>817</v>
      </c>
      <c r="F526" s="3" t="s">
        <v>814</v>
      </c>
      <c r="G526" s="3" t="s">
        <v>815</v>
      </c>
      <c r="H526" s="4">
        <v>39853.289583333331</v>
      </c>
      <c r="I526" s="3">
        <v>51.513339999999999</v>
      </c>
      <c r="J526" s="3">
        <v>-8.8950000000000001E-2</v>
      </c>
      <c r="K526" s="5"/>
      <c r="L526" s="5">
        <f t="shared" si="16"/>
        <v>2009</v>
      </c>
      <c r="M526" s="5">
        <f t="shared" si="17"/>
        <v>39853</v>
      </c>
      <c r="N526" s="18">
        <v>0.42569444444444443</v>
      </c>
    </row>
    <row r="527" spans="1:14" x14ac:dyDescent="0.3">
      <c r="A527" s="6" t="s">
        <v>11</v>
      </c>
      <c r="B527" s="6">
        <v>1200</v>
      </c>
      <c r="C527" s="6" t="s">
        <v>12</v>
      </c>
      <c r="D527" s="6" t="s">
        <v>589</v>
      </c>
      <c r="E527" s="6" t="s">
        <v>899</v>
      </c>
      <c r="F527" s="6" t="s">
        <v>814</v>
      </c>
      <c r="G527" s="6" t="s">
        <v>815</v>
      </c>
      <c r="H527" s="7">
        <v>39853.587500000001</v>
      </c>
      <c r="I527" s="6">
        <v>53.4166667</v>
      </c>
      <c r="J527" s="6">
        <v>-3</v>
      </c>
      <c r="K527" s="8"/>
      <c r="L527" s="5">
        <f t="shared" si="16"/>
        <v>2009</v>
      </c>
      <c r="M527" s="5">
        <f t="shared" si="17"/>
        <v>39853</v>
      </c>
      <c r="N527" s="18">
        <v>0.1451388888888889</v>
      </c>
    </row>
    <row r="528" spans="1:14" x14ac:dyDescent="0.3">
      <c r="A528" s="3" t="s">
        <v>11</v>
      </c>
      <c r="B528" s="3">
        <v>1200</v>
      </c>
      <c r="C528" s="3" t="s">
        <v>12</v>
      </c>
      <c r="D528" s="3" t="s">
        <v>675</v>
      </c>
      <c r="E528" s="3" t="s">
        <v>900</v>
      </c>
      <c r="F528" s="3" t="s">
        <v>814</v>
      </c>
      <c r="G528" s="3" t="s">
        <v>815</v>
      </c>
      <c r="H528" s="4">
        <v>39854.527083333334</v>
      </c>
      <c r="I528" s="3">
        <v>51.433333300000001</v>
      </c>
      <c r="J528" s="3">
        <v>-2</v>
      </c>
      <c r="K528" s="5"/>
      <c r="L528" s="8">
        <f t="shared" si="16"/>
        <v>2009</v>
      </c>
      <c r="M528" s="8">
        <f t="shared" si="17"/>
        <v>39854</v>
      </c>
      <c r="N528" s="19">
        <v>6.1111111111111109E-2</v>
      </c>
    </row>
    <row r="529" spans="1:14" x14ac:dyDescent="0.3">
      <c r="A529" s="6" t="s">
        <v>11</v>
      </c>
      <c r="B529" s="6">
        <v>1200</v>
      </c>
      <c r="C529" s="6" t="s">
        <v>17</v>
      </c>
      <c r="D529" s="6" t="s">
        <v>901</v>
      </c>
      <c r="E529" s="6" t="s">
        <v>873</v>
      </c>
      <c r="F529" s="6" t="s">
        <v>814</v>
      </c>
      <c r="G529" s="6" t="s">
        <v>815</v>
      </c>
      <c r="H529" s="7">
        <v>39854.693055555559</v>
      </c>
      <c r="I529" s="6">
        <v>51.433333300000001</v>
      </c>
      <c r="J529" s="6">
        <v>-1</v>
      </c>
      <c r="K529" s="8"/>
      <c r="L529" s="5">
        <f t="shared" si="16"/>
        <v>2009</v>
      </c>
      <c r="M529" s="5">
        <f t="shared" si="17"/>
        <v>39854</v>
      </c>
      <c r="N529" s="18">
        <v>9.3055555555555558E-2</v>
      </c>
    </row>
    <row r="530" spans="1:14" x14ac:dyDescent="0.3">
      <c r="A530" s="3" t="s">
        <v>11</v>
      </c>
      <c r="B530" s="3">
        <v>1200</v>
      </c>
      <c r="C530" s="3" t="s">
        <v>17</v>
      </c>
      <c r="D530" s="3" t="s">
        <v>902</v>
      </c>
      <c r="E530" s="3" t="s">
        <v>903</v>
      </c>
      <c r="F530" s="3" t="s">
        <v>814</v>
      </c>
      <c r="G530" s="3" t="s">
        <v>815</v>
      </c>
      <c r="H530" s="4">
        <v>39854.829861111109</v>
      </c>
      <c r="I530" s="3">
        <v>52.4166667</v>
      </c>
      <c r="J530" s="3">
        <v>-1.55</v>
      </c>
      <c r="K530" s="5"/>
      <c r="L530" s="8">
        <f t="shared" si="16"/>
        <v>2009</v>
      </c>
      <c r="M530" s="8">
        <f t="shared" si="17"/>
        <v>39854</v>
      </c>
      <c r="N530" s="19">
        <v>0.17847222222222223</v>
      </c>
    </row>
    <row r="531" spans="1:14" x14ac:dyDescent="0.3">
      <c r="A531" s="6" t="s">
        <v>11</v>
      </c>
      <c r="B531" s="6">
        <v>1200</v>
      </c>
      <c r="C531" s="6" t="s">
        <v>17</v>
      </c>
      <c r="D531" s="6" t="s">
        <v>904</v>
      </c>
      <c r="E531" s="6" t="s">
        <v>905</v>
      </c>
      <c r="F531" s="6" t="s">
        <v>814</v>
      </c>
      <c r="G531" s="6" t="s">
        <v>815</v>
      </c>
      <c r="H531" s="7">
        <v>39855.00277777778</v>
      </c>
      <c r="I531" s="6">
        <v>52.3</v>
      </c>
      <c r="J531" s="6">
        <v>-1.5333333</v>
      </c>
      <c r="K531" s="8"/>
      <c r="L531" s="5">
        <f t="shared" si="16"/>
        <v>2009</v>
      </c>
      <c r="M531" s="5">
        <f t="shared" si="17"/>
        <v>39855</v>
      </c>
      <c r="N531" s="18">
        <v>0.53680555555555554</v>
      </c>
    </row>
    <row r="532" spans="1:14" x14ac:dyDescent="0.3">
      <c r="A532" s="3" t="s">
        <v>11</v>
      </c>
      <c r="B532" s="3">
        <v>1200</v>
      </c>
      <c r="C532" s="3" t="s">
        <v>17</v>
      </c>
      <c r="D532" s="3" t="s">
        <v>906</v>
      </c>
      <c r="E532" s="3" t="s">
        <v>907</v>
      </c>
      <c r="F532" s="3" t="s">
        <v>814</v>
      </c>
      <c r="G532" s="3" t="s">
        <v>815</v>
      </c>
      <c r="H532" s="4">
        <v>39855.458333333336</v>
      </c>
      <c r="I532" s="3">
        <v>51.4166667</v>
      </c>
      <c r="J532" s="3">
        <v>0.1166667</v>
      </c>
      <c r="K532" s="5"/>
      <c r="L532" s="8">
        <f t="shared" si="16"/>
        <v>2009</v>
      </c>
      <c r="M532" s="8">
        <f t="shared" si="17"/>
        <v>39855</v>
      </c>
      <c r="N532" s="19">
        <v>0.11527777777777778</v>
      </c>
    </row>
    <row r="533" spans="1:14" x14ac:dyDescent="0.3">
      <c r="A533" s="6" t="s">
        <v>11</v>
      </c>
      <c r="B533" s="6">
        <v>1200</v>
      </c>
      <c r="C533" s="6" t="s">
        <v>17</v>
      </c>
      <c r="D533" s="6" t="s">
        <v>908</v>
      </c>
      <c r="E533" s="6" t="s">
        <v>909</v>
      </c>
      <c r="F533" s="6" t="s">
        <v>814</v>
      </c>
      <c r="G533" s="6" t="s">
        <v>815</v>
      </c>
      <c r="H533" s="7">
        <v>39856.520138888889</v>
      </c>
      <c r="I533" s="6">
        <v>51.6666667</v>
      </c>
      <c r="J533" s="6">
        <v>-0.4</v>
      </c>
      <c r="K533" s="8"/>
      <c r="L533" s="5">
        <f t="shared" si="16"/>
        <v>2009</v>
      </c>
      <c r="M533" s="5">
        <f t="shared" si="17"/>
        <v>39856</v>
      </c>
      <c r="N533" s="18">
        <v>0.1701388888888889</v>
      </c>
    </row>
    <row r="534" spans="1:14" x14ac:dyDescent="0.3">
      <c r="A534" s="3" t="s">
        <v>11</v>
      </c>
      <c r="B534" s="3">
        <v>1200</v>
      </c>
      <c r="C534" s="3" t="s">
        <v>12</v>
      </c>
      <c r="D534" s="3" t="s">
        <v>910</v>
      </c>
      <c r="E534" s="3" t="s">
        <v>911</v>
      </c>
      <c r="F534" s="3" t="s">
        <v>814</v>
      </c>
      <c r="G534" s="3" t="s">
        <v>815</v>
      </c>
      <c r="H534" s="4">
        <v>39857.185416666667</v>
      </c>
      <c r="I534" s="3">
        <v>50.233333299999998</v>
      </c>
      <c r="J534" s="3">
        <v>-5.2333333</v>
      </c>
      <c r="K534" s="5"/>
      <c r="L534" s="5">
        <f t="shared" si="16"/>
        <v>2009</v>
      </c>
      <c r="M534" s="5">
        <f t="shared" si="17"/>
        <v>39857</v>
      </c>
      <c r="N534" s="18">
        <v>0.28472222222222221</v>
      </c>
    </row>
    <row r="535" spans="1:14" x14ac:dyDescent="0.3">
      <c r="A535" s="6" t="s">
        <v>11</v>
      </c>
      <c r="B535" s="6">
        <v>1200</v>
      </c>
      <c r="C535" s="6" t="s">
        <v>12</v>
      </c>
      <c r="D535" s="6" t="s">
        <v>912</v>
      </c>
      <c r="E535" s="6" t="s">
        <v>817</v>
      </c>
      <c r="F535" s="6" t="s">
        <v>814</v>
      </c>
      <c r="G535" s="6" t="s">
        <v>815</v>
      </c>
      <c r="H535" s="7">
        <v>39857.27847222222</v>
      </c>
      <c r="I535" s="6">
        <v>51.527209999999997</v>
      </c>
      <c r="J535" s="6">
        <v>0.14559</v>
      </c>
      <c r="K535" s="8"/>
      <c r="L535" s="8">
        <f t="shared" si="16"/>
        <v>2009</v>
      </c>
      <c r="M535" s="8">
        <f t="shared" si="17"/>
        <v>39857</v>
      </c>
      <c r="N535" s="19">
        <v>6.6666666666666666E-2</v>
      </c>
    </row>
    <row r="536" spans="1:14" x14ac:dyDescent="0.3">
      <c r="A536" s="3" t="s">
        <v>11</v>
      </c>
      <c r="B536" s="3">
        <v>1200</v>
      </c>
      <c r="C536" s="3" t="s">
        <v>17</v>
      </c>
      <c r="D536" s="3" t="s">
        <v>913</v>
      </c>
      <c r="E536" s="3" t="s">
        <v>895</v>
      </c>
      <c r="F536" s="3" t="s">
        <v>814</v>
      </c>
      <c r="G536" s="3" t="s">
        <v>815</v>
      </c>
      <c r="H536" s="4">
        <v>39857.59375</v>
      </c>
      <c r="I536" s="3">
        <v>51.75</v>
      </c>
      <c r="J536" s="3">
        <v>-1.25</v>
      </c>
      <c r="K536" s="5"/>
      <c r="L536" s="5">
        <f t="shared" si="16"/>
        <v>2009</v>
      </c>
      <c r="M536" s="5">
        <f t="shared" si="17"/>
        <v>39857</v>
      </c>
      <c r="N536" s="18">
        <v>0.24513888888888888</v>
      </c>
    </row>
    <row r="537" spans="1:14" x14ac:dyDescent="0.3">
      <c r="A537" s="6" t="s">
        <v>11</v>
      </c>
      <c r="B537" s="6">
        <v>1200</v>
      </c>
      <c r="C537" s="6" t="s">
        <v>12</v>
      </c>
      <c r="D537" s="6" t="s">
        <v>607</v>
      </c>
      <c r="E537" s="6" t="s">
        <v>914</v>
      </c>
      <c r="F537" s="6" t="s">
        <v>814</v>
      </c>
      <c r="G537" s="6" t="s">
        <v>815</v>
      </c>
      <c r="H537" s="7">
        <v>39858.310416666667</v>
      </c>
      <c r="I537" s="6">
        <v>52.05</v>
      </c>
      <c r="J537" s="6">
        <v>-1.3333333000000001</v>
      </c>
      <c r="K537" s="8"/>
      <c r="L537" s="8">
        <f t="shared" si="16"/>
        <v>2009</v>
      </c>
      <c r="M537" s="8">
        <f t="shared" si="17"/>
        <v>39858</v>
      </c>
      <c r="N537" s="19">
        <v>0.12152777777777778</v>
      </c>
    </row>
    <row r="538" spans="1:14" x14ac:dyDescent="0.3">
      <c r="A538" s="3" t="s">
        <v>11</v>
      </c>
      <c r="B538" s="3">
        <v>1200</v>
      </c>
      <c r="C538" s="3" t="s">
        <v>17</v>
      </c>
      <c r="D538" s="3" t="s">
        <v>915</v>
      </c>
      <c r="E538" s="3" t="s">
        <v>916</v>
      </c>
      <c r="F538" s="3" t="s">
        <v>814</v>
      </c>
      <c r="G538" s="3" t="s">
        <v>815</v>
      </c>
      <c r="H538" s="4">
        <v>39858.565972222219</v>
      </c>
      <c r="I538" s="3">
        <v>51.266666700000002</v>
      </c>
      <c r="J538" s="3">
        <v>1.0833333000000001</v>
      </c>
      <c r="K538" s="5"/>
      <c r="L538" s="5">
        <f t="shared" si="16"/>
        <v>2009</v>
      </c>
      <c r="M538" s="5">
        <f t="shared" si="17"/>
        <v>39858</v>
      </c>
      <c r="N538" s="18">
        <v>0.13819444444444445</v>
      </c>
    </row>
    <row r="539" spans="1:14" x14ac:dyDescent="0.3">
      <c r="A539" s="6" t="s">
        <v>21</v>
      </c>
      <c r="B539" s="6">
        <v>100000</v>
      </c>
      <c r="C539" s="6" t="s">
        <v>12</v>
      </c>
      <c r="D539" s="6" t="s">
        <v>917</v>
      </c>
      <c r="E539" s="6" t="s">
        <v>918</v>
      </c>
      <c r="F539" s="6" t="s">
        <v>919</v>
      </c>
      <c r="G539" s="6" t="s">
        <v>815</v>
      </c>
      <c r="H539" s="7">
        <v>39859.356944444444</v>
      </c>
      <c r="I539" s="6">
        <v>51.633333299999997</v>
      </c>
      <c r="J539" s="6">
        <v>-4.0999999999999996</v>
      </c>
      <c r="K539" s="8"/>
      <c r="L539" s="8">
        <f t="shared" si="16"/>
        <v>2009</v>
      </c>
      <c r="M539" s="8">
        <f t="shared" si="17"/>
        <v>39859</v>
      </c>
      <c r="N539" s="19">
        <v>0.23541666666666666</v>
      </c>
    </row>
    <row r="540" spans="1:14" x14ac:dyDescent="0.3">
      <c r="A540" s="3" t="s">
        <v>21</v>
      </c>
      <c r="B540" s="3">
        <v>100000</v>
      </c>
      <c r="C540" s="3" t="s">
        <v>17</v>
      </c>
      <c r="D540" s="3" t="s">
        <v>920</v>
      </c>
      <c r="E540" s="3" t="s">
        <v>921</v>
      </c>
      <c r="F540" s="3" t="s">
        <v>814</v>
      </c>
      <c r="G540" s="3" t="s">
        <v>815</v>
      </c>
      <c r="H540" s="4">
        <v>39859.566666666666</v>
      </c>
      <c r="I540" s="3">
        <v>51.133333299999997</v>
      </c>
      <c r="J540" s="3">
        <v>0.28333330000000001</v>
      </c>
      <c r="K540" s="5"/>
      <c r="L540" s="5">
        <f t="shared" si="16"/>
        <v>2009</v>
      </c>
      <c r="M540" s="5">
        <f t="shared" si="17"/>
        <v>39859</v>
      </c>
      <c r="N540" s="18">
        <v>0.40833333333333333</v>
      </c>
    </row>
    <row r="541" spans="1:14" x14ac:dyDescent="0.3">
      <c r="A541" s="6" t="s">
        <v>11</v>
      </c>
      <c r="B541" s="6">
        <v>1200</v>
      </c>
      <c r="C541" s="6" t="s">
        <v>12</v>
      </c>
      <c r="D541" s="6" t="s">
        <v>922</v>
      </c>
      <c r="E541" s="6" t="s">
        <v>817</v>
      </c>
      <c r="F541" s="6" t="s">
        <v>814</v>
      </c>
      <c r="G541" s="6" t="s">
        <v>815</v>
      </c>
      <c r="H541" s="7">
        <v>39859.669444444444</v>
      </c>
      <c r="I541" s="6">
        <v>51.527209999999997</v>
      </c>
      <c r="J541" s="6">
        <v>0.14559</v>
      </c>
      <c r="K541" s="8"/>
      <c r="L541" s="5">
        <f t="shared" si="16"/>
        <v>2009</v>
      </c>
      <c r="M541" s="5">
        <f t="shared" si="17"/>
        <v>39859</v>
      </c>
      <c r="N541" s="18">
        <v>0.29375000000000001</v>
      </c>
    </row>
    <row r="542" spans="1:14" x14ac:dyDescent="0.3">
      <c r="A542" s="3" t="s">
        <v>11</v>
      </c>
      <c r="B542" s="3">
        <v>1200</v>
      </c>
      <c r="C542" s="3" t="s">
        <v>12</v>
      </c>
      <c r="D542" s="3" t="s">
        <v>923</v>
      </c>
      <c r="E542" s="3" t="s">
        <v>839</v>
      </c>
      <c r="F542" s="3" t="s">
        <v>840</v>
      </c>
      <c r="G542" s="3" t="s">
        <v>815</v>
      </c>
      <c r="H542" s="4">
        <v>39860.466666666667</v>
      </c>
      <c r="I542" s="3">
        <v>57.133333299999997</v>
      </c>
      <c r="J542" s="3">
        <v>-2.1</v>
      </c>
      <c r="K542" s="5"/>
      <c r="L542" s="8">
        <f t="shared" si="16"/>
        <v>2009</v>
      </c>
      <c r="M542" s="8">
        <f t="shared" si="17"/>
        <v>39860</v>
      </c>
      <c r="N542" s="19">
        <v>0.23125000000000001</v>
      </c>
    </row>
    <row r="543" spans="1:14" x14ac:dyDescent="0.3">
      <c r="A543" s="6" t="s">
        <v>11</v>
      </c>
      <c r="B543" s="6">
        <v>1200</v>
      </c>
      <c r="C543" s="6" t="s">
        <v>17</v>
      </c>
      <c r="D543" s="6" t="s">
        <v>924</v>
      </c>
      <c r="E543" s="6" t="s">
        <v>925</v>
      </c>
      <c r="F543" s="6" t="s">
        <v>814</v>
      </c>
      <c r="G543" s="6" t="s">
        <v>815</v>
      </c>
      <c r="H543" s="7">
        <v>39861.125</v>
      </c>
      <c r="I543" s="6">
        <v>52.2</v>
      </c>
      <c r="J543" s="6">
        <v>-2.2000000000000002</v>
      </c>
      <c r="K543" s="8"/>
      <c r="L543" s="5">
        <f t="shared" si="16"/>
        <v>2009</v>
      </c>
      <c r="M543" s="5">
        <f t="shared" si="17"/>
        <v>39861</v>
      </c>
      <c r="N543" s="18">
        <v>0.31180555555555556</v>
      </c>
    </row>
    <row r="544" spans="1:14" x14ac:dyDescent="0.3">
      <c r="A544" s="3" t="s">
        <v>11</v>
      </c>
      <c r="B544" s="3">
        <v>1200</v>
      </c>
      <c r="C544" s="3" t="s">
        <v>12</v>
      </c>
      <c r="D544" s="3" t="s">
        <v>539</v>
      </c>
      <c r="E544" s="3" t="s">
        <v>926</v>
      </c>
      <c r="F544" s="3" t="s">
        <v>814</v>
      </c>
      <c r="G544" s="3" t="s">
        <v>815</v>
      </c>
      <c r="H544" s="4">
        <v>39861.240972222222</v>
      </c>
      <c r="I544" s="3">
        <v>52.633333299999997</v>
      </c>
      <c r="J544" s="3">
        <v>-1.1333333000000001</v>
      </c>
      <c r="K544" s="5"/>
      <c r="L544" s="8">
        <f t="shared" si="16"/>
        <v>2009</v>
      </c>
      <c r="M544" s="8">
        <f t="shared" si="17"/>
        <v>39861</v>
      </c>
      <c r="N544" s="19">
        <v>0.49166666666666664</v>
      </c>
    </row>
    <row r="545" spans="1:14" x14ac:dyDescent="0.3">
      <c r="A545" s="6" t="s">
        <v>11</v>
      </c>
      <c r="B545" s="6">
        <v>1200</v>
      </c>
      <c r="C545" s="6" t="s">
        <v>12</v>
      </c>
      <c r="D545" s="6" t="s">
        <v>927</v>
      </c>
      <c r="E545" s="6" t="s">
        <v>928</v>
      </c>
      <c r="F545" s="6" t="s">
        <v>814</v>
      </c>
      <c r="G545" s="6" t="s">
        <v>815</v>
      </c>
      <c r="H545" s="7">
        <v>39863.901388888888</v>
      </c>
      <c r="I545" s="6">
        <v>51.6</v>
      </c>
      <c r="J545" s="6">
        <v>-0.55000000000000004</v>
      </c>
      <c r="K545" s="8"/>
      <c r="L545" s="5">
        <f t="shared" si="16"/>
        <v>2009</v>
      </c>
      <c r="M545" s="5">
        <f t="shared" si="17"/>
        <v>39863</v>
      </c>
      <c r="N545" s="18">
        <v>0.19027777777777777</v>
      </c>
    </row>
    <row r="546" spans="1:14" x14ac:dyDescent="0.3">
      <c r="A546" s="3" t="s">
        <v>11</v>
      </c>
      <c r="B546" s="3">
        <v>1200</v>
      </c>
      <c r="C546" s="3" t="s">
        <v>17</v>
      </c>
      <c r="D546" s="3" t="s">
        <v>929</v>
      </c>
      <c r="E546" s="3" t="s">
        <v>520</v>
      </c>
      <c r="F546" s="3" t="s">
        <v>814</v>
      </c>
      <c r="G546" s="3" t="s">
        <v>815</v>
      </c>
      <c r="H546" s="4">
        <v>39863.979166666664</v>
      </c>
      <c r="I546" s="3">
        <v>52.466666699999998</v>
      </c>
      <c r="J546" s="3">
        <v>-1.9166666999999999</v>
      </c>
      <c r="K546" s="5"/>
      <c r="L546" s="8">
        <f t="shared" si="16"/>
        <v>2009</v>
      </c>
      <c r="M546" s="8">
        <f t="shared" si="17"/>
        <v>39863</v>
      </c>
      <c r="N546" s="19">
        <v>0.27708333333333335</v>
      </c>
    </row>
    <row r="547" spans="1:14" x14ac:dyDescent="0.3">
      <c r="A547" s="6" t="s">
        <v>11</v>
      </c>
      <c r="B547" s="6">
        <v>1200</v>
      </c>
      <c r="C547" s="6" t="s">
        <v>17</v>
      </c>
      <c r="D547" s="6" t="s">
        <v>930</v>
      </c>
      <c r="E547" s="6" t="s">
        <v>895</v>
      </c>
      <c r="F547" s="6" t="s">
        <v>814</v>
      </c>
      <c r="G547" s="6" t="s">
        <v>815</v>
      </c>
      <c r="H547" s="7">
        <v>39865.066666666666</v>
      </c>
      <c r="I547" s="6">
        <v>51.75</v>
      </c>
      <c r="J547" s="6">
        <v>-1.25</v>
      </c>
      <c r="K547" s="8"/>
      <c r="L547" s="5">
        <f t="shared" si="16"/>
        <v>2009</v>
      </c>
      <c r="M547" s="5">
        <f t="shared" si="17"/>
        <v>39865</v>
      </c>
      <c r="N547" s="18">
        <v>0.36666666666666664</v>
      </c>
    </row>
    <row r="548" spans="1:14" x14ac:dyDescent="0.3">
      <c r="A548" s="3" t="s">
        <v>11</v>
      </c>
      <c r="B548" s="3">
        <v>1200</v>
      </c>
      <c r="C548" s="3" t="s">
        <v>17</v>
      </c>
      <c r="D548" s="3" t="s">
        <v>254</v>
      </c>
      <c r="E548" s="3" t="s">
        <v>931</v>
      </c>
      <c r="F548" s="3" t="s">
        <v>814</v>
      </c>
      <c r="G548" s="3" t="s">
        <v>815</v>
      </c>
      <c r="H548" s="4">
        <v>39866</v>
      </c>
      <c r="I548" s="3">
        <v>52.383333299999997</v>
      </c>
      <c r="J548" s="3">
        <v>-2.25</v>
      </c>
      <c r="K548" s="5"/>
      <c r="L548" s="5">
        <f t="shared" si="16"/>
        <v>2009</v>
      </c>
      <c r="M548" s="5">
        <f t="shared" si="17"/>
        <v>39866</v>
      </c>
      <c r="N548" s="18">
        <v>6.805555555555555E-2</v>
      </c>
    </row>
    <row r="549" spans="1:14" x14ac:dyDescent="0.3">
      <c r="A549" s="6" t="s">
        <v>11</v>
      </c>
      <c r="B549" s="6">
        <v>1200</v>
      </c>
      <c r="C549" s="6" t="s">
        <v>65</v>
      </c>
      <c r="D549" s="6" t="s">
        <v>932</v>
      </c>
      <c r="E549" s="6" t="s">
        <v>933</v>
      </c>
      <c r="F549" s="6" t="s">
        <v>814</v>
      </c>
      <c r="G549" s="6" t="s">
        <v>815</v>
      </c>
      <c r="H549" s="7">
        <v>39866.160416666666</v>
      </c>
      <c r="I549" s="6">
        <v>51.35</v>
      </c>
      <c r="J549" s="6">
        <v>-0.35</v>
      </c>
      <c r="K549" s="8"/>
      <c r="L549" s="8">
        <f t="shared" si="16"/>
        <v>2009</v>
      </c>
      <c r="M549" s="8">
        <f t="shared" si="17"/>
        <v>39866</v>
      </c>
      <c r="N549" s="19">
        <v>7.013888888888889E-2</v>
      </c>
    </row>
    <row r="550" spans="1:14" x14ac:dyDescent="0.3">
      <c r="A550" s="3" t="s">
        <v>11</v>
      </c>
      <c r="B550" s="3">
        <v>1200</v>
      </c>
      <c r="C550" s="3" t="s">
        <v>65</v>
      </c>
      <c r="D550" s="3" t="s">
        <v>37</v>
      </c>
      <c r="E550" s="3" t="s">
        <v>817</v>
      </c>
      <c r="F550" s="3" t="s">
        <v>814</v>
      </c>
      <c r="G550" s="3" t="s">
        <v>815</v>
      </c>
      <c r="H550" s="4">
        <v>39866.300000000003</v>
      </c>
      <c r="I550" s="3">
        <v>51.527209999999997</v>
      </c>
      <c r="J550" s="3">
        <v>0.14559</v>
      </c>
      <c r="K550" s="5"/>
      <c r="L550" s="5">
        <f t="shared" si="16"/>
        <v>2009</v>
      </c>
      <c r="M550" s="5">
        <f t="shared" si="17"/>
        <v>39866</v>
      </c>
      <c r="N550" s="18">
        <v>0.30069444444444443</v>
      </c>
    </row>
    <row r="551" spans="1:14" x14ac:dyDescent="0.3">
      <c r="A551" s="6" t="s">
        <v>11</v>
      </c>
      <c r="B551" s="6">
        <v>1200</v>
      </c>
      <c r="C551" s="6" t="s">
        <v>17</v>
      </c>
      <c r="D551" s="6" t="s">
        <v>934</v>
      </c>
      <c r="E551" s="6" t="s">
        <v>935</v>
      </c>
      <c r="F551" s="6" t="s">
        <v>814</v>
      </c>
      <c r="G551" s="6" t="s">
        <v>815</v>
      </c>
      <c r="H551" s="7">
        <v>39868.145138888889</v>
      </c>
      <c r="I551" s="6">
        <v>50.8333333</v>
      </c>
      <c r="J551" s="6">
        <v>-0.78333330000000001</v>
      </c>
      <c r="K551" s="8"/>
      <c r="L551" s="8">
        <f t="shared" si="16"/>
        <v>2009</v>
      </c>
      <c r="M551" s="8">
        <f t="shared" si="17"/>
        <v>39868</v>
      </c>
      <c r="N551" s="19">
        <v>8.819444444444445E-2</v>
      </c>
    </row>
    <row r="552" spans="1:14" x14ac:dyDescent="0.3">
      <c r="A552" s="3" t="s">
        <v>11</v>
      </c>
      <c r="B552" s="3">
        <v>1200</v>
      </c>
      <c r="C552" s="3" t="s">
        <v>12</v>
      </c>
      <c r="D552" s="3" t="s">
        <v>936</v>
      </c>
      <c r="E552" s="3" t="s">
        <v>937</v>
      </c>
      <c r="F552" s="3" t="s">
        <v>919</v>
      </c>
      <c r="G552" s="3" t="s">
        <v>815</v>
      </c>
      <c r="H552" s="4">
        <v>39868.3125</v>
      </c>
      <c r="I552" s="3">
        <v>51.5</v>
      </c>
      <c r="J552" s="3">
        <v>-3.2</v>
      </c>
      <c r="K552" s="5"/>
      <c r="L552" s="5">
        <f t="shared" si="16"/>
        <v>2009</v>
      </c>
      <c r="M552" s="5">
        <f t="shared" si="17"/>
        <v>39868</v>
      </c>
      <c r="N552" s="18">
        <v>0.10208333333333333</v>
      </c>
    </row>
    <row r="553" spans="1:14" x14ac:dyDescent="0.3">
      <c r="A553" s="6" t="s">
        <v>11</v>
      </c>
      <c r="B553" s="6">
        <v>1200</v>
      </c>
      <c r="C553" s="6" t="s">
        <v>65</v>
      </c>
      <c r="D553" s="6" t="s">
        <v>145</v>
      </c>
      <c r="E553" s="6" t="s">
        <v>938</v>
      </c>
      <c r="F553" s="6" t="s">
        <v>814</v>
      </c>
      <c r="G553" s="6" t="s">
        <v>815</v>
      </c>
      <c r="H553" s="7">
        <v>39868.440972222219</v>
      </c>
      <c r="I553" s="6">
        <v>51.133333299999997</v>
      </c>
      <c r="J553" s="6">
        <v>0.88333329999999999</v>
      </c>
      <c r="K553" s="8"/>
      <c r="L553" s="8">
        <f t="shared" si="16"/>
        <v>2009</v>
      </c>
      <c r="M553" s="8">
        <f t="shared" si="17"/>
        <v>39868</v>
      </c>
      <c r="N553" s="19">
        <v>0.13541666666666666</v>
      </c>
    </row>
    <row r="554" spans="1:14" x14ac:dyDescent="0.3">
      <c r="A554" s="3" t="s">
        <v>11</v>
      </c>
      <c r="B554" s="3">
        <v>1200</v>
      </c>
      <c r="C554" s="3" t="s">
        <v>12</v>
      </c>
      <c r="D554" s="3" t="s">
        <v>939</v>
      </c>
      <c r="E554" s="3" t="s">
        <v>817</v>
      </c>
      <c r="F554" s="3" t="s">
        <v>814</v>
      </c>
      <c r="G554" s="3" t="s">
        <v>815</v>
      </c>
      <c r="H554" s="4">
        <v>39868.567361111112</v>
      </c>
      <c r="I554" s="3">
        <v>51.527209999999997</v>
      </c>
      <c r="J554" s="3">
        <v>0.14559</v>
      </c>
      <c r="K554" s="5"/>
      <c r="L554" s="5">
        <f t="shared" si="16"/>
        <v>2009</v>
      </c>
      <c r="M554" s="5">
        <f t="shared" si="17"/>
        <v>39868</v>
      </c>
      <c r="N554" s="18">
        <v>0.39374999999999999</v>
      </c>
    </row>
    <row r="555" spans="1:14" x14ac:dyDescent="0.3">
      <c r="A555" s="6" t="s">
        <v>11</v>
      </c>
      <c r="B555" s="6">
        <v>1200</v>
      </c>
      <c r="C555" s="6" t="s">
        <v>12</v>
      </c>
      <c r="D555" s="6" t="s">
        <v>756</v>
      </c>
      <c r="E555" s="6" t="s">
        <v>938</v>
      </c>
      <c r="F555" s="6" t="s">
        <v>814</v>
      </c>
      <c r="G555" s="6" t="s">
        <v>815</v>
      </c>
      <c r="H555" s="7">
        <v>39869.429166666669</v>
      </c>
      <c r="I555" s="6">
        <v>51.1</v>
      </c>
      <c r="J555" s="6">
        <v>-4.0999999999999996</v>
      </c>
      <c r="K555" s="8"/>
      <c r="L555" s="5">
        <f t="shared" si="16"/>
        <v>2009</v>
      </c>
      <c r="M555" s="5">
        <f t="shared" si="17"/>
        <v>39869</v>
      </c>
      <c r="N555" s="18">
        <v>0.41249999999999998</v>
      </c>
    </row>
    <row r="556" spans="1:14" x14ac:dyDescent="0.3">
      <c r="A556" s="3" t="s">
        <v>11</v>
      </c>
      <c r="B556" s="3">
        <v>1200</v>
      </c>
      <c r="C556" s="3" t="s">
        <v>17</v>
      </c>
      <c r="D556" s="3" t="s">
        <v>309</v>
      </c>
      <c r="E556" s="3" t="s">
        <v>909</v>
      </c>
      <c r="F556" s="3" t="s">
        <v>814</v>
      </c>
      <c r="G556" s="3" t="s">
        <v>815</v>
      </c>
      <c r="H556" s="4">
        <v>39869.63958333333</v>
      </c>
      <c r="I556" s="3">
        <v>51.6666667</v>
      </c>
      <c r="J556" s="3">
        <v>-0.4</v>
      </c>
      <c r="K556" s="5"/>
      <c r="L556" s="8">
        <f t="shared" si="16"/>
        <v>2009</v>
      </c>
      <c r="M556" s="8">
        <f t="shared" si="17"/>
        <v>39869</v>
      </c>
      <c r="N556" s="19">
        <v>0.48958333333333331</v>
      </c>
    </row>
    <row r="557" spans="1:14" x14ac:dyDescent="0.3">
      <c r="A557" s="6" t="s">
        <v>11</v>
      </c>
      <c r="B557" s="6">
        <v>1200</v>
      </c>
      <c r="C557" s="6" t="s">
        <v>12</v>
      </c>
      <c r="D557" s="6" t="s">
        <v>727</v>
      </c>
      <c r="E557" s="6" t="s">
        <v>847</v>
      </c>
      <c r="F557" s="6" t="s">
        <v>840</v>
      </c>
      <c r="G557" s="6" t="s">
        <v>815</v>
      </c>
      <c r="H557" s="7">
        <v>39871.607638888891</v>
      </c>
      <c r="I557" s="6">
        <v>55.95</v>
      </c>
      <c r="J557" s="6">
        <v>-3.2</v>
      </c>
      <c r="K557" s="8"/>
      <c r="L557" s="5">
        <f t="shared" si="16"/>
        <v>2009</v>
      </c>
      <c r="M557" s="5">
        <f t="shared" si="17"/>
        <v>39871</v>
      </c>
      <c r="N557" s="18">
        <v>0.24722222222222223</v>
      </c>
    </row>
    <row r="558" spans="1:14" x14ac:dyDescent="0.3">
      <c r="A558" s="3" t="s">
        <v>11</v>
      </c>
      <c r="B558" s="3">
        <v>1200</v>
      </c>
      <c r="C558" s="3" t="s">
        <v>12</v>
      </c>
      <c r="D558" s="3" t="s">
        <v>940</v>
      </c>
      <c r="E558" s="3" t="s">
        <v>941</v>
      </c>
      <c r="F558" s="3" t="s">
        <v>814</v>
      </c>
      <c r="G558" s="3" t="s">
        <v>815</v>
      </c>
      <c r="H558" s="4">
        <v>39872.102777777778</v>
      </c>
      <c r="I558" s="3">
        <v>51.266666700000002</v>
      </c>
      <c r="J558" s="3">
        <v>0.51666670000000003</v>
      </c>
      <c r="K558" s="5"/>
      <c r="L558" s="8">
        <f t="shared" si="16"/>
        <v>2009</v>
      </c>
      <c r="M558" s="8">
        <f t="shared" si="17"/>
        <v>39872</v>
      </c>
      <c r="N558" s="19">
        <v>0.39444444444444443</v>
      </c>
    </row>
    <row r="559" spans="1:14" x14ac:dyDescent="0.3">
      <c r="A559" s="6" t="s">
        <v>11</v>
      </c>
      <c r="B559" s="6">
        <v>1200</v>
      </c>
      <c r="C559" s="6" t="s">
        <v>12</v>
      </c>
      <c r="D559" s="6" t="s">
        <v>942</v>
      </c>
      <c r="E559" s="6" t="s">
        <v>943</v>
      </c>
      <c r="F559" s="6" t="s">
        <v>814</v>
      </c>
      <c r="G559" s="6" t="s">
        <v>815</v>
      </c>
      <c r="H559" s="7">
        <v>39872.154861111114</v>
      </c>
      <c r="I559" s="6">
        <v>51.75</v>
      </c>
      <c r="J559" s="6">
        <v>-0.3333333</v>
      </c>
      <c r="K559" s="8"/>
      <c r="L559" s="5">
        <f t="shared" si="16"/>
        <v>2009</v>
      </c>
      <c r="M559" s="5">
        <f t="shared" si="17"/>
        <v>39872</v>
      </c>
      <c r="N559" s="18">
        <v>0.19027777777777777</v>
      </c>
    </row>
    <row r="560" spans="1:14" x14ac:dyDescent="0.3">
      <c r="A560" s="3" t="s">
        <v>11</v>
      </c>
      <c r="B560" s="3">
        <v>1200</v>
      </c>
      <c r="C560" s="3" t="s">
        <v>12</v>
      </c>
      <c r="D560" s="3" t="s">
        <v>279</v>
      </c>
      <c r="E560" s="3" t="s">
        <v>944</v>
      </c>
      <c r="F560" s="3" t="s">
        <v>814</v>
      </c>
      <c r="G560" s="3" t="s">
        <v>815</v>
      </c>
      <c r="H560" s="4">
        <v>39872.390277777777</v>
      </c>
      <c r="I560" s="3">
        <v>51.383333299999997</v>
      </c>
      <c r="J560" s="3">
        <v>0.4</v>
      </c>
      <c r="K560" s="5"/>
      <c r="L560" s="8">
        <f t="shared" si="16"/>
        <v>2009</v>
      </c>
      <c r="M560" s="8">
        <f t="shared" si="17"/>
        <v>39872</v>
      </c>
      <c r="N560" s="19">
        <v>0.12291666666666666</v>
      </c>
    </row>
    <row r="561" spans="1:14" x14ac:dyDescent="0.3">
      <c r="A561" s="6" t="s">
        <v>11</v>
      </c>
      <c r="B561" s="6">
        <v>1200</v>
      </c>
      <c r="C561" s="6" t="s">
        <v>12</v>
      </c>
      <c r="D561" s="6" t="s">
        <v>945</v>
      </c>
      <c r="E561" s="6" t="s">
        <v>946</v>
      </c>
      <c r="F561" s="6" t="s">
        <v>814</v>
      </c>
      <c r="G561" s="6" t="s">
        <v>815</v>
      </c>
      <c r="H561" s="7">
        <v>39872.42083333333</v>
      </c>
      <c r="I561" s="6">
        <v>50.8333333</v>
      </c>
      <c r="J561" s="6">
        <v>-0.15</v>
      </c>
      <c r="K561" s="8"/>
      <c r="L561" s="5">
        <f t="shared" si="16"/>
        <v>2009</v>
      </c>
      <c r="M561" s="5">
        <f t="shared" si="17"/>
        <v>39872</v>
      </c>
      <c r="N561" s="18">
        <v>0.2048611111111111</v>
      </c>
    </row>
    <row r="562" spans="1:14" x14ac:dyDescent="0.3">
      <c r="A562" s="3" t="s">
        <v>21</v>
      </c>
      <c r="B562" s="3">
        <v>100000</v>
      </c>
      <c r="C562" s="3" t="s">
        <v>17</v>
      </c>
      <c r="D562" s="3" t="s">
        <v>947</v>
      </c>
      <c r="E562" s="3" t="s">
        <v>948</v>
      </c>
      <c r="F562" s="3" t="s">
        <v>814</v>
      </c>
      <c r="G562" s="3" t="s">
        <v>815</v>
      </c>
      <c r="H562" s="4">
        <v>39873.145138888889</v>
      </c>
      <c r="I562" s="3">
        <v>53.65</v>
      </c>
      <c r="J562" s="3">
        <v>-1.7833333</v>
      </c>
      <c r="K562" s="5"/>
      <c r="L562" s="5">
        <f t="shared" si="16"/>
        <v>2009</v>
      </c>
      <c r="M562" s="5">
        <f t="shared" si="17"/>
        <v>39873</v>
      </c>
      <c r="N562" s="18">
        <v>0.44583333333333336</v>
      </c>
    </row>
    <row r="563" spans="1:14" x14ac:dyDescent="0.3">
      <c r="A563" s="6" t="s">
        <v>11</v>
      </c>
      <c r="B563" s="6">
        <v>1200</v>
      </c>
      <c r="C563" s="6" t="s">
        <v>12</v>
      </c>
      <c r="D563" s="6" t="s">
        <v>949</v>
      </c>
      <c r="E563" s="6" t="s">
        <v>950</v>
      </c>
      <c r="F563" s="6" t="s">
        <v>830</v>
      </c>
      <c r="G563" s="6" t="s">
        <v>815</v>
      </c>
      <c r="H563" s="7">
        <v>39873.150694444441</v>
      </c>
      <c r="I563" s="6">
        <v>54.5833333</v>
      </c>
      <c r="J563" s="6">
        <v>-5.9333333000000001</v>
      </c>
      <c r="K563" s="8"/>
      <c r="L563" s="8">
        <f t="shared" si="16"/>
        <v>2009</v>
      </c>
      <c r="M563" s="8">
        <f t="shared" si="17"/>
        <v>39873</v>
      </c>
      <c r="N563" s="19">
        <v>0.10069444444444445</v>
      </c>
    </row>
    <row r="564" spans="1:14" x14ac:dyDescent="0.3">
      <c r="A564" s="3" t="s">
        <v>11</v>
      </c>
      <c r="B564" s="3">
        <v>1200</v>
      </c>
      <c r="C564" s="3" t="s">
        <v>17</v>
      </c>
      <c r="D564" s="3" t="s">
        <v>951</v>
      </c>
      <c r="E564" s="3" t="s">
        <v>952</v>
      </c>
      <c r="F564" s="3" t="s">
        <v>814</v>
      </c>
      <c r="G564" s="3" t="s">
        <v>815</v>
      </c>
      <c r="H564" s="4">
        <v>39873.311111111114</v>
      </c>
      <c r="I564" s="3">
        <v>52.0833333</v>
      </c>
      <c r="J564" s="3">
        <v>0.43333329999999998</v>
      </c>
      <c r="K564" s="5"/>
      <c r="L564" s="5">
        <f t="shared" si="16"/>
        <v>2009</v>
      </c>
      <c r="M564" s="5">
        <f t="shared" si="17"/>
        <v>39873</v>
      </c>
      <c r="N564" s="18">
        <v>0.49652777777777779</v>
      </c>
    </row>
    <row r="565" spans="1:14" x14ac:dyDescent="0.3">
      <c r="A565" s="6" t="s">
        <v>11</v>
      </c>
      <c r="B565" s="6">
        <v>1200</v>
      </c>
      <c r="C565" s="6" t="s">
        <v>12</v>
      </c>
      <c r="D565" s="6" t="s">
        <v>261</v>
      </c>
      <c r="E565" s="6" t="s">
        <v>953</v>
      </c>
      <c r="F565" s="6" t="s">
        <v>954</v>
      </c>
      <c r="G565" s="6" t="s">
        <v>955</v>
      </c>
      <c r="H565" s="7">
        <v>39827.893055555556</v>
      </c>
      <c r="I565" s="6">
        <v>25.209722200000002</v>
      </c>
      <c r="J565" s="6">
        <v>55.247777800000001</v>
      </c>
      <c r="K565" s="8"/>
      <c r="L565" s="8">
        <f t="shared" si="16"/>
        <v>2009</v>
      </c>
      <c r="M565" s="8">
        <f t="shared" si="17"/>
        <v>39827</v>
      </c>
      <c r="N565" s="19">
        <v>0.47152777777777777</v>
      </c>
    </row>
    <row r="566" spans="1:14" x14ac:dyDescent="0.3">
      <c r="A566" s="3" t="s">
        <v>11</v>
      </c>
      <c r="B566" s="3">
        <v>1200</v>
      </c>
      <c r="C566" s="3" t="s">
        <v>17</v>
      </c>
      <c r="D566" s="3" t="s">
        <v>956</v>
      </c>
      <c r="E566" s="3" t="s">
        <v>957</v>
      </c>
      <c r="F566" s="3" t="s">
        <v>958</v>
      </c>
      <c r="G566" s="3" t="s">
        <v>955</v>
      </c>
      <c r="H566" s="4">
        <v>39843.364583333336</v>
      </c>
      <c r="I566" s="3">
        <v>24.466666700000001</v>
      </c>
      <c r="J566" s="3">
        <v>54.366666700000003</v>
      </c>
      <c r="K566" s="5"/>
      <c r="L566" s="5">
        <f t="shared" si="16"/>
        <v>2009</v>
      </c>
      <c r="M566" s="5">
        <f t="shared" si="17"/>
        <v>39843</v>
      </c>
      <c r="N566" s="18">
        <v>0.40902777777777777</v>
      </c>
    </row>
    <row r="567" spans="1:14" x14ac:dyDescent="0.3">
      <c r="A567" s="6" t="s">
        <v>11</v>
      </c>
      <c r="B567" s="6">
        <v>1200</v>
      </c>
      <c r="C567" s="6" t="s">
        <v>12</v>
      </c>
      <c r="D567" s="6" t="s">
        <v>419</v>
      </c>
      <c r="E567" s="6" t="s">
        <v>953</v>
      </c>
      <c r="F567" s="6" t="s">
        <v>954</v>
      </c>
      <c r="G567" s="6" t="s">
        <v>955</v>
      </c>
      <c r="H567" s="7">
        <v>39845.429166666669</v>
      </c>
      <c r="I567" s="6">
        <v>25.209722200000002</v>
      </c>
      <c r="J567" s="6">
        <v>55.247777800000001</v>
      </c>
      <c r="K567" s="8"/>
      <c r="L567" s="8">
        <f t="shared" si="16"/>
        <v>2009</v>
      </c>
      <c r="M567" s="8">
        <f t="shared" si="17"/>
        <v>39845</v>
      </c>
      <c r="N567" s="19">
        <v>0.3298611111111111</v>
      </c>
    </row>
    <row r="568" spans="1:14" x14ac:dyDescent="0.3">
      <c r="A568" s="3" t="s">
        <v>21</v>
      </c>
      <c r="B568" s="3">
        <v>100000</v>
      </c>
      <c r="C568" s="3" t="s">
        <v>12</v>
      </c>
      <c r="D568" s="3" t="s">
        <v>56</v>
      </c>
      <c r="E568" s="3" t="s">
        <v>959</v>
      </c>
      <c r="F568" s="3" t="s">
        <v>954</v>
      </c>
      <c r="G568" s="3" t="s">
        <v>955</v>
      </c>
      <c r="H568" s="4">
        <v>39852.087500000001</v>
      </c>
      <c r="I568" s="3">
        <v>25.252222199999999</v>
      </c>
      <c r="J568" s="3">
        <v>55.28</v>
      </c>
      <c r="K568" s="5"/>
      <c r="L568" s="5">
        <f t="shared" si="16"/>
        <v>2009</v>
      </c>
      <c r="M568" s="5">
        <f t="shared" si="17"/>
        <v>39852</v>
      </c>
      <c r="N568" s="18">
        <v>0.11527777777777778</v>
      </c>
    </row>
    <row r="569" spans="1:14" x14ac:dyDescent="0.3">
      <c r="A569" s="6" t="s">
        <v>21</v>
      </c>
      <c r="B569" s="6">
        <v>100000</v>
      </c>
      <c r="C569" s="6" t="s">
        <v>12</v>
      </c>
      <c r="D569" s="6" t="s">
        <v>960</v>
      </c>
      <c r="E569" s="6" t="s">
        <v>959</v>
      </c>
      <c r="F569" s="6" t="s">
        <v>954</v>
      </c>
      <c r="G569" s="6" t="s">
        <v>955</v>
      </c>
      <c r="H569" s="7">
        <v>39852.091666666667</v>
      </c>
      <c r="I569" s="6">
        <v>25.252222199999999</v>
      </c>
      <c r="J569" s="6">
        <v>55.28</v>
      </c>
      <c r="K569" s="8"/>
      <c r="L569" s="5">
        <f t="shared" si="16"/>
        <v>2009</v>
      </c>
      <c r="M569" s="5">
        <f t="shared" si="17"/>
        <v>39852</v>
      </c>
      <c r="N569" s="18">
        <v>0.36527777777777776</v>
      </c>
    </row>
    <row r="570" spans="1:14" x14ac:dyDescent="0.3">
      <c r="A570" s="3" t="s">
        <v>11</v>
      </c>
      <c r="B570" s="3">
        <v>1200</v>
      </c>
      <c r="C570" s="3" t="s">
        <v>12</v>
      </c>
      <c r="D570" s="3" t="s">
        <v>961</v>
      </c>
      <c r="E570" s="3" t="s">
        <v>959</v>
      </c>
      <c r="F570" s="3" t="s">
        <v>954</v>
      </c>
      <c r="G570" s="3" t="s">
        <v>955</v>
      </c>
      <c r="H570" s="4">
        <v>39867.292361111111</v>
      </c>
      <c r="I570" s="3">
        <v>25.252222199999999</v>
      </c>
      <c r="J570" s="3">
        <v>55.28</v>
      </c>
      <c r="K570" s="5"/>
      <c r="L570" s="8">
        <f t="shared" si="16"/>
        <v>2009</v>
      </c>
      <c r="M570" s="8">
        <f t="shared" si="17"/>
        <v>39867</v>
      </c>
      <c r="N570" s="19">
        <v>0.33958333333333335</v>
      </c>
    </row>
    <row r="571" spans="1:14" x14ac:dyDescent="0.3">
      <c r="A571" s="6" t="s">
        <v>11</v>
      </c>
      <c r="B571" s="6">
        <v>1200</v>
      </c>
      <c r="C571" s="6" t="s">
        <v>12</v>
      </c>
      <c r="D571" s="6" t="s">
        <v>962</v>
      </c>
      <c r="E571" s="6" t="s">
        <v>963</v>
      </c>
      <c r="F571" s="6" t="s">
        <v>964</v>
      </c>
      <c r="G571" s="6" t="s">
        <v>965</v>
      </c>
      <c r="H571" s="7">
        <v>39864.156944444447</v>
      </c>
      <c r="I571" s="6">
        <v>50.516666700000002</v>
      </c>
      <c r="J571" s="6">
        <v>30.25</v>
      </c>
      <c r="K571" s="8"/>
      <c r="L571" s="5">
        <f t="shared" si="16"/>
        <v>2009</v>
      </c>
      <c r="M571" s="5">
        <f t="shared" si="17"/>
        <v>39864</v>
      </c>
      <c r="N571" s="18">
        <v>0.28541666666666665</v>
      </c>
    </row>
    <row r="572" spans="1:14" x14ac:dyDescent="0.3">
      <c r="A572" s="3" t="s">
        <v>11</v>
      </c>
      <c r="B572" s="3">
        <v>1200</v>
      </c>
      <c r="C572" s="3" t="s">
        <v>12</v>
      </c>
      <c r="D572" s="3" t="s">
        <v>966</v>
      </c>
      <c r="E572" s="3" t="s">
        <v>967</v>
      </c>
      <c r="F572" s="3" t="s">
        <v>968</v>
      </c>
      <c r="G572" s="3" t="s">
        <v>969</v>
      </c>
      <c r="H572" s="4">
        <v>39830.081250000003</v>
      </c>
      <c r="I572" s="3">
        <v>40.616666700000003</v>
      </c>
      <c r="J572" s="3">
        <v>29.066666699999999</v>
      </c>
      <c r="K572" s="5"/>
      <c r="L572" s="8">
        <f t="shared" si="16"/>
        <v>2009</v>
      </c>
      <c r="M572" s="8">
        <f t="shared" si="17"/>
        <v>39830</v>
      </c>
      <c r="N572" s="19">
        <v>0.53472222222222221</v>
      </c>
    </row>
    <row r="573" spans="1:14" x14ac:dyDescent="0.3">
      <c r="A573" s="6" t="s">
        <v>11</v>
      </c>
      <c r="B573" s="6">
        <v>1200</v>
      </c>
      <c r="C573" s="6" t="s">
        <v>12</v>
      </c>
      <c r="D573" s="6" t="s">
        <v>77</v>
      </c>
      <c r="E573" s="6" t="s">
        <v>970</v>
      </c>
      <c r="F573" s="6" t="s">
        <v>968</v>
      </c>
      <c r="G573" s="6" t="s">
        <v>969</v>
      </c>
      <c r="H573" s="7">
        <v>39832.317361111112</v>
      </c>
      <c r="I573" s="6">
        <v>41.198055600000004</v>
      </c>
      <c r="J573" s="6">
        <v>29.0302778</v>
      </c>
      <c r="K573" s="8"/>
      <c r="L573" s="5">
        <f t="shared" si="16"/>
        <v>2009</v>
      </c>
      <c r="M573" s="5">
        <f t="shared" si="17"/>
        <v>39832</v>
      </c>
      <c r="N573" s="18">
        <v>0.41249999999999998</v>
      </c>
    </row>
    <row r="574" spans="1:14" x14ac:dyDescent="0.3">
      <c r="A574" s="3" t="s">
        <v>11</v>
      </c>
      <c r="B574" s="3">
        <v>1200</v>
      </c>
      <c r="C574" s="3" t="s">
        <v>12</v>
      </c>
      <c r="D574" s="3" t="s">
        <v>971</v>
      </c>
      <c r="E574" s="3" t="s">
        <v>972</v>
      </c>
      <c r="F574" s="3" t="s">
        <v>968</v>
      </c>
      <c r="G574" s="3" t="s">
        <v>969</v>
      </c>
      <c r="H574" s="4">
        <v>39861.061805555553</v>
      </c>
      <c r="I574" s="3">
        <v>41.159444399999998</v>
      </c>
      <c r="J574" s="3">
        <v>28.912777800000001</v>
      </c>
      <c r="K574" s="5"/>
      <c r="L574" s="8">
        <f t="shared" si="16"/>
        <v>2009</v>
      </c>
      <c r="M574" s="8">
        <f t="shared" si="17"/>
        <v>39861</v>
      </c>
      <c r="N574" s="19">
        <v>0.45833333333333331</v>
      </c>
    </row>
    <row r="575" spans="1:14" x14ac:dyDescent="0.3">
      <c r="A575" s="6" t="s">
        <v>11</v>
      </c>
      <c r="B575" s="6">
        <v>1200</v>
      </c>
      <c r="C575" s="6" t="s">
        <v>12</v>
      </c>
      <c r="D575" s="6" t="s">
        <v>973</v>
      </c>
      <c r="E575" s="6" t="s">
        <v>974</v>
      </c>
      <c r="F575" s="6" t="s">
        <v>968</v>
      </c>
      <c r="G575" s="6" t="s">
        <v>969</v>
      </c>
      <c r="H575" s="7">
        <v>39862.018750000003</v>
      </c>
      <c r="I575" s="6">
        <v>41.1438889</v>
      </c>
      <c r="J575" s="6">
        <v>29.090555599999998</v>
      </c>
      <c r="K575" s="8"/>
      <c r="L575" s="5">
        <f t="shared" si="16"/>
        <v>2009</v>
      </c>
      <c r="M575" s="5">
        <f t="shared" si="17"/>
        <v>39862</v>
      </c>
      <c r="N575" s="18">
        <v>9.4444444444444442E-2</v>
      </c>
    </row>
    <row r="576" spans="1:14" x14ac:dyDescent="0.3">
      <c r="A576" s="3" t="s">
        <v>11</v>
      </c>
      <c r="B576" s="3">
        <v>1200</v>
      </c>
      <c r="C576" s="3" t="s">
        <v>12</v>
      </c>
      <c r="D576" s="3" t="s">
        <v>975</v>
      </c>
      <c r="E576" s="3" t="s">
        <v>968</v>
      </c>
      <c r="F576" s="3" t="s">
        <v>968</v>
      </c>
      <c r="G576" s="3" t="s">
        <v>969</v>
      </c>
      <c r="H576" s="4">
        <v>39865.579861111109</v>
      </c>
      <c r="I576" s="3">
        <v>41.018611100000001</v>
      </c>
      <c r="J576" s="3">
        <v>28.964722200000001</v>
      </c>
      <c r="K576" s="5"/>
      <c r="L576" s="5">
        <f t="shared" si="16"/>
        <v>2009</v>
      </c>
      <c r="M576" s="5">
        <f t="shared" si="17"/>
        <v>39865</v>
      </c>
      <c r="N576" s="18">
        <v>0.52638888888888891</v>
      </c>
    </row>
    <row r="577" spans="1:14" x14ac:dyDescent="0.3">
      <c r="A577" s="6" t="s">
        <v>11</v>
      </c>
      <c r="B577" s="6">
        <v>1200</v>
      </c>
      <c r="C577" s="6" t="s">
        <v>12</v>
      </c>
      <c r="D577" s="6" t="s">
        <v>976</v>
      </c>
      <c r="E577" s="6" t="s">
        <v>977</v>
      </c>
      <c r="F577" s="6" t="s">
        <v>977</v>
      </c>
      <c r="G577" s="6" t="s">
        <v>969</v>
      </c>
      <c r="H577" s="7">
        <v>39872.412499999999</v>
      </c>
      <c r="I577" s="6">
        <v>38.4072222</v>
      </c>
      <c r="J577" s="6">
        <v>27.150277800000001</v>
      </c>
      <c r="K577" s="8"/>
      <c r="L577" s="8">
        <f t="shared" si="16"/>
        <v>2009</v>
      </c>
      <c r="M577" s="8">
        <f t="shared" si="17"/>
        <v>39872</v>
      </c>
      <c r="N577" s="19">
        <v>5.486111111111111E-2</v>
      </c>
    </row>
    <row r="578" spans="1:14" x14ac:dyDescent="0.3">
      <c r="A578" s="3" t="s">
        <v>11</v>
      </c>
      <c r="B578" s="3">
        <v>1200</v>
      </c>
      <c r="C578" s="3" t="s">
        <v>12</v>
      </c>
      <c r="D578" s="3" t="s">
        <v>978</v>
      </c>
      <c r="E578" s="3" t="s">
        <v>979</v>
      </c>
      <c r="F578" s="3" t="s">
        <v>980</v>
      </c>
      <c r="G578" s="3" t="s">
        <v>981</v>
      </c>
      <c r="H578" s="4">
        <v>39856.811111111114</v>
      </c>
      <c r="I578" s="3">
        <v>25.05</v>
      </c>
      <c r="J578" s="3">
        <v>-77.416666699999993</v>
      </c>
      <c r="K578" s="5"/>
      <c r="L578" s="5">
        <f t="shared" ref="L578:L641" si="18">YEAR(H578)</f>
        <v>2009</v>
      </c>
      <c r="M578" s="5">
        <f t="shared" ref="M578:M641" si="19">INT(H578)</f>
        <v>39856</v>
      </c>
      <c r="N578" s="18">
        <v>0.25416666666666665</v>
      </c>
    </row>
    <row r="579" spans="1:14" x14ac:dyDescent="0.3">
      <c r="A579" s="6" t="s">
        <v>11</v>
      </c>
      <c r="B579" s="6">
        <v>1200</v>
      </c>
      <c r="C579" s="6" t="s">
        <v>12</v>
      </c>
      <c r="D579" s="6" t="s">
        <v>982</v>
      </c>
      <c r="E579" s="6" t="s">
        <v>983</v>
      </c>
      <c r="F579" s="6" t="s">
        <v>984</v>
      </c>
      <c r="G579" s="6" t="s">
        <v>981</v>
      </c>
      <c r="H579" s="7">
        <v>39858.85833333333</v>
      </c>
      <c r="I579" s="6">
        <v>26.533333299999999</v>
      </c>
      <c r="J579" s="6">
        <v>-78.7</v>
      </c>
      <c r="K579" s="8"/>
      <c r="L579" s="8">
        <f t="shared" si="18"/>
        <v>2009</v>
      </c>
      <c r="M579" s="8">
        <f t="shared" si="19"/>
        <v>39858</v>
      </c>
      <c r="N579" s="19">
        <v>0.375</v>
      </c>
    </row>
    <row r="580" spans="1:14" x14ac:dyDescent="0.3">
      <c r="A580" s="3" t="s">
        <v>21</v>
      </c>
      <c r="B580" s="3">
        <v>100000</v>
      </c>
      <c r="C580" s="3" t="s">
        <v>17</v>
      </c>
      <c r="D580" s="3" t="s">
        <v>985</v>
      </c>
      <c r="E580" s="3" t="s">
        <v>986</v>
      </c>
      <c r="F580" s="3" t="s">
        <v>987</v>
      </c>
      <c r="G580" s="3" t="s">
        <v>988</v>
      </c>
      <c r="H580" s="4">
        <v>39849.890277777777</v>
      </c>
      <c r="I580" s="3">
        <v>13.9166667</v>
      </c>
      <c r="J580" s="3">
        <v>100.8166667</v>
      </c>
      <c r="K580" s="5"/>
      <c r="L580" s="5">
        <f t="shared" si="18"/>
        <v>2009</v>
      </c>
      <c r="M580" s="5">
        <f t="shared" si="19"/>
        <v>39849</v>
      </c>
      <c r="N580" s="18">
        <v>0.31180555555555556</v>
      </c>
    </row>
    <row r="581" spans="1:14" x14ac:dyDescent="0.3">
      <c r="A581" s="6" t="s">
        <v>11</v>
      </c>
      <c r="B581" s="6">
        <v>1200</v>
      </c>
      <c r="C581" s="6" t="s">
        <v>12</v>
      </c>
      <c r="D581" s="6" t="s">
        <v>989</v>
      </c>
      <c r="E581" s="6" t="s">
        <v>990</v>
      </c>
      <c r="F581" s="6" t="s">
        <v>990</v>
      </c>
      <c r="G581" s="6" t="s">
        <v>988</v>
      </c>
      <c r="H581" s="7">
        <v>39868.050000000003</v>
      </c>
      <c r="I581" s="6">
        <v>7.8833333000000003</v>
      </c>
      <c r="J581" s="6">
        <v>98.4</v>
      </c>
      <c r="K581" s="8"/>
      <c r="L581" s="8">
        <f t="shared" si="18"/>
        <v>2009</v>
      </c>
      <c r="M581" s="8">
        <f t="shared" si="19"/>
        <v>39868</v>
      </c>
      <c r="N581" s="19">
        <v>0.47291666666666665</v>
      </c>
    </row>
    <row r="582" spans="1:14" x14ac:dyDescent="0.3">
      <c r="A582" s="3" t="s">
        <v>11</v>
      </c>
      <c r="B582" s="3">
        <v>1200</v>
      </c>
      <c r="C582" s="3" t="s">
        <v>17</v>
      </c>
      <c r="D582" s="3" t="s">
        <v>991</v>
      </c>
      <c r="E582" s="3" t="s">
        <v>992</v>
      </c>
      <c r="F582" s="3" t="s">
        <v>993</v>
      </c>
      <c r="G582" s="3" t="s">
        <v>994</v>
      </c>
      <c r="H582" s="4">
        <v>39821.305555555555</v>
      </c>
      <c r="I582" s="3">
        <v>46.233333299999998</v>
      </c>
      <c r="J582" s="3">
        <v>6.2</v>
      </c>
      <c r="K582" s="5"/>
      <c r="L582" s="5">
        <f t="shared" si="18"/>
        <v>2009</v>
      </c>
      <c r="M582" s="5">
        <f t="shared" si="19"/>
        <v>39821</v>
      </c>
      <c r="N582" s="18">
        <v>8.2638888888888887E-2</v>
      </c>
    </row>
    <row r="583" spans="1:14" x14ac:dyDescent="0.3">
      <c r="A583" s="6" t="s">
        <v>21</v>
      </c>
      <c r="B583" s="6">
        <v>100000</v>
      </c>
      <c r="C583" s="6" t="s">
        <v>17</v>
      </c>
      <c r="D583" s="6" t="s">
        <v>995</v>
      </c>
      <c r="E583" s="6" t="s">
        <v>996</v>
      </c>
      <c r="F583" s="6" t="s">
        <v>997</v>
      </c>
      <c r="G583" s="6" t="s">
        <v>994</v>
      </c>
      <c r="H583" s="7">
        <v>39825.288194444445</v>
      </c>
      <c r="I583" s="6">
        <v>46.533333300000002</v>
      </c>
      <c r="J583" s="6">
        <v>6.6666667000000004</v>
      </c>
      <c r="K583" s="8"/>
      <c r="L583" s="5">
        <f t="shared" si="18"/>
        <v>2009</v>
      </c>
      <c r="M583" s="5">
        <f t="shared" si="19"/>
        <v>39825</v>
      </c>
      <c r="N583" s="18">
        <v>0.5083333333333333</v>
      </c>
    </row>
    <row r="584" spans="1:14" x14ac:dyDescent="0.3">
      <c r="A584" s="3" t="s">
        <v>11</v>
      </c>
      <c r="B584" s="3">
        <v>1200</v>
      </c>
      <c r="C584" s="3" t="s">
        <v>17</v>
      </c>
      <c r="D584" s="3" t="s">
        <v>723</v>
      </c>
      <c r="E584" s="3" t="s">
        <v>998</v>
      </c>
      <c r="F584" s="3" t="s">
        <v>997</v>
      </c>
      <c r="G584" s="3" t="s">
        <v>994</v>
      </c>
      <c r="H584" s="4">
        <v>39825.586111111108</v>
      </c>
      <c r="I584" s="3">
        <v>46.516666700000002</v>
      </c>
      <c r="J584" s="3">
        <v>6.5</v>
      </c>
      <c r="K584" s="5"/>
      <c r="L584" s="8">
        <f t="shared" si="18"/>
        <v>2009</v>
      </c>
      <c r="M584" s="8">
        <f t="shared" si="19"/>
        <v>39825</v>
      </c>
      <c r="N584" s="19">
        <v>7.7777777777777779E-2</v>
      </c>
    </row>
    <row r="585" spans="1:14" x14ac:dyDescent="0.3">
      <c r="A585" s="6" t="s">
        <v>11</v>
      </c>
      <c r="B585" s="6">
        <v>1200</v>
      </c>
      <c r="C585" s="6" t="s">
        <v>12</v>
      </c>
      <c r="D585" s="6" t="s">
        <v>999</v>
      </c>
      <c r="E585" s="6" t="s">
        <v>1000</v>
      </c>
      <c r="F585" s="6" t="s">
        <v>1001</v>
      </c>
      <c r="G585" s="6" t="s">
        <v>994</v>
      </c>
      <c r="H585" s="7">
        <v>39831.26458333333</v>
      </c>
      <c r="I585" s="6">
        <v>47.2</v>
      </c>
      <c r="J585" s="6">
        <v>8.75</v>
      </c>
      <c r="K585" s="8"/>
      <c r="L585" s="5">
        <f t="shared" si="18"/>
        <v>2009</v>
      </c>
      <c r="M585" s="5">
        <f t="shared" si="19"/>
        <v>39831</v>
      </c>
      <c r="N585" s="18">
        <v>0.27083333333333331</v>
      </c>
    </row>
    <row r="586" spans="1:14" x14ac:dyDescent="0.3">
      <c r="A586" s="3" t="s">
        <v>21</v>
      </c>
      <c r="B586" s="3">
        <v>100000</v>
      </c>
      <c r="C586" s="3" t="s">
        <v>12</v>
      </c>
      <c r="D586" s="3" t="s">
        <v>717</v>
      </c>
      <c r="E586" s="3" t="s">
        <v>1002</v>
      </c>
      <c r="F586" s="3" t="s">
        <v>1003</v>
      </c>
      <c r="G586" s="3" t="s">
        <v>994</v>
      </c>
      <c r="H586" s="4">
        <v>39832.546527777777</v>
      </c>
      <c r="I586" s="3">
        <v>47.533333300000002</v>
      </c>
      <c r="J586" s="3">
        <v>7.5666666999999999</v>
      </c>
      <c r="K586" s="5"/>
      <c r="L586" s="8">
        <f t="shared" si="18"/>
        <v>2009</v>
      </c>
      <c r="M586" s="8">
        <f t="shared" si="19"/>
        <v>39832</v>
      </c>
      <c r="N586" s="19">
        <v>0.22222222222222221</v>
      </c>
    </row>
    <row r="587" spans="1:14" x14ac:dyDescent="0.3">
      <c r="A587" s="6" t="s">
        <v>11</v>
      </c>
      <c r="B587" s="6">
        <v>1200</v>
      </c>
      <c r="C587" s="6" t="s">
        <v>12</v>
      </c>
      <c r="D587" s="6" t="s">
        <v>1004</v>
      </c>
      <c r="E587" s="6" t="s">
        <v>1005</v>
      </c>
      <c r="F587" s="6" t="s">
        <v>1006</v>
      </c>
      <c r="G587" s="6" t="s">
        <v>994</v>
      </c>
      <c r="H587" s="7">
        <v>39843.04583333333</v>
      </c>
      <c r="I587" s="6">
        <v>47.3</v>
      </c>
      <c r="J587" s="6">
        <v>8.5500000000000007</v>
      </c>
      <c r="K587" s="8"/>
      <c r="L587" s="5">
        <f t="shared" si="18"/>
        <v>2009</v>
      </c>
      <c r="M587" s="5">
        <f t="shared" si="19"/>
        <v>39843</v>
      </c>
      <c r="N587" s="18">
        <v>0.30972222222222223</v>
      </c>
    </row>
    <row r="588" spans="1:14" x14ac:dyDescent="0.3">
      <c r="A588" s="3" t="s">
        <v>21</v>
      </c>
      <c r="B588" s="3">
        <v>100000</v>
      </c>
      <c r="C588" s="3" t="s">
        <v>17</v>
      </c>
      <c r="D588" s="3" t="s">
        <v>1007</v>
      </c>
      <c r="E588" s="3" t="s">
        <v>1008</v>
      </c>
      <c r="F588" s="3" t="s">
        <v>1008</v>
      </c>
      <c r="G588" s="3" t="s">
        <v>994</v>
      </c>
      <c r="H588" s="4">
        <v>39844.456944444442</v>
      </c>
      <c r="I588" s="3">
        <v>47.1666667</v>
      </c>
      <c r="J588" s="3">
        <v>8.5166667</v>
      </c>
      <c r="K588" s="5"/>
      <c r="L588" s="8">
        <f t="shared" si="18"/>
        <v>2009</v>
      </c>
      <c r="M588" s="8">
        <f t="shared" si="19"/>
        <v>39844</v>
      </c>
      <c r="N588" s="19">
        <v>0.51736111111111116</v>
      </c>
    </row>
    <row r="589" spans="1:14" x14ac:dyDescent="0.3">
      <c r="A589" s="6" t="s">
        <v>21</v>
      </c>
      <c r="B589" s="6">
        <v>100000</v>
      </c>
      <c r="C589" s="6" t="s">
        <v>65</v>
      </c>
      <c r="D589" s="6" t="s">
        <v>808</v>
      </c>
      <c r="E589" s="6" t="s">
        <v>1009</v>
      </c>
      <c r="F589" s="6" t="s">
        <v>1010</v>
      </c>
      <c r="G589" s="6" t="s">
        <v>994</v>
      </c>
      <c r="H589" s="7">
        <v>39846.219444444447</v>
      </c>
      <c r="I589" s="6">
        <v>46.2</v>
      </c>
      <c r="J589" s="6">
        <v>9.0166667</v>
      </c>
      <c r="K589" s="8"/>
      <c r="L589" s="5">
        <f t="shared" si="18"/>
        <v>2009</v>
      </c>
      <c r="M589" s="5">
        <f t="shared" si="19"/>
        <v>39846</v>
      </c>
      <c r="N589" s="18">
        <v>0.4201388888888889</v>
      </c>
    </row>
    <row r="590" spans="1:14" x14ac:dyDescent="0.3">
      <c r="A590" s="3" t="s">
        <v>11</v>
      </c>
      <c r="B590" s="3">
        <v>1200</v>
      </c>
      <c r="C590" s="3" t="s">
        <v>12</v>
      </c>
      <c r="D590" s="3" t="s">
        <v>1011</v>
      </c>
      <c r="E590" s="3" t="s">
        <v>1012</v>
      </c>
      <c r="F590" s="3" t="s">
        <v>1006</v>
      </c>
      <c r="G590" s="3" t="s">
        <v>994</v>
      </c>
      <c r="H590" s="4">
        <v>39848.957638888889</v>
      </c>
      <c r="I590" s="3">
        <v>47.25</v>
      </c>
      <c r="J590" s="3">
        <v>8.85</v>
      </c>
      <c r="K590" s="5"/>
      <c r="L590" s="5">
        <f t="shared" si="18"/>
        <v>2009</v>
      </c>
      <c r="M590" s="5">
        <f t="shared" si="19"/>
        <v>39848</v>
      </c>
      <c r="N590" s="18">
        <v>0.3527777777777778</v>
      </c>
    </row>
    <row r="591" spans="1:14" x14ac:dyDescent="0.3">
      <c r="A591" s="6" t="s">
        <v>11</v>
      </c>
      <c r="B591" s="6">
        <v>1200</v>
      </c>
      <c r="C591" s="6" t="s">
        <v>17</v>
      </c>
      <c r="D591" s="6" t="s">
        <v>1013</v>
      </c>
      <c r="E591" s="6" t="s">
        <v>1006</v>
      </c>
      <c r="F591" s="6" t="s">
        <v>1006</v>
      </c>
      <c r="G591" s="6" t="s">
        <v>994</v>
      </c>
      <c r="H591" s="7">
        <v>39849.463194444441</v>
      </c>
      <c r="I591" s="6">
        <v>47.366666700000003</v>
      </c>
      <c r="J591" s="6">
        <v>8.5500000000000007</v>
      </c>
      <c r="K591" s="8"/>
      <c r="L591" s="8">
        <f t="shared" si="18"/>
        <v>2009</v>
      </c>
      <c r="M591" s="8">
        <f t="shared" si="19"/>
        <v>39849</v>
      </c>
      <c r="N591" s="19">
        <v>0.36805555555555558</v>
      </c>
    </row>
    <row r="592" spans="1:14" x14ac:dyDescent="0.3">
      <c r="A592" s="3" t="s">
        <v>11</v>
      </c>
      <c r="B592" s="3">
        <v>1200</v>
      </c>
      <c r="C592" s="3" t="s">
        <v>65</v>
      </c>
      <c r="D592" s="3" t="s">
        <v>530</v>
      </c>
      <c r="E592" s="3" t="s">
        <v>1014</v>
      </c>
      <c r="F592" s="3" t="s">
        <v>993</v>
      </c>
      <c r="G592" s="3" t="s">
        <v>994</v>
      </c>
      <c r="H592" s="4">
        <v>39849.635416666664</v>
      </c>
      <c r="I592" s="3">
        <v>46.283333300000002</v>
      </c>
      <c r="J592" s="3">
        <v>6.1666667000000004</v>
      </c>
      <c r="K592" s="5"/>
      <c r="L592" s="5">
        <f t="shared" si="18"/>
        <v>2009</v>
      </c>
      <c r="M592" s="5">
        <f t="shared" si="19"/>
        <v>39849</v>
      </c>
      <c r="N592" s="18">
        <v>0.32430555555555557</v>
      </c>
    </row>
    <row r="593" spans="1:14" x14ac:dyDescent="0.3">
      <c r="A593" s="6" t="s">
        <v>21</v>
      </c>
      <c r="B593" s="6">
        <v>100000</v>
      </c>
      <c r="C593" s="6" t="s">
        <v>12</v>
      </c>
      <c r="D593" s="6" t="s">
        <v>657</v>
      </c>
      <c r="E593" s="6" t="s">
        <v>1015</v>
      </c>
      <c r="F593" s="6" t="s">
        <v>997</v>
      </c>
      <c r="G593" s="6" t="s">
        <v>994</v>
      </c>
      <c r="H593" s="7">
        <v>39850.209722222222</v>
      </c>
      <c r="I593" s="6">
        <v>46.4166667</v>
      </c>
      <c r="J593" s="6">
        <v>6.2</v>
      </c>
      <c r="K593" s="8"/>
      <c r="L593" s="8">
        <f t="shared" si="18"/>
        <v>2009</v>
      </c>
      <c r="M593" s="8">
        <f t="shared" si="19"/>
        <v>39850</v>
      </c>
      <c r="N593" s="19">
        <v>4.2361111111111113E-2</v>
      </c>
    </row>
    <row r="594" spans="1:14" x14ac:dyDescent="0.3">
      <c r="A594" s="3" t="s">
        <v>21</v>
      </c>
      <c r="B594" s="3">
        <v>100000</v>
      </c>
      <c r="C594" s="3" t="s">
        <v>17</v>
      </c>
      <c r="D594" s="3" t="s">
        <v>1016</v>
      </c>
      <c r="E594" s="3" t="s">
        <v>1017</v>
      </c>
      <c r="F594" s="3" t="s">
        <v>1006</v>
      </c>
      <c r="G594" s="3" t="s">
        <v>994</v>
      </c>
      <c r="H594" s="4">
        <v>39854.574305555558</v>
      </c>
      <c r="I594" s="3">
        <v>47.45</v>
      </c>
      <c r="J594" s="3">
        <v>8.5833332999999996</v>
      </c>
      <c r="K594" s="5"/>
      <c r="L594" s="5">
        <f t="shared" si="18"/>
        <v>2009</v>
      </c>
      <c r="M594" s="5">
        <f t="shared" si="19"/>
        <v>39854</v>
      </c>
      <c r="N594" s="18">
        <v>7.9166666666666663E-2</v>
      </c>
    </row>
    <row r="595" spans="1:14" x14ac:dyDescent="0.3">
      <c r="A595" s="6" t="s">
        <v>11</v>
      </c>
      <c r="B595" s="6">
        <v>1200</v>
      </c>
      <c r="C595" s="6" t="s">
        <v>12</v>
      </c>
      <c r="D595" s="6" t="s">
        <v>1018</v>
      </c>
      <c r="E595" s="6" t="s">
        <v>1019</v>
      </c>
      <c r="F595" s="6" t="s">
        <v>1006</v>
      </c>
      <c r="G595" s="6" t="s">
        <v>994</v>
      </c>
      <c r="H595" s="7">
        <v>39855.081944444442</v>
      </c>
      <c r="I595" s="6">
        <v>47.433333300000001</v>
      </c>
      <c r="J595" s="6">
        <v>8.4666666999999993</v>
      </c>
      <c r="K595" s="8"/>
      <c r="L595" s="8">
        <f t="shared" si="18"/>
        <v>2009</v>
      </c>
      <c r="M595" s="8">
        <f t="shared" si="19"/>
        <v>39855</v>
      </c>
      <c r="N595" s="19">
        <v>0.53819444444444442</v>
      </c>
    </row>
    <row r="596" spans="1:14" x14ac:dyDescent="0.3">
      <c r="A596" s="3" t="s">
        <v>11</v>
      </c>
      <c r="B596" s="3">
        <v>1200</v>
      </c>
      <c r="C596" s="3" t="s">
        <v>17</v>
      </c>
      <c r="D596" s="3" t="s">
        <v>135</v>
      </c>
      <c r="E596" s="3" t="s">
        <v>993</v>
      </c>
      <c r="F596" s="3" t="s">
        <v>993</v>
      </c>
      <c r="G596" s="3" t="s">
        <v>994</v>
      </c>
      <c r="H596" s="4">
        <v>39855.09652777778</v>
      </c>
      <c r="I596" s="3">
        <v>46.2</v>
      </c>
      <c r="J596" s="3">
        <v>6.1666667000000004</v>
      </c>
      <c r="K596" s="5"/>
      <c r="L596" s="5">
        <f t="shared" si="18"/>
        <v>2009</v>
      </c>
      <c r="M596" s="5">
        <f t="shared" si="19"/>
        <v>39855</v>
      </c>
      <c r="N596" s="18">
        <v>4.7222222222222221E-2</v>
      </c>
    </row>
    <row r="597" spans="1:14" x14ac:dyDescent="0.3">
      <c r="A597" s="6" t="s">
        <v>11</v>
      </c>
      <c r="B597" s="6">
        <v>1200</v>
      </c>
      <c r="C597" s="6" t="s">
        <v>17</v>
      </c>
      <c r="D597" s="6" t="s">
        <v>1020</v>
      </c>
      <c r="E597" s="6" t="s">
        <v>1021</v>
      </c>
      <c r="F597" s="6" t="s">
        <v>997</v>
      </c>
      <c r="G597" s="6" t="s">
        <v>994</v>
      </c>
      <c r="H597" s="7">
        <v>39856.220138888886</v>
      </c>
      <c r="I597" s="6">
        <v>46.483333299999998</v>
      </c>
      <c r="J597" s="6">
        <v>6.4</v>
      </c>
      <c r="K597" s="8"/>
      <c r="L597" s="5">
        <f t="shared" si="18"/>
        <v>2009</v>
      </c>
      <c r="M597" s="5">
        <f t="shared" si="19"/>
        <v>39856</v>
      </c>
      <c r="N597" s="18">
        <v>6.5972222222222224E-2</v>
      </c>
    </row>
    <row r="598" spans="1:14" x14ac:dyDescent="0.3">
      <c r="A598" s="3" t="s">
        <v>21</v>
      </c>
      <c r="B598" s="3">
        <v>100000</v>
      </c>
      <c r="C598" s="3" t="s">
        <v>12</v>
      </c>
      <c r="D598" s="3" t="s">
        <v>1022</v>
      </c>
      <c r="E598" s="3" t="s">
        <v>1006</v>
      </c>
      <c r="F598" s="3" t="s">
        <v>1006</v>
      </c>
      <c r="G598" s="3" t="s">
        <v>994</v>
      </c>
      <c r="H598" s="4">
        <v>39856.505555555559</v>
      </c>
      <c r="I598" s="3">
        <v>47.366666700000003</v>
      </c>
      <c r="J598" s="3">
        <v>8.5500000000000007</v>
      </c>
      <c r="K598" s="5"/>
      <c r="L598" s="8">
        <f t="shared" si="18"/>
        <v>2009</v>
      </c>
      <c r="M598" s="8">
        <f t="shared" si="19"/>
        <v>39856</v>
      </c>
      <c r="N598" s="19">
        <v>0.11388888888888889</v>
      </c>
    </row>
    <row r="599" spans="1:14" x14ac:dyDescent="0.3">
      <c r="A599" s="6" t="s">
        <v>11</v>
      </c>
      <c r="B599" s="6">
        <v>1200</v>
      </c>
      <c r="C599" s="6" t="s">
        <v>12</v>
      </c>
      <c r="D599" s="6" t="s">
        <v>83</v>
      </c>
      <c r="E599" s="6" t="s">
        <v>1023</v>
      </c>
      <c r="F599" s="6" t="s">
        <v>1023</v>
      </c>
      <c r="G599" s="6" t="s">
        <v>994</v>
      </c>
      <c r="H599" s="7">
        <v>39858.572916666664</v>
      </c>
      <c r="I599" s="6">
        <v>47</v>
      </c>
      <c r="J599" s="6">
        <v>6.9666667000000002</v>
      </c>
      <c r="K599" s="8"/>
      <c r="L599" s="5">
        <f t="shared" si="18"/>
        <v>2009</v>
      </c>
      <c r="M599" s="5">
        <f t="shared" si="19"/>
        <v>39858</v>
      </c>
      <c r="N599" s="18">
        <v>0.39583333333333331</v>
      </c>
    </row>
    <row r="600" spans="1:14" x14ac:dyDescent="0.3">
      <c r="A600" s="3" t="s">
        <v>11</v>
      </c>
      <c r="B600" s="3">
        <v>1200</v>
      </c>
      <c r="C600" s="3" t="s">
        <v>12</v>
      </c>
      <c r="D600" s="3" t="s">
        <v>1024</v>
      </c>
      <c r="E600" s="3" t="s">
        <v>1025</v>
      </c>
      <c r="F600" s="3" t="s">
        <v>1026</v>
      </c>
      <c r="G600" s="3" t="s">
        <v>994</v>
      </c>
      <c r="H600" s="4">
        <v>39859.138888888891</v>
      </c>
      <c r="I600" s="3">
        <v>47.566666699999999</v>
      </c>
      <c r="J600" s="3">
        <v>7.6</v>
      </c>
      <c r="K600" s="5"/>
      <c r="L600" s="8">
        <f t="shared" si="18"/>
        <v>2009</v>
      </c>
      <c r="M600" s="8">
        <f t="shared" si="19"/>
        <v>39859</v>
      </c>
      <c r="N600" s="19">
        <v>0.51527777777777772</v>
      </c>
    </row>
    <row r="601" spans="1:14" x14ac:dyDescent="0.3">
      <c r="A601" s="6" t="s">
        <v>11</v>
      </c>
      <c r="B601" s="6">
        <v>1200</v>
      </c>
      <c r="C601" s="6" t="s">
        <v>12</v>
      </c>
      <c r="D601" s="6" t="s">
        <v>420</v>
      </c>
      <c r="E601" s="6" t="s">
        <v>1027</v>
      </c>
      <c r="F601" s="6" t="s">
        <v>993</v>
      </c>
      <c r="G601" s="6" t="s">
        <v>994</v>
      </c>
      <c r="H601" s="7">
        <v>39859.469444444447</v>
      </c>
      <c r="I601" s="6">
        <v>46.1666667</v>
      </c>
      <c r="J601" s="6">
        <v>6.1166666999999997</v>
      </c>
      <c r="K601" s="8"/>
      <c r="L601" s="5">
        <f t="shared" si="18"/>
        <v>2009</v>
      </c>
      <c r="M601" s="5">
        <f t="shared" si="19"/>
        <v>39859</v>
      </c>
      <c r="N601" s="18">
        <v>0.49444444444444446</v>
      </c>
    </row>
    <row r="602" spans="1:14" x14ac:dyDescent="0.3">
      <c r="A602" s="3" t="s">
        <v>11</v>
      </c>
      <c r="B602" s="3">
        <v>1200</v>
      </c>
      <c r="C602" s="3" t="s">
        <v>17</v>
      </c>
      <c r="D602" s="3" t="s">
        <v>1028</v>
      </c>
      <c r="E602" s="3" t="s">
        <v>1029</v>
      </c>
      <c r="F602" s="3" t="s">
        <v>997</v>
      </c>
      <c r="G602" s="3" t="s">
        <v>994</v>
      </c>
      <c r="H602" s="4">
        <v>39860.214583333334</v>
      </c>
      <c r="I602" s="3">
        <v>46.4</v>
      </c>
      <c r="J602" s="3">
        <v>6.1833333000000001</v>
      </c>
      <c r="K602" s="5"/>
      <c r="L602" s="8">
        <f t="shared" si="18"/>
        <v>2009</v>
      </c>
      <c r="M602" s="8">
        <f t="shared" si="19"/>
        <v>39860</v>
      </c>
      <c r="N602" s="19">
        <v>4.2361111111111113E-2</v>
      </c>
    </row>
    <row r="603" spans="1:14" x14ac:dyDescent="0.3">
      <c r="A603" s="6" t="s">
        <v>21</v>
      </c>
      <c r="B603" s="6">
        <v>100000</v>
      </c>
      <c r="C603" s="6" t="s">
        <v>12</v>
      </c>
      <c r="D603" s="6" t="s">
        <v>1030</v>
      </c>
      <c r="E603" s="6" t="s">
        <v>1031</v>
      </c>
      <c r="F603" s="6" t="s">
        <v>1031</v>
      </c>
      <c r="G603" s="6" t="s">
        <v>994</v>
      </c>
      <c r="H603" s="7">
        <v>39861.155555555553</v>
      </c>
      <c r="I603" s="6">
        <v>46.9166667</v>
      </c>
      <c r="J603" s="6">
        <v>7.4666667000000002</v>
      </c>
      <c r="K603" s="8"/>
      <c r="L603" s="5">
        <f t="shared" si="18"/>
        <v>2009</v>
      </c>
      <c r="M603" s="5">
        <f t="shared" si="19"/>
        <v>39861</v>
      </c>
      <c r="N603" s="18">
        <v>0.15625</v>
      </c>
    </row>
    <row r="604" spans="1:14" x14ac:dyDescent="0.3">
      <c r="A604" s="3" t="s">
        <v>11</v>
      </c>
      <c r="B604" s="3">
        <v>1200</v>
      </c>
      <c r="C604" s="3" t="s">
        <v>17</v>
      </c>
      <c r="D604" s="3" t="s">
        <v>1032</v>
      </c>
      <c r="E604" s="3" t="s">
        <v>1033</v>
      </c>
      <c r="F604" s="3" t="s">
        <v>1003</v>
      </c>
      <c r="G604" s="3" t="s">
        <v>994</v>
      </c>
      <c r="H604" s="4">
        <v>39861.956250000003</v>
      </c>
      <c r="I604" s="3">
        <v>47.516666700000002</v>
      </c>
      <c r="J604" s="3">
        <v>7.55</v>
      </c>
      <c r="K604" s="5"/>
      <c r="L604" s="5">
        <f t="shared" si="18"/>
        <v>2009</v>
      </c>
      <c r="M604" s="5">
        <f t="shared" si="19"/>
        <v>39861</v>
      </c>
      <c r="N604" s="18">
        <v>0.47291666666666665</v>
      </c>
    </row>
    <row r="605" spans="1:14" x14ac:dyDescent="0.3">
      <c r="A605" s="6" t="s">
        <v>11</v>
      </c>
      <c r="B605" s="6">
        <v>1200</v>
      </c>
      <c r="C605" s="6" t="s">
        <v>12</v>
      </c>
      <c r="D605" s="6" t="s">
        <v>1034</v>
      </c>
      <c r="E605" s="6" t="s">
        <v>1035</v>
      </c>
      <c r="F605" s="6" t="s">
        <v>1006</v>
      </c>
      <c r="G605" s="6" t="s">
        <v>994</v>
      </c>
      <c r="H605" s="7">
        <v>39863.295138888891</v>
      </c>
      <c r="I605" s="6">
        <v>47.3333333</v>
      </c>
      <c r="J605" s="6">
        <v>8.6166666999999997</v>
      </c>
      <c r="K605" s="8"/>
      <c r="L605" s="8">
        <f t="shared" si="18"/>
        <v>2009</v>
      </c>
      <c r="M605" s="8">
        <f t="shared" si="19"/>
        <v>39863</v>
      </c>
      <c r="N605" s="19">
        <v>0.49722222222222223</v>
      </c>
    </row>
    <row r="606" spans="1:14" x14ac:dyDescent="0.3">
      <c r="A606" s="3" t="s">
        <v>21</v>
      </c>
      <c r="B606" s="3">
        <v>100000</v>
      </c>
      <c r="C606" s="3" t="s">
        <v>17</v>
      </c>
      <c r="D606" s="3" t="s">
        <v>912</v>
      </c>
      <c r="E606" s="3" t="s">
        <v>1036</v>
      </c>
      <c r="F606" s="3" t="s">
        <v>1037</v>
      </c>
      <c r="G606" s="3" t="s">
        <v>994</v>
      </c>
      <c r="H606" s="4">
        <v>39863.298611111109</v>
      </c>
      <c r="I606" s="3">
        <v>47.4166667</v>
      </c>
      <c r="J606" s="3">
        <v>9.6</v>
      </c>
      <c r="K606" s="5"/>
      <c r="L606" s="5">
        <f t="shared" si="18"/>
        <v>2009</v>
      </c>
      <c r="M606" s="5">
        <f t="shared" si="19"/>
        <v>39863</v>
      </c>
      <c r="N606" s="18">
        <v>0.26250000000000001</v>
      </c>
    </row>
    <row r="607" spans="1:14" x14ac:dyDescent="0.3">
      <c r="A607" s="6" t="s">
        <v>21</v>
      </c>
      <c r="B607" s="6">
        <v>100000</v>
      </c>
      <c r="C607" s="6" t="s">
        <v>12</v>
      </c>
      <c r="D607" s="6" t="s">
        <v>135</v>
      </c>
      <c r="E607" s="6" t="s">
        <v>1038</v>
      </c>
      <c r="F607" s="6" t="s">
        <v>993</v>
      </c>
      <c r="G607" s="6" t="s">
        <v>994</v>
      </c>
      <c r="H607" s="7">
        <v>39864.359722222223</v>
      </c>
      <c r="I607" s="6">
        <v>46.183333300000001</v>
      </c>
      <c r="J607" s="6">
        <v>6.1333333000000003</v>
      </c>
      <c r="K607" s="8"/>
      <c r="L607" s="8">
        <f t="shared" si="18"/>
        <v>2009</v>
      </c>
      <c r="M607" s="8">
        <f t="shared" si="19"/>
        <v>39864</v>
      </c>
      <c r="N607" s="19">
        <v>9.7222222222222224E-2</v>
      </c>
    </row>
    <row r="608" spans="1:14" x14ac:dyDescent="0.3">
      <c r="A608" s="3" t="s">
        <v>21</v>
      </c>
      <c r="B608" s="3">
        <v>100000</v>
      </c>
      <c r="C608" s="3" t="s">
        <v>12</v>
      </c>
      <c r="D608" s="3" t="s">
        <v>214</v>
      </c>
      <c r="E608" s="3" t="s">
        <v>996</v>
      </c>
      <c r="F608" s="3" t="s">
        <v>997</v>
      </c>
      <c r="G608" s="3" t="s">
        <v>994</v>
      </c>
      <c r="H608" s="4">
        <v>39866.147916666669</v>
      </c>
      <c r="I608" s="3">
        <v>46.533333300000002</v>
      </c>
      <c r="J608" s="3">
        <v>6.6666667000000004</v>
      </c>
      <c r="K608" s="5"/>
      <c r="L608" s="5">
        <f t="shared" si="18"/>
        <v>2009</v>
      </c>
      <c r="M608" s="5">
        <f t="shared" si="19"/>
        <v>39866</v>
      </c>
      <c r="N608" s="18">
        <v>7.6388888888888895E-2</v>
      </c>
    </row>
    <row r="609" spans="1:14" x14ac:dyDescent="0.3">
      <c r="A609" s="6" t="s">
        <v>11</v>
      </c>
      <c r="B609" s="6">
        <v>1200</v>
      </c>
      <c r="C609" s="6" t="s">
        <v>17</v>
      </c>
      <c r="D609" s="6" t="s">
        <v>1039</v>
      </c>
      <c r="E609" s="6" t="s">
        <v>1040</v>
      </c>
      <c r="F609" s="6" t="s">
        <v>997</v>
      </c>
      <c r="G609" s="6" t="s">
        <v>994</v>
      </c>
      <c r="H609" s="7">
        <v>39867.163888888892</v>
      </c>
      <c r="I609" s="6">
        <v>46.3</v>
      </c>
      <c r="J609" s="6">
        <v>7.05</v>
      </c>
      <c r="K609" s="8"/>
      <c r="L609" s="8">
        <f t="shared" si="18"/>
        <v>2009</v>
      </c>
      <c r="M609" s="8">
        <f t="shared" si="19"/>
        <v>39867</v>
      </c>
      <c r="N609" s="19">
        <v>4.791666666666667E-2</v>
      </c>
    </row>
    <row r="610" spans="1:14" x14ac:dyDescent="0.3">
      <c r="A610" s="3" t="s">
        <v>21</v>
      </c>
      <c r="B610" s="3">
        <v>100000</v>
      </c>
      <c r="C610" s="3" t="s">
        <v>12</v>
      </c>
      <c r="D610" s="3" t="s">
        <v>1041</v>
      </c>
      <c r="E610" s="3" t="s">
        <v>1042</v>
      </c>
      <c r="F610" s="3" t="s">
        <v>1006</v>
      </c>
      <c r="G610" s="3" t="s">
        <v>994</v>
      </c>
      <c r="H610" s="4">
        <v>39867.303472222222</v>
      </c>
      <c r="I610" s="3">
        <v>47.283333300000002</v>
      </c>
      <c r="J610" s="3">
        <v>8.5333333000000007</v>
      </c>
      <c r="K610" s="5"/>
      <c r="L610" s="5">
        <f t="shared" si="18"/>
        <v>2009</v>
      </c>
      <c r="M610" s="5">
        <f t="shared" si="19"/>
        <v>39867</v>
      </c>
      <c r="N610" s="18">
        <v>0.46805555555555556</v>
      </c>
    </row>
    <row r="611" spans="1:14" x14ac:dyDescent="0.3">
      <c r="A611" s="6" t="s">
        <v>11</v>
      </c>
      <c r="B611" s="6">
        <v>1200</v>
      </c>
      <c r="C611" s="6" t="s">
        <v>12</v>
      </c>
      <c r="D611" s="6" t="s">
        <v>1043</v>
      </c>
      <c r="E611" s="6" t="s">
        <v>993</v>
      </c>
      <c r="F611" s="6" t="s">
        <v>993</v>
      </c>
      <c r="G611" s="6" t="s">
        <v>994</v>
      </c>
      <c r="H611" s="7">
        <v>39868.135416666664</v>
      </c>
      <c r="I611" s="6">
        <v>46.2</v>
      </c>
      <c r="J611" s="6">
        <v>6.1666667000000004</v>
      </c>
      <c r="K611" s="8"/>
      <c r="L611" s="5">
        <f t="shared" si="18"/>
        <v>2009</v>
      </c>
      <c r="M611" s="5">
        <f t="shared" si="19"/>
        <v>39868</v>
      </c>
      <c r="N611" s="18">
        <v>0.10833333333333334</v>
      </c>
    </row>
    <row r="612" spans="1:14" x14ac:dyDescent="0.3">
      <c r="A612" s="3" t="s">
        <v>11</v>
      </c>
      <c r="B612" s="3">
        <v>1200</v>
      </c>
      <c r="C612" s="3" t="s">
        <v>12</v>
      </c>
      <c r="D612" s="3" t="s">
        <v>1044</v>
      </c>
      <c r="E612" s="3" t="s">
        <v>1045</v>
      </c>
      <c r="F612" s="3" t="s">
        <v>1010</v>
      </c>
      <c r="G612" s="3" t="s">
        <v>994</v>
      </c>
      <c r="H612" s="4">
        <v>39868.229166666664</v>
      </c>
      <c r="I612" s="3">
        <v>46.016666700000002</v>
      </c>
      <c r="J612" s="3">
        <v>8.9499999999999993</v>
      </c>
      <c r="K612" s="5"/>
      <c r="L612" s="8">
        <f t="shared" si="18"/>
        <v>2009</v>
      </c>
      <c r="M612" s="8">
        <f t="shared" si="19"/>
        <v>39868</v>
      </c>
      <c r="N612" s="19">
        <v>0.27569444444444446</v>
      </c>
    </row>
    <row r="613" spans="1:14" x14ac:dyDescent="0.3">
      <c r="A613" s="6" t="s">
        <v>21</v>
      </c>
      <c r="B613" s="6">
        <v>100000</v>
      </c>
      <c r="C613" s="6" t="s">
        <v>17</v>
      </c>
      <c r="D613" s="6" t="s">
        <v>509</v>
      </c>
      <c r="E613" s="6" t="s">
        <v>1046</v>
      </c>
      <c r="F613" s="6" t="s">
        <v>997</v>
      </c>
      <c r="G613" s="6" t="s">
        <v>994</v>
      </c>
      <c r="H613" s="7">
        <v>39869.067361111112</v>
      </c>
      <c r="I613" s="6">
        <v>46.433333300000001</v>
      </c>
      <c r="J613" s="6">
        <v>6.25</v>
      </c>
      <c r="K613" s="8"/>
      <c r="L613" s="5">
        <f t="shared" si="18"/>
        <v>2009</v>
      </c>
      <c r="M613" s="5">
        <f t="shared" si="19"/>
        <v>39869</v>
      </c>
      <c r="N613" s="18">
        <v>0.11736111111111111</v>
      </c>
    </row>
    <row r="614" spans="1:14" x14ac:dyDescent="0.3">
      <c r="A614" s="3" t="s">
        <v>21</v>
      </c>
      <c r="B614" s="3">
        <v>100000</v>
      </c>
      <c r="C614" s="3" t="s">
        <v>12</v>
      </c>
      <c r="D614" s="3" t="s">
        <v>593</v>
      </c>
      <c r="E614" s="3" t="s">
        <v>1047</v>
      </c>
      <c r="F614" s="3" t="s">
        <v>1048</v>
      </c>
      <c r="G614" s="3" t="s">
        <v>994</v>
      </c>
      <c r="H614" s="4">
        <v>39869.216666666667</v>
      </c>
      <c r="I614" s="3">
        <v>47.35</v>
      </c>
      <c r="J614" s="3">
        <v>8.3833333000000003</v>
      </c>
      <c r="K614" s="5"/>
      <c r="L614" s="8">
        <f t="shared" si="18"/>
        <v>2009</v>
      </c>
      <c r="M614" s="8">
        <f t="shared" si="19"/>
        <v>39869</v>
      </c>
      <c r="N614" s="19">
        <v>0.21666666666666667</v>
      </c>
    </row>
    <row r="615" spans="1:14" x14ac:dyDescent="0.3">
      <c r="A615" s="6" t="s">
        <v>11</v>
      </c>
      <c r="B615" s="6">
        <v>1200</v>
      </c>
      <c r="C615" s="6" t="s">
        <v>65</v>
      </c>
      <c r="D615" s="6" t="s">
        <v>1049</v>
      </c>
      <c r="E615" s="6" t="s">
        <v>1008</v>
      </c>
      <c r="F615" s="6" t="s">
        <v>1008</v>
      </c>
      <c r="G615" s="6" t="s">
        <v>994</v>
      </c>
      <c r="H615" s="7">
        <v>39869.402777777781</v>
      </c>
      <c r="I615" s="6">
        <v>47.1666667</v>
      </c>
      <c r="J615" s="6">
        <v>8.5166667</v>
      </c>
      <c r="K615" s="8"/>
      <c r="L615" s="5">
        <f t="shared" si="18"/>
        <v>2009</v>
      </c>
      <c r="M615" s="5">
        <f t="shared" si="19"/>
        <v>39869</v>
      </c>
      <c r="N615" s="18">
        <v>0.24444444444444444</v>
      </c>
    </row>
    <row r="616" spans="1:14" x14ac:dyDescent="0.3">
      <c r="A616" s="3" t="s">
        <v>11</v>
      </c>
      <c r="B616" s="3">
        <v>1200</v>
      </c>
      <c r="C616" s="3" t="s">
        <v>12</v>
      </c>
      <c r="D616" s="3" t="s">
        <v>1050</v>
      </c>
      <c r="E616" s="3" t="s">
        <v>1051</v>
      </c>
      <c r="F616" s="3" t="s">
        <v>993</v>
      </c>
      <c r="G616" s="3" t="s">
        <v>994</v>
      </c>
      <c r="H616" s="4">
        <v>39869.586805555555</v>
      </c>
      <c r="I616" s="3">
        <v>46.283333300000002</v>
      </c>
      <c r="J616" s="3">
        <v>6.2166667000000002</v>
      </c>
      <c r="K616" s="5"/>
      <c r="L616" s="8">
        <f t="shared" si="18"/>
        <v>2009</v>
      </c>
      <c r="M616" s="8">
        <f t="shared" si="19"/>
        <v>39869</v>
      </c>
      <c r="N616" s="19">
        <v>0.39305555555555555</v>
      </c>
    </row>
    <row r="617" spans="1:14" x14ac:dyDescent="0.3">
      <c r="A617" s="6" t="s">
        <v>11</v>
      </c>
      <c r="B617" s="6">
        <v>1200</v>
      </c>
      <c r="C617" s="6" t="s">
        <v>17</v>
      </c>
      <c r="D617" s="6" t="s">
        <v>1052</v>
      </c>
      <c r="E617" s="6" t="s">
        <v>1053</v>
      </c>
      <c r="F617" s="6" t="s">
        <v>1048</v>
      </c>
      <c r="G617" s="6" t="s">
        <v>994</v>
      </c>
      <c r="H617" s="7">
        <v>39873.132638888892</v>
      </c>
      <c r="I617" s="6">
        <v>47.466666699999998</v>
      </c>
      <c r="J617" s="6">
        <v>8.3000000000000007</v>
      </c>
      <c r="K617" s="8"/>
      <c r="L617" s="5">
        <f t="shared" si="18"/>
        <v>2009</v>
      </c>
      <c r="M617" s="5">
        <f t="shared" si="19"/>
        <v>39873</v>
      </c>
      <c r="N617" s="18">
        <v>7.013888888888889E-2</v>
      </c>
    </row>
    <row r="618" spans="1:14" x14ac:dyDescent="0.3">
      <c r="A618" s="3" t="s">
        <v>11</v>
      </c>
      <c r="B618" s="3">
        <v>1200</v>
      </c>
      <c r="C618" s="3" t="s">
        <v>17</v>
      </c>
      <c r="D618" s="3" t="s">
        <v>1054</v>
      </c>
      <c r="E618" s="3" t="s">
        <v>1055</v>
      </c>
      <c r="F618" s="3" t="s">
        <v>1056</v>
      </c>
      <c r="G618" s="3" t="s">
        <v>1057</v>
      </c>
      <c r="H618" s="4">
        <v>39825.025694444441</v>
      </c>
      <c r="I618" s="3">
        <v>59.283333300000002</v>
      </c>
      <c r="J618" s="3">
        <v>18.3</v>
      </c>
      <c r="K618" s="5"/>
      <c r="L618" s="5">
        <f t="shared" si="18"/>
        <v>2009</v>
      </c>
      <c r="M618" s="5">
        <f t="shared" si="19"/>
        <v>39825</v>
      </c>
      <c r="N618" s="18">
        <v>0.52152777777777781</v>
      </c>
    </row>
    <row r="619" spans="1:14" x14ac:dyDescent="0.3">
      <c r="A619" s="6" t="s">
        <v>21</v>
      </c>
      <c r="B619" s="6">
        <v>100000</v>
      </c>
      <c r="C619" s="6" t="s">
        <v>12</v>
      </c>
      <c r="D619" s="6" t="s">
        <v>1058</v>
      </c>
      <c r="E619" s="6" t="s">
        <v>1059</v>
      </c>
      <c r="F619" s="6" t="s">
        <v>1060</v>
      </c>
      <c r="G619" s="6" t="s">
        <v>1057</v>
      </c>
      <c r="H619" s="7">
        <v>39835.474999999999</v>
      </c>
      <c r="I619" s="6">
        <v>55.6</v>
      </c>
      <c r="J619" s="6">
        <v>13</v>
      </c>
      <c r="K619" s="8"/>
      <c r="L619" s="8">
        <f t="shared" si="18"/>
        <v>2009</v>
      </c>
      <c r="M619" s="8">
        <f t="shared" si="19"/>
        <v>39835</v>
      </c>
      <c r="N619" s="19">
        <v>0.27847222222222223</v>
      </c>
    </row>
    <row r="620" spans="1:14" x14ac:dyDescent="0.3">
      <c r="A620" s="3" t="s">
        <v>11</v>
      </c>
      <c r="B620" s="3">
        <v>1200</v>
      </c>
      <c r="C620" s="3" t="s">
        <v>12</v>
      </c>
      <c r="D620" s="3" t="s">
        <v>1061</v>
      </c>
      <c r="E620" s="3" t="s">
        <v>1062</v>
      </c>
      <c r="F620" s="3" t="s">
        <v>1063</v>
      </c>
      <c r="G620" s="3" t="s">
        <v>1057</v>
      </c>
      <c r="H620" s="4">
        <v>39841.429861111108</v>
      </c>
      <c r="I620" s="3">
        <v>63.8333333</v>
      </c>
      <c r="J620" s="3">
        <v>20.25</v>
      </c>
      <c r="K620" s="5"/>
      <c r="L620" s="5">
        <f t="shared" si="18"/>
        <v>2009</v>
      </c>
      <c r="M620" s="5">
        <f t="shared" si="19"/>
        <v>39841</v>
      </c>
      <c r="N620" s="18">
        <v>0.26458333333333334</v>
      </c>
    </row>
    <row r="621" spans="1:14" x14ac:dyDescent="0.3">
      <c r="A621" s="6" t="s">
        <v>11</v>
      </c>
      <c r="B621" s="6">
        <v>1200</v>
      </c>
      <c r="C621" s="6" t="s">
        <v>17</v>
      </c>
      <c r="D621" s="6" t="s">
        <v>189</v>
      </c>
      <c r="E621" s="6" t="s">
        <v>1056</v>
      </c>
      <c r="F621" s="6" t="s">
        <v>1056</v>
      </c>
      <c r="G621" s="6" t="s">
        <v>1057</v>
      </c>
      <c r="H621" s="7">
        <v>39843.387499999997</v>
      </c>
      <c r="I621" s="6">
        <v>59.3333333</v>
      </c>
      <c r="J621" s="6">
        <v>18.05</v>
      </c>
      <c r="K621" s="8"/>
      <c r="L621" s="8">
        <f t="shared" si="18"/>
        <v>2009</v>
      </c>
      <c r="M621" s="8">
        <f t="shared" si="19"/>
        <v>39843</v>
      </c>
      <c r="N621" s="19">
        <v>6.805555555555555E-2</v>
      </c>
    </row>
    <row r="622" spans="1:14" x14ac:dyDescent="0.3">
      <c r="A622" s="3" t="s">
        <v>11</v>
      </c>
      <c r="B622" s="3">
        <v>1200</v>
      </c>
      <c r="C622" s="3" t="s">
        <v>65</v>
      </c>
      <c r="D622" s="3" t="s">
        <v>1064</v>
      </c>
      <c r="E622" s="3" t="s">
        <v>1065</v>
      </c>
      <c r="F622" s="3" t="s">
        <v>1056</v>
      </c>
      <c r="G622" s="3" t="s">
        <v>1057</v>
      </c>
      <c r="H622" s="4">
        <v>39846.250694444447</v>
      </c>
      <c r="I622" s="3">
        <v>59.3</v>
      </c>
      <c r="J622" s="3">
        <v>18.1666667</v>
      </c>
      <c r="K622" s="5"/>
      <c r="L622" s="5">
        <f t="shared" si="18"/>
        <v>2009</v>
      </c>
      <c r="M622" s="5">
        <f t="shared" si="19"/>
        <v>39846</v>
      </c>
      <c r="N622" s="18">
        <v>0.34236111111111112</v>
      </c>
    </row>
    <row r="623" spans="1:14" x14ac:dyDescent="0.3">
      <c r="A623" s="6" t="s">
        <v>11</v>
      </c>
      <c r="B623" s="6">
        <v>1200</v>
      </c>
      <c r="C623" s="6" t="s">
        <v>17</v>
      </c>
      <c r="D623" s="6" t="s">
        <v>1066</v>
      </c>
      <c r="E623" s="6" t="s">
        <v>1067</v>
      </c>
      <c r="F623" s="6" t="s">
        <v>1068</v>
      </c>
      <c r="G623" s="6" t="s">
        <v>1057</v>
      </c>
      <c r="H623" s="7">
        <v>39852.46875</v>
      </c>
      <c r="I623" s="6">
        <v>60.3333333</v>
      </c>
      <c r="J623" s="6">
        <v>17.5</v>
      </c>
      <c r="K623" s="8"/>
      <c r="L623" s="8">
        <f t="shared" si="18"/>
        <v>2009</v>
      </c>
      <c r="M623" s="8">
        <f t="shared" si="19"/>
        <v>39852</v>
      </c>
      <c r="N623" s="19">
        <v>0.51527777777777772</v>
      </c>
    </row>
    <row r="624" spans="1:14" x14ac:dyDescent="0.3">
      <c r="A624" s="3" t="s">
        <v>11</v>
      </c>
      <c r="B624" s="3">
        <v>1200</v>
      </c>
      <c r="C624" s="3" t="s">
        <v>65</v>
      </c>
      <c r="D624" s="3" t="s">
        <v>1069</v>
      </c>
      <c r="E624" s="3" t="s">
        <v>1070</v>
      </c>
      <c r="F624" s="3" t="s">
        <v>1056</v>
      </c>
      <c r="G624" s="3" t="s">
        <v>1057</v>
      </c>
      <c r="H624" s="4">
        <v>39858.442361111112</v>
      </c>
      <c r="I624" s="3">
        <v>59.4166667</v>
      </c>
      <c r="J624" s="3">
        <v>18.016666699999998</v>
      </c>
      <c r="K624" s="5"/>
      <c r="L624" s="5">
        <f t="shared" si="18"/>
        <v>2009</v>
      </c>
      <c r="M624" s="5">
        <f t="shared" si="19"/>
        <v>39858</v>
      </c>
      <c r="N624" s="18">
        <v>0.16319444444444445</v>
      </c>
    </row>
    <row r="625" spans="1:14" x14ac:dyDescent="0.3">
      <c r="A625" s="6" t="s">
        <v>11</v>
      </c>
      <c r="B625" s="6">
        <v>1200</v>
      </c>
      <c r="C625" s="6" t="s">
        <v>12</v>
      </c>
      <c r="D625" s="6" t="s">
        <v>1071</v>
      </c>
      <c r="E625" s="6" t="s">
        <v>1065</v>
      </c>
      <c r="F625" s="6" t="s">
        <v>1056</v>
      </c>
      <c r="G625" s="6" t="s">
        <v>1057</v>
      </c>
      <c r="H625" s="7">
        <v>39858.522222222222</v>
      </c>
      <c r="I625" s="6">
        <v>59.3</v>
      </c>
      <c r="J625" s="6">
        <v>18.1666667</v>
      </c>
      <c r="K625" s="8"/>
      <c r="L625" s="5">
        <f t="shared" si="18"/>
        <v>2009</v>
      </c>
      <c r="M625" s="5">
        <f t="shared" si="19"/>
        <v>39858</v>
      </c>
      <c r="N625" s="18">
        <v>0.50277777777777777</v>
      </c>
    </row>
    <row r="626" spans="1:14" x14ac:dyDescent="0.3">
      <c r="A626" s="3" t="s">
        <v>11</v>
      </c>
      <c r="B626" s="3">
        <v>1200</v>
      </c>
      <c r="C626" s="3" t="s">
        <v>12</v>
      </c>
      <c r="D626" s="3" t="s">
        <v>776</v>
      </c>
      <c r="E626" s="3" t="s">
        <v>1072</v>
      </c>
      <c r="F626" s="3" t="s">
        <v>1056</v>
      </c>
      <c r="G626" s="3" t="s">
        <v>1057</v>
      </c>
      <c r="H626" s="4">
        <v>39859.48541666667</v>
      </c>
      <c r="I626" s="3">
        <v>59.383333299999997</v>
      </c>
      <c r="J626" s="3">
        <v>18.066666699999999</v>
      </c>
      <c r="K626" s="5"/>
      <c r="L626" s="8">
        <f t="shared" si="18"/>
        <v>2009</v>
      </c>
      <c r="M626" s="8">
        <f t="shared" si="19"/>
        <v>39859</v>
      </c>
      <c r="N626" s="19">
        <v>5.2083333333333336E-2</v>
      </c>
    </row>
    <row r="627" spans="1:14" x14ac:dyDescent="0.3">
      <c r="A627" s="6" t="s">
        <v>11</v>
      </c>
      <c r="B627" s="6">
        <v>1200</v>
      </c>
      <c r="C627" s="6" t="s">
        <v>12</v>
      </c>
      <c r="D627" s="6" t="s">
        <v>1073</v>
      </c>
      <c r="E627" s="6" t="s">
        <v>1074</v>
      </c>
      <c r="F627" s="6" t="s">
        <v>1056</v>
      </c>
      <c r="G627" s="6" t="s">
        <v>1057</v>
      </c>
      <c r="H627" s="7">
        <v>39860.505555555559</v>
      </c>
      <c r="I627" s="6">
        <v>59.316666699999999</v>
      </c>
      <c r="J627" s="6">
        <v>18.1166667</v>
      </c>
      <c r="K627" s="8"/>
      <c r="L627" s="5">
        <f t="shared" si="18"/>
        <v>2009</v>
      </c>
      <c r="M627" s="5">
        <f t="shared" si="19"/>
        <v>39860</v>
      </c>
      <c r="N627" s="18">
        <v>0.46041666666666664</v>
      </c>
    </row>
    <row r="628" spans="1:14" x14ac:dyDescent="0.3">
      <c r="A628" s="3" t="s">
        <v>21</v>
      </c>
      <c r="B628" s="3">
        <v>100000</v>
      </c>
      <c r="C628" s="3" t="s">
        <v>65</v>
      </c>
      <c r="D628" s="3" t="s">
        <v>1075</v>
      </c>
      <c r="E628" s="3" t="s">
        <v>1076</v>
      </c>
      <c r="F628" s="3" t="s">
        <v>1056</v>
      </c>
      <c r="G628" s="3" t="s">
        <v>1057</v>
      </c>
      <c r="H628" s="4">
        <v>39862.364583333336</v>
      </c>
      <c r="I628" s="3">
        <v>59.366666700000003</v>
      </c>
      <c r="J628" s="3">
        <v>18.1333333</v>
      </c>
      <c r="K628" s="5"/>
      <c r="L628" s="8">
        <f t="shared" si="18"/>
        <v>2009</v>
      </c>
      <c r="M628" s="8">
        <f t="shared" si="19"/>
        <v>39862</v>
      </c>
      <c r="N628" s="19">
        <v>0.38124999999999998</v>
      </c>
    </row>
    <row r="629" spans="1:14" x14ac:dyDescent="0.3">
      <c r="A629" s="6" t="s">
        <v>21</v>
      </c>
      <c r="B629" s="6">
        <v>100000</v>
      </c>
      <c r="C629" s="6" t="s">
        <v>12</v>
      </c>
      <c r="D629" s="6" t="s">
        <v>601</v>
      </c>
      <c r="E629" s="6" t="s">
        <v>1077</v>
      </c>
      <c r="F629" s="6" t="s">
        <v>1078</v>
      </c>
      <c r="G629" s="6" t="s">
        <v>1057</v>
      </c>
      <c r="H629" s="7">
        <v>39863.223611111112</v>
      </c>
      <c r="I629" s="6">
        <v>58.6</v>
      </c>
      <c r="J629" s="6">
        <v>16.183333300000001</v>
      </c>
      <c r="K629" s="8"/>
      <c r="L629" s="5">
        <f t="shared" si="18"/>
        <v>2009</v>
      </c>
      <c r="M629" s="5">
        <f t="shared" si="19"/>
        <v>39863</v>
      </c>
      <c r="N629" s="18">
        <v>0.11666666666666667</v>
      </c>
    </row>
    <row r="630" spans="1:14" x14ac:dyDescent="0.3">
      <c r="A630" s="3" t="s">
        <v>11</v>
      </c>
      <c r="B630" s="3">
        <v>1200</v>
      </c>
      <c r="C630" s="3" t="s">
        <v>17</v>
      </c>
      <c r="D630" s="3" t="s">
        <v>1079</v>
      </c>
      <c r="E630" s="3" t="s">
        <v>1080</v>
      </c>
      <c r="F630" s="3" t="s">
        <v>1056</v>
      </c>
      <c r="G630" s="3" t="s">
        <v>1057</v>
      </c>
      <c r="H630" s="4">
        <v>39870.550000000003</v>
      </c>
      <c r="I630" s="3">
        <v>59.5</v>
      </c>
      <c r="J630" s="3">
        <v>18.05</v>
      </c>
      <c r="K630" s="5"/>
      <c r="L630" s="8">
        <f t="shared" si="18"/>
        <v>2009</v>
      </c>
      <c r="M630" s="8">
        <f t="shared" si="19"/>
        <v>39870</v>
      </c>
      <c r="N630" s="19">
        <v>0.2013888888888889</v>
      </c>
    </row>
    <row r="631" spans="1:14" x14ac:dyDescent="0.3">
      <c r="A631" s="6" t="s">
        <v>11</v>
      </c>
      <c r="B631" s="6">
        <v>1200</v>
      </c>
      <c r="C631" s="6" t="s">
        <v>65</v>
      </c>
      <c r="D631" s="6" t="s">
        <v>732</v>
      </c>
      <c r="E631" s="6" t="s">
        <v>1081</v>
      </c>
      <c r="F631" s="6" t="s">
        <v>1082</v>
      </c>
      <c r="G631" s="6" t="s">
        <v>1083</v>
      </c>
      <c r="H631" s="7">
        <v>39827.572222222225</v>
      </c>
      <c r="I631" s="6">
        <v>37.933333300000001</v>
      </c>
      <c r="J631" s="6">
        <v>-1.1333333000000001</v>
      </c>
      <c r="K631" s="8"/>
      <c r="L631" s="5">
        <f t="shared" si="18"/>
        <v>2009</v>
      </c>
      <c r="M631" s="5">
        <f t="shared" si="19"/>
        <v>39827</v>
      </c>
      <c r="N631" s="18">
        <v>0.31111111111111112</v>
      </c>
    </row>
    <row r="632" spans="1:14" x14ac:dyDescent="0.3">
      <c r="A632" s="3" t="s">
        <v>11</v>
      </c>
      <c r="B632" s="3">
        <v>1200</v>
      </c>
      <c r="C632" s="3" t="s">
        <v>65</v>
      </c>
      <c r="D632" s="3" t="s">
        <v>1084</v>
      </c>
      <c r="E632" s="3" t="s">
        <v>1085</v>
      </c>
      <c r="F632" s="3" t="s">
        <v>1086</v>
      </c>
      <c r="G632" s="3" t="s">
        <v>1083</v>
      </c>
      <c r="H632" s="4">
        <v>39841.322916666664</v>
      </c>
      <c r="I632" s="3">
        <v>41.383333299999997</v>
      </c>
      <c r="J632" s="3">
        <v>2.1833333000000001</v>
      </c>
      <c r="K632" s="5"/>
      <c r="L632" s="5">
        <f t="shared" si="18"/>
        <v>2009</v>
      </c>
      <c r="M632" s="5">
        <f t="shared" si="19"/>
        <v>39841</v>
      </c>
      <c r="N632" s="18">
        <v>8.6805555555555552E-2</v>
      </c>
    </row>
    <row r="633" spans="1:14" x14ac:dyDescent="0.3">
      <c r="A633" s="6" t="s">
        <v>11</v>
      </c>
      <c r="B633" s="6">
        <v>1200</v>
      </c>
      <c r="C633" s="6" t="s">
        <v>12</v>
      </c>
      <c r="D633" s="6" t="s">
        <v>1087</v>
      </c>
      <c r="E633" s="6" t="s">
        <v>1085</v>
      </c>
      <c r="F633" s="6" t="s">
        <v>1086</v>
      </c>
      <c r="G633" s="6" t="s">
        <v>1083</v>
      </c>
      <c r="H633" s="7">
        <v>39847.040972222225</v>
      </c>
      <c r="I633" s="6">
        <v>41.383333299999997</v>
      </c>
      <c r="J633" s="6">
        <v>2.1833333000000001</v>
      </c>
      <c r="K633" s="8"/>
      <c r="L633" s="8">
        <f t="shared" si="18"/>
        <v>2009</v>
      </c>
      <c r="M633" s="8">
        <f t="shared" si="19"/>
        <v>39847</v>
      </c>
      <c r="N633" s="19">
        <v>0.37569444444444444</v>
      </c>
    </row>
    <row r="634" spans="1:14" x14ac:dyDescent="0.3">
      <c r="A634" s="3" t="s">
        <v>11</v>
      </c>
      <c r="B634" s="3">
        <v>1200</v>
      </c>
      <c r="C634" s="3" t="s">
        <v>12</v>
      </c>
      <c r="D634" s="3" t="s">
        <v>593</v>
      </c>
      <c r="E634" s="3" t="s">
        <v>1088</v>
      </c>
      <c r="F634" s="3" t="s">
        <v>1088</v>
      </c>
      <c r="G634" s="3" t="s">
        <v>1083</v>
      </c>
      <c r="H634" s="4">
        <v>39850.445833333331</v>
      </c>
      <c r="I634" s="3">
        <v>40.4</v>
      </c>
      <c r="J634" s="3">
        <v>-3.6833333000000001</v>
      </c>
      <c r="K634" s="5"/>
      <c r="L634" s="5">
        <f t="shared" si="18"/>
        <v>2009</v>
      </c>
      <c r="M634" s="5">
        <f t="shared" si="19"/>
        <v>39850</v>
      </c>
      <c r="N634" s="18">
        <v>0.46944444444444444</v>
      </c>
    </row>
    <row r="635" spans="1:14" x14ac:dyDescent="0.3">
      <c r="A635" s="6" t="s">
        <v>11</v>
      </c>
      <c r="B635" s="6">
        <v>1200</v>
      </c>
      <c r="C635" s="6" t="s">
        <v>17</v>
      </c>
      <c r="D635" s="6" t="s">
        <v>1089</v>
      </c>
      <c r="E635" s="6" t="s">
        <v>1088</v>
      </c>
      <c r="F635" s="6" t="s">
        <v>1088</v>
      </c>
      <c r="G635" s="6" t="s">
        <v>1083</v>
      </c>
      <c r="H635" s="7">
        <v>39853.779166666667</v>
      </c>
      <c r="I635" s="6">
        <v>40.4</v>
      </c>
      <c r="J635" s="6">
        <v>-3.6833333000000001</v>
      </c>
      <c r="K635" s="8"/>
      <c r="L635" s="8">
        <f t="shared" si="18"/>
        <v>2009</v>
      </c>
      <c r="M635" s="8">
        <f t="shared" si="19"/>
        <v>39853</v>
      </c>
      <c r="N635" s="19">
        <v>0.4597222222222222</v>
      </c>
    </row>
    <row r="636" spans="1:14" x14ac:dyDescent="0.3">
      <c r="A636" s="3" t="s">
        <v>11</v>
      </c>
      <c r="B636" s="3">
        <v>1200</v>
      </c>
      <c r="C636" s="3" t="s">
        <v>17</v>
      </c>
      <c r="D636" s="3" t="s">
        <v>1090</v>
      </c>
      <c r="E636" s="3" t="s">
        <v>1091</v>
      </c>
      <c r="F636" s="3" t="s">
        <v>1092</v>
      </c>
      <c r="G636" s="3" t="s">
        <v>1083</v>
      </c>
      <c r="H636" s="4">
        <v>39854.419444444444</v>
      </c>
      <c r="I636" s="3">
        <v>37.377222199999999</v>
      </c>
      <c r="J636" s="3">
        <v>-5.9869443999999996</v>
      </c>
      <c r="K636" s="5"/>
      <c r="L636" s="5">
        <f t="shared" si="18"/>
        <v>2009</v>
      </c>
      <c r="M636" s="5">
        <f t="shared" si="19"/>
        <v>39854</v>
      </c>
      <c r="N636" s="18">
        <v>0.46250000000000002</v>
      </c>
    </row>
    <row r="637" spans="1:14" x14ac:dyDescent="0.3">
      <c r="A637" s="6" t="s">
        <v>21</v>
      </c>
      <c r="B637" s="6">
        <v>100000</v>
      </c>
      <c r="C637" s="6" t="s">
        <v>65</v>
      </c>
      <c r="D637" s="6" t="s">
        <v>1093</v>
      </c>
      <c r="E637" s="6" t="s">
        <v>1094</v>
      </c>
      <c r="F637" s="6" t="s">
        <v>1086</v>
      </c>
      <c r="G637" s="6" t="s">
        <v>1083</v>
      </c>
      <c r="H637" s="7">
        <v>39856.315972222219</v>
      </c>
      <c r="I637" s="6">
        <v>41.3</v>
      </c>
      <c r="J637" s="6">
        <v>2.0166667</v>
      </c>
      <c r="K637" s="8"/>
      <c r="L637" s="8">
        <f t="shared" si="18"/>
        <v>2009</v>
      </c>
      <c r="M637" s="8">
        <f t="shared" si="19"/>
        <v>39856</v>
      </c>
      <c r="N637" s="19">
        <v>0.46041666666666664</v>
      </c>
    </row>
    <row r="638" spans="1:14" x14ac:dyDescent="0.3">
      <c r="A638" s="3" t="s">
        <v>11</v>
      </c>
      <c r="B638" s="3">
        <v>1200</v>
      </c>
      <c r="C638" s="3" t="s">
        <v>12</v>
      </c>
      <c r="D638" s="3" t="s">
        <v>1095</v>
      </c>
      <c r="E638" s="3" t="s">
        <v>1096</v>
      </c>
      <c r="F638" s="3" t="s">
        <v>1097</v>
      </c>
      <c r="G638" s="3" t="s">
        <v>1083</v>
      </c>
      <c r="H638" s="4">
        <v>39860.62777777778</v>
      </c>
      <c r="I638" s="3">
        <v>43.016666700000002</v>
      </c>
      <c r="J638" s="3">
        <v>-2.4</v>
      </c>
      <c r="K638" s="5"/>
      <c r="L638" s="5">
        <f t="shared" si="18"/>
        <v>2009</v>
      </c>
      <c r="M638" s="5">
        <f t="shared" si="19"/>
        <v>39860</v>
      </c>
      <c r="N638" s="18">
        <v>0.3125</v>
      </c>
    </row>
    <row r="639" spans="1:14" x14ac:dyDescent="0.3">
      <c r="A639" s="6" t="s">
        <v>11</v>
      </c>
      <c r="B639" s="6">
        <v>1200</v>
      </c>
      <c r="C639" s="6" t="s">
        <v>12</v>
      </c>
      <c r="D639" s="6" t="s">
        <v>1098</v>
      </c>
      <c r="E639" s="6" t="s">
        <v>1099</v>
      </c>
      <c r="F639" s="6" t="s">
        <v>1082</v>
      </c>
      <c r="G639" s="6" t="s">
        <v>1083</v>
      </c>
      <c r="H639" s="7">
        <v>39869.240972222222</v>
      </c>
      <c r="I639" s="6">
        <v>38.016666700000002</v>
      </c>
      <c r="J639" s="6">
        <v>-1.1333333000000001</v>
      </c>
      <c r="K639" s="8"/>
      <c r="L639" s="5">
        <f t="shared" si="18"/>
        <v>2009</v>
      </c>
      <c r="M639" s="5">
        <f t="shared" si="19"/>
        <v>39869</v>
      </c>
      <c r="N639" s="18">
        <v>5.1388888888888887E-2</v>
      </c>
    </row>
    <row r="640" spans="1:14" x14ac:dyDescent="0.3">
      <c r="A640" s="3" t="s">
        <v>11</v>
      </c>
      <c r="B640" s="3">
        <v>1200</v>
      </c>
      <c r="C640" s="3" t="s">
        <v>17</v>
      </c>
      <c r="D640" s="3" t="s">
        <v>1100</v>
      </c>
      <c r="E640" s="3" t="s">
        <v>1088</v>
      </c>
      <c r="F640" s="3" t="s">
        <v>1088</v>
      </c>
      <c r="G640" s="3" t="s">
        <v>1083</v>
      </c>
      <c r="H640" s="4">
        <v>39869.484722222223</v>
      </c>
      <c r="I640" s="3">
        <v>40.4</v>
      </c>
      <c r="J640" s="3">
        <v>-3.6833333000000001</v>
      </c>
      <c r="K640" s="5"/>
      <c r="L640" s="8">
        <f t="shared" si="18"/>
        <v>2009</v>
      </c>
      <c r="M640" s="8">
        <f t="shared" si="19"/>
        <v>39869</v>
      </c>
      <c r="N640" s="19">
        <v>0.39374999999999999</v>
      </c>
    </row>
    <row r="641" spans="1:14" x14ac:dyDescent="0.3">
      <c r="A641" s="6" t="s">
        <v>11</v>
      </c>
      <c r="B641" s="6">
        <v>1200</v>
      </c>
      <c r="C641" s="6" t="s">
        <v>12</v>
      </c>
      <c r="D641" s="6" t="s">
        <v>1101</v>
      </c>
      <c r="E641" s="6" t="s">
        <v>1102</v>
      </c>
      <c r="F641" s="6" t="s">
        <v>1088</v>
      </c>
      <c r="G641" s="6" t="s">
        <v>1083</v>
      </c>
      <c r="H641" s="7">
        <v>39870.6</v>
      </c>
      <c r="I641" s="6">
        <v>40.533333300000002</v>
      </c>
      <c r="J641" s="6">
        <v>-3.6333332999999999</v>
      </c>
      <c r="K641" s="8"/>
      <c r="L641" s="5">
        <f t="shared" si="18"/>
        <v>2009</v>
      </c>
      <c r="M641" s="5">
        <f t="shared" si="19"/>
        <v>39870</v>
      </c>
      <c r="N641" s="18">
        <v>0.21875</v>
      </c>
    </row>
    <row r="642" spans="1:14" x14ac:dyDescent="0.3">
      <c r="A642" s="3" t="s">
        <v>11</v>
      </c>
      <c r="B642" s="3">
        <v>1200</v>
      </c>
      <c r="C642" s="3" t="s">
        <v>12</v>
      </c>
      <c r="D642" s="3" t="s">
        <v>397</v>
      </c>
      <c r="E642" s="3" t="s">
        <v>1103</v>
      </c>
      <c r="F642" s="3" t="s">
        <v>1088</v>
      </c>
      <c r="G642" s="3" t="s">
        <v>1083</v>
      </c>
      <c r="H642" s="4">
        <v>39872.636805555558</v>
      </c>
      <c r="I642" s="3">
        <v>40.5833333</v>
      </c>
      <c r="J642" s="3">
        <v>-4.1166666999999997</v>
      </c>
      <c r="K642" s="5"/>
      <c r="L642" s="8">
        <f t="shared" ref="L642:L705" si="20">YEAR(H642)</f>
        <v>2009</v>
      </c>
      <c r="M642" s="8">
        <f t="shared" ref="M642:M705" si="21">INT(H642)</f>
        <v>39872</v>
      </c>
      <c r="N642" s="19">
        <v>0.5</v>
      </c>
    </row>
    <row r="643" spans="1:14" x14ac:dyDescent="0.3">
      <c r="A643" s="6" t="s">
        <v>11</v>
      </c>
      <c r="B643" s="6">
        <v>1200</v>
      </c>
      <c r="C643" s="6" t="s">
        <v>12</v>
      </c>
      <c r="D643" s="6" t="s">
        <v>1104</v>
      </c>
      <c r="E643" s="6" t="s">
        <v>1105</v>
      </c>
      <c r="F643" s="6" t="s">
        <v>1106</v>
      </c>
      <c r="G643" s="6" t="s">
        <v>1107</v>
      </c>
      <c r="H643" s="7">
        <v>39842.695138888892</v>
      </c>
      <c r="I643" s="6">
        <v>37.533333300000002</v>
      </c>
      <c r="J643" s="6">
        <v>127.1166667</v>
      </c>
      <c r="K643" s="8"/>
      <c r="L643" s="5">
        <f t="shared" si="20"/>
        <v>2009</v>
      </c>
      <c r="M643" s="5">
        <f t="shared" si="21"/>
        <v>39842</v>
      </c>
      <c r="N643" s="18">
        <v>0.21666666666666667</v>
      </c>
    </row>
    <row r="644" spans="1:14" x14ac:dyDescent="0.3">
      <c r="A644" s="3" t="s">
        <v>11</v>
      </c>
      <c r="B644" s="3">
        <v>1200</v>
      </c>
      <c r="C644" s="3" t="s">
        <v>17</v>
      </c>
      <c r="D644" s="3" t="s">
        <v>534</v>
      </c>
      <c r="E644" s="3" t="s">
        <v>1108</v>
      </c>
      <c r="F644" s="3" t="s">
        <v>1109</v>
      </c>
      <c r="G644" s="3" t="s">
        <v>1110</v>
      </c>
      <c r="H644" s="4">
        <v>39820.217361111114</v>
      </c>
      <c r="I644" s="3">
        <v>-26.1666667</v>
      </c>
      <c r="J644" s="3">
        <v>27.8666667</v>
      </c>
      <c r="K644" s="5"/>
      <c r="L644" s="8">
        <f t="shared" si="20"/>
        <v>2009</v>
      </c>
      <c r="M644" s="8">
        <f t="shared" si="21"/>
        <v>39820</v>
      </c>
      <c r="N644" s="19">
        <v>0.1736111111111111</v>
      </c>
    </row>
    <row r="645" spans="1:14" x14ac:dyDescent="0.3">
      <c r="A645" s="6" t="s">
        <v>11</v>
      </c>
      <c r="B645" s="6">
        <v>1200</v>
      </c>
      <c r="C645" s="6" t="s">
        <v>12</v>
      </c>
      <c r="D645" s="6" t="s">
        <v>1111</v>
      </c>
      <c r="E645" s="6" t="s">
        <v>1112</v>
      </c>
      <c r="F645" s="6" t="s">
        <v>1109</v>
      </c>
      <c r="G645" s="6" t="s">
        <v>1110</v>
      </c>
      <c r="H645" s="7">
        <v>39830.099305555559</v>
      </c>
      <c r="I645" s="6">
        <v>-25.874444400000002</v>
      </c>
      <c r="J645" s="6">
        <v>28.1705556</v>
      </c>
      <c r="K645" s="8"/>
      <c r="L645" s="5">
        <f t="shared" si="20"/>
        <v>2009</v>
      </c>
      <c r="M645" s="5">
        <f t="shared" si="21"/>
        <v>39830</v>
      </c>
      <c r="N645" s="18">
        <v>7.7083333333333337E-2</v>
      </c>
    </row>
    <row r="646" spans="1:14" x14ac:dyDescent="0.3">
      <c r="A646" s="3" t="s">
        <v>11</v>
      </c>
      <c r="B646" s="3">
        <v>1200</v>
      </c>
      <c r="C646" s="3" t="s">
        <v>17</v>
      </c>
      <c r="D646" s="3" t="s">
        <v>1113</v>
      </c>
      <c r="E646" s="3" t="s">
        <v>1114</v>
      </c>
      <c r="F646" s="3" t="s">
        <v>1115</v>
      </c>
      <c r="G646" s="3" t="s">
        <v>1110</v>
      </c>
      <c r="H646" s="4">
        <v>39841.268055555556</v>
      </c>
      <c r="I646" s="3">
        <v>-29.85</v>
      </c>
      <c r="J646" s="3">
        <v>31.016666699999998</v>
      </c>
      <c r="K646" s="5"/>
      <c r="L646" s="5">
        <f t="shared" si="20"/>
        <v>2009</v>
      </c>
      <c r="M646" s="5">
        <f t="shared" si="21"/>
        <v>39841</v>
      </c>
      <c r="N646" s="18">
        <v>0.41249999999999998</v>
      </c>
    </row>
    <row r="647" spans="1:14" x14ac:dyDescent="0.3">
      <c r="A647" s="6" t="s">
        <v>64</v>
      </c>
      <c r="B647" s="6">
        <v>100000</v>
      </c>
      <c r="C647" s="6" t="s">
        <v>12</v>
      </c>
      <c r="D647" s="6" t="s">
        <v>601</v>
      </c>
      <c r="E647" s="6" t="s">
        <v>1116</v>
      </c>
      <c r="F647" s="6" t="s">
        <v>1115</v>
      </c>
      <c r="G647" s="6" t="s">
        <v>1110</v>
      </c>
      <c r="H647" s="7">
        <v>39849.192361111112</v>
      </c>
      <c r="I647" s="6">
        <v>-29.6166667</v>
      </c>
      <c r="J647" s="6">
        <v>30.3833333</v>
      </c>
      <c r="K647" s="8"/>
      <c r="L647" s="8">
        <f t="shared" si="20"/>
        <v>2009</v>
      </c>
      <c r="M647" s="8">
        <f t="shared" si="21"/>
        <v>39849</v>
      </c>
      <c r="N647" s="19">
        <v>7.8472222222222221E-2</v>
      </c>
    </row>
    <row r="648" spans="1:14" x14ac:dyDescent="0.3">
      <c r="A648" s="3" t="s">
        <v>11</v>
      </c>
      <c r="B648" s="3">
        <v>1200</v>
      </c>
      <c r="C648" s="3" t="s">
        <v>17</v>
      </c>
      <c r="D648" s="3" t="s">
        <v>1117</v>
      </c>
      <c r="E648" s="3" t="s">
        <v>1118</v>
      </c>
      <c r="F648" s="3" t="s">
        <v>1109</v>
      </c>
      <c r="G648" s="3" t="s">
        <v>1110</v>
      </c>
      <c r="H648" s="4">
        <v>39869.97152777778</v>
      </c>
      <c r="I648" s="3">
        <v>-26.183333300000001</v>
      </c>
      <c r="J648" s="3">
        <v>28.316666699999999</v>
      </c>
      <c r="K648" s="5"/>
      <c r="L648" s="5">
        <f t="shared" si="20"/>
        <v>2009</v>
      </c>
      <c r="M648" s="5">
        <f t="shared" si="21"/>
        <v>39869</v>
      </c>
      <c r="N648" s="18">
        <v>0.2590277777777778</v>
      </c>
    </row>
    <row r="649" spans="1:14" x14ac:dyDescent="0.3">
      <c r="A649" s="6" t="s">
        <v>21</v>
      </c>
      <c r="B649" s="6">
        <v>100000</v>
      </c>
      <c r="C649" s="6" t="s">
        <v>65</v>
      </c>
      <c r="D649" s="6" t="s">
        <v>1119</v>
      </c>
      <c r="E649" s="6" t="s">
        <v>1120</v>
      </c>
      <c r="F649" s="6" t="s">
        <v>1121</v>
      </c>
      <c r="G649" s="6" t="s">
        <v>1122</v>
      </c>
      <c r="H649" s="7">
        <v>39847.090277777781</v>
      </c>
      <c r="I649" s="6">
        <v>55.628333300000001</v>
      </c>
      <c r="J649" s="6">
        <v>37.6608333</v>
      </c>
      <c r="K649" s="8"/>
      <c r="L649" s="8">
        <f t="shared" si="20"/>
        <v>2009</v>
      </c>
      <c r="M649" s="8">
        <f t="shared" si="21"/>
        <v>39847</v>
      </c>
      <c r="N649" s="19">
        <v>0.4777777777777778</v>
      </c>
    </row>
    <row r="650" spans="1:14" x14ac:dyDescent="0.3">
      <c r="A650" s="3" t="s">
        <v>11</v>
      </c>
      <c r="B650" s="3">
        <v>1200</v>
      </c>
      <c r="C650" s="3" t="s">
        <v>17</v>
      </c>
      <c r="D650" s="3" t="s">
        <v>1123</v>
      </c>
      <c r="E650" s="3" t="s">
        <v>1124</v>
      </c>
      <c r="F650" s="3" t="s">
        <v>1125</v>
      </c>
      <c r="G650" s="3" t="s">
        <v>1126</v>
      </c>
      <c r="H650" s="4">
        <v>39872.327777777777</v>
      </c>
      <c r="I650" s="3">
        <v>44.466666699999998</v>
      </c>
      <c r="J650" s="3">
        <v>26.1333333</v>
      </c>
      <c r="K650" s="5"/>
      <c r="L650" s="5">
        <f t="shared" si="20"/>
        <v>2009</v>
      </c>
      <c r="M650" s="5">
        <f t="shared" si="21"/>
        <v>39872</v>
      </c>
      <c r="N650" s="18">
        <v>0.46527777777777779</v>
      </c>
    </row>
    <row r="651" spans="1:14" x14ac:dyDescent="0.3">
      <c r="A651" s="6" t="s">
        <v>11</v>
      </c>
      <c r="B651" s="6">
        <v>1200</v>
      </c>
      <c r="C651" s="6" t="s">
        <v>12</v>
      </c>
      <c r="D651" s="6" t="s">
        <v>1127</v>
      </c>
      <c r="E651" s="6" t="s">
        <v>1128</v>
      </c>
      <c r="F651" s="6" t="s">
        <v>1129</v>
      </c>
      <c r="G651" s="6" t="s">
        <v>1130</v>
      </c>
      <c r="H651" s="7">
        <v>39852.159722222219</v>
      </c>
      <c r="I651" s="6">
        <v>54.35</v>
      </c>
      <c r="J651" s="6">
        <v>18.6666667</v>
      </c>
      <c r="K651" s="8"/>
      <c r="L651" s="8">
        <f t="shared" si="20"/>
        <v>2009</v>
      </c>
      <c r="M651" s="8">
        <f t="shared" si="21"/>
        <v>39852</v>
      </c>
      <c r="N651" s="19">
        <v>0.17708333333333334</v>
      </c>
    </row>
    <row r="652" spans="1:14" x14ac:dyDescent="0.3">
      <c r="A652" s="3" t="s">
        <v>11</v>
      </c>
      <c r="B652" s="3">
        <v>1200</v>
      </c>
      <c r="C652" s="3" t="s">
        <v>12</v>
      </c>
      <c r="D652" s="3" t="s">
        <v>1131</v>
      </c>
      <c r="E652" s="3" t="s">
        <v>1132</v>
      </c>
      <c r="F652" s="3" t="s">
        <v>1133</v>
      </c>
      <c r="G652" s="3" t="s">
        <v>1130</v>
      </c>
      <c r="H652" s="4">
        <v>39869.679861111108</v>
      </c>
      <c r="I652" s="3">
        <v>52.1666667</v>
      </c>
      <c r="J652" s="3">
        <v>20.8333333</v>
      </c>
      <c r="K652" s="5"/>
      <c r="L652" s="5">
        <f t="shared" si="20"/>
        <v>2009</v>
      </c>
      <c r="M652" s="5">
        <f t="shared" si="21"/>
        <v>39869</v>
      </c>
      <c r="N652" s="18">
        <v>8.9583333333333334E-2</v>
      </c>
    </row>
    <row r="653" spans="1:14" x14ac:dyDescent="0.3">
      <c r="A653" s="6" t="s">
        <v>11</v>
      </c>
      <c r="B653" s="6">
        <v>1200</v>
      </c>
      <c r="C653" s="6" t="s">
        <v>12</v>
      </c>
      <c r="D653" s="6" t="s">
        <v>51</v>
      </c>
      <c r="E653" s="6" t="s">
        <v>1134</v>
      </c>
      <c r="F653" s="6" t="s">
        <v>1135</v>
      </c>
      <c r="G653" s="6" t="s">
        <v>1136</v>
      </c>
      <c r="H653" s="7">
        <v>39853.256249999999</v>
      </c>
      <c r="I653" s="6">
        <v>9.9136111000000007</v>
      </c>
      <c r="J653" s="6">
        <v>124.09277779999999</v>
      </c>
      <c r="K653" s="8"/>
      <c r="L653" s="5">
        <f t="shared" si="20"/>
        <v>2009</v>
      </c>
      <c r="M653" s="5">
        <f t="shared" si="21"/>
        <v>39853</v>
      </c>
      <c r="N653" s="18">
        <v>0.16875000000000001</v>
      </c>
    </row>
    <row r="654" spans="1:14" x14ac:dyDescent="0.3">
      <c r="A654" s="3" t="s">
        <v>11</v>
      </c>
      <c r="B654" s="3">
        <v>1200</v>
      </c>
      <c r="C654" s="3" t="s">
        <v>17</v>
      </c>
      <c r="D654" s="3" t="s">
        <v>449</v>
      </c>
      <c r="E654" s="3" t="s">
        <v>1137</v>
      </c>
      <c r="F654" s="3" t="s">
        <v>1138</v>
      </c>
      <c r="G654" s="3" t="s">
        <v>1136</v>
      </c>
      <c r="H654" s="4">
        <v>39865.422222222223</v>
      </c>
      <c r="I654" s="3">
        <v>6.1036111000000002</v>
      </c>
      <c r="J654" s="3">
        <v>125.2163889</v>
      </c>
      <c r="K654" s="5"/>
      <c r="L654" s="8">
        <f t="shared" si="20"/>
        <v>2009</v>
      </c>
      <c r="M654" s="8">
        <f t="shared" si="21"/>
        <v>39865</v>
      </c>
      <c r="N654" s="19">
        <v>0.36875000000000002</v>
      </c>
    </row>
    <row r="655" spans="1:14" x14ac:dyDescent="0.3">
      <c r="A655" s="6" t="s">
        <v>11</v>
      </c>
      <c r="B655" s="6">
        <v>1200</v>
      </c>
      <c r="C655" s="6" t="s">
        <v>12</v>
      </c>
      <c r="D655" s="6" t="s">
        <v>1139</v>
      </c>
      <c r="E655" s="6" t="s">
        <v>1140</v>
      </c>
      <c r="F655" s="6" t="s">
        <v>1141</v>
      </c>
      <c r="G655" s="6" t="s">
        <v>1142</v>
      </c>
      <c r="H655" s="7">
        <v>39825.442361111112</v>
      </c>
      <c r="I655" s="6">
        <v>58.966666699999998</v>
      </c>
      <c r="J655" s="6">
        <v>5.75</v>
      </c>
      <c r="K655" s="8"/>
      <c r="L655" s="5">
        <f t="shared" si="20"/>
        <v>2009</v>
      </c>
      <c r="M655" s="5">
        <f t="shared" si="21"/>
        <v>39825</v>
      </c>
      <c r="N655" s="18">
        <v>0.48125000000000001</v>
      </c>
    </row>
    <row r="656" spans="1:14" x14ac:dyDescent="0.3">
      <c r="A656" s="3" t="s">
        <v>11</v>
      </c>
      <c r="B656" s="3">
        <v>1200</v>
      </c>
      <c r="C656" s="3" t="s">
        <v>12</v>
      </c>
      <c r="D656" s="3" t="s">
        <v>1143</v>
      </c>
      <c r="E656" s="3" t="s">
        <v>1144</v>
      </c>
      <c r="F656" s="3" t="s">
        <v>1144</v>
      </c>
      <c r="G656" s="3" t="s">
        <v>1142</v>
      </c>
      <c r="H656" s="4">
        <v>39826.450694444444</v>
      </c>
      <c r="I656" s="3">
        <v>59.9166667</v>
      </c>
      <c r="J656" s="3">
        <v>10.75</v>
      </c>
      <c r="K656" s="5"/>
      <c r="L656" s="8">
        <f t="shared" si="20"/>
        <v>2009</v>
      </c>
      <c r="M656" s="8">
        <f t="shared" si="21"/>
        <v>39826</v>
      </c>
      <c r="N656" s="19">
        <v>5.1388888888888887E-2</v>
      </c>
    </row>
    <row r="657" spans="1:14" x14ac:dyDescent="0.3">
      <c r="A657" s="6" t="s">
        <v>11</v>
      </c>
      <c r="B657" s="6">
        <v>1200</v>
      </c>
      <c r="C657" s="6" t="s">
        <v>12</v>
      </c>
      <c r="D657" s="6" t="s">
        <v>1145</v>
      </c>
      <c r="E657" s="6" t="s">
        <v>1146</v>
      </c>
      <c r="F657" s="6" t="s">
        <v>1144</v>
      </c>
      <c r="G657" s="6" t="s">
        <v>1142</v>
      </c>
      <c r="H657" s="7">
        <v>39832.287499999999</v>
      </c>
      <c r="I657" s="6">
        <v>59.966666699999998</v>
      </c>
      <c r="J657" s="6">
        <v>10.6666667</v>
      </c>
      <c r="K657" s="8"/>
      <c r="L657" s="5">
        <f t="shared" si="20"/>
        <v>2009</v>
      </c>
      <c r="M657" s="5">
        <f t="shared" si="21"/>
        <v>39832</v>
      </c>
      <c r="N657" s="18">
        <v>0.34791666666666665</v>
      </c>
    </row>
    <row r="658" spans="1:14" x14ac:dyDescent="0.3">
      <c r="A658" s="3" t="s">
        <v>11</v>
      </c>
      <c r="B658" s="3">
        <v>1200</v>
      </c>
      <c r="C658" s="3" t="s">
        <v>12</v>
      </c>
      <c r="D658" s="3" t="s">
        <v>1147</v>
      </c>
      <c r="E658" s="3" t="s">
        <v>1144</v>
      </c>
      <c r="F658" s="3" t="s">
        <v>1144</v>
      </c>
      <c r="G658" s="3" t="s">
        <v>1142</v>
      </c>
      <c r="H658" s="4">
        <v>39834.574305555558</v>
      </c>
      <c r="I658" s="3">
        <v>59.9166667</v>
      </c>
      <c r="J658" s="3">
        <v>10.75</v>
      </c>
      <c r="K658" s="5"/>
      <c r="L658" s="8">
        <f t="shared" si="20"/>
        <v>2009</v>
      </c>
      <c r="M658" s="8">
        <f t="shared" si="21"/>
        <v>39834</v>
      </c>
      <c r="N658" s="19">
        <v>0.48333333333333334</v>
      </c>
    </row>
    <row r="659" spans="1:14" x14ac:dyDescent="0.3">
      <c r="A659" s="6" t="s">
        <v>11</v>
      </c>
      <c r="B659" s="6">
        <v>1200</v>
      </c>
      <c r="C659" s="6" t="s">
        <v>17</v>
      </c>
      <c r="D659" s="6" t="s">
        <v>1148</v>
      </c>
      <c r="E659" s="6" t="s">
        <v>1140</v>
      </c>
      <c r="F659" s="6" t="s">
        <v>1141</v>
      </c>
      <c r="G659" s="6" t="s">
        <v>1142</v>
      </c>
      <c r="H659" s="7">
        <v>39835.609722222223</v>
      </c>
      <c r="I659" s="6">
        <v>58.966666699999998</v>
      </c>
      <c r="J659" s="6">
        <v>5.75</v>
      </c>
      <c r="K659" s="8"/>
      <c r="L659" s="5">
        <f t="shared" si="20"/>
        <v>2009</v>
      </c>
      <c r="M659" s="5">
        <f t="shared" si="21"/>
        <v>39835</v>
      </c>
      <c r="N659" s="18">
        <v>9.8611111111111108E-2</v>
      </c>
    </row>
    <row r="660" spans="1:14" x14ac:dyDescent="0.3">
      <c r="A660" s="3" t="s">
        <v>11</v>
      </c>
      <c r="B660" s="3">
        <v>1200</v>
      </c>
      <c r="C660" s="3" t="s">
        <v>12</v>
      </c>
      <c r="D660" s="3" t="s">
        <v>1149</v>
      </c>
      <c r="E660" s="3" t="s">
        <v>1150</v>
      </c>
      <c r="F660" s="3" t="s">
        <v>1151</v>
      </c>
      <c r="G660" s="3" t="s">
        <v>1142</v>
      </c>
      <c r="H660" s="4">
        <v>39837.631944444445</v>
      </c>
      <c r="I660" s="3">
        <v>59.413611099999997</v>
      </c>
      <c r="J660" s="3">
        <v>10.466944399999999</v>
      </c>
      <c r="K660" s="5"/>
      <c r="L660" s="5">
        <f t="shared" si="20"/>
        <v>2009</v>
      </c>
      <c r="M660" s="5">
        <f t="shared" si="21"/>
        <v>39837</v>
      </c>
      <c r="N660" s="18">
        <v>0.14444444444444443</v>
      </c>
    </row>
    <row r="661" spans="1:14" x14ac:dyDescent="0.3">
      <c r="A661" s="6" t="s">
        <v>11</v>
      </c>
      <c r="B661" s="6">
        <v>1200</v>
      </c>
      <c r="C661" s="6" t="s">
        <v>17</v>
      </c>
      <c r="D661" s="6" t="s">
        <v>1152</v>
      </c>
      <c r="E661" s="6" t="s">
        <v>1153</v>
      </c>
      <c r="F661" s="6" t="s">
        <v>1141</v>
      </c>
      <c r="G661" s="6" t="s">
        <v>1142</v>
      </c>
      <c r="H661" s="7">
        <v>39841.443749999999</v>
      </c>
      <c r="I661" s="6">
        <v>58.883333299999997</v>
      </c>
      <c r="J661" s="6">
        <v>5.6</v>
      </c>
      <c r="K661" s="8"/>
      <c r="L661" s="8">
        <f t="shared" si="20"/>
        <v>2009</v>
      </c>
      <c r="M661" s="8">
        <f t="shared" si="21"/>
        <v>39841</v>
      </c>
      <c r="N661" s="19">
        <v>0.45208333333333334</v>
      </c>
    </row>
    <row r="662" spans="1:14" x14ac:dyDescent="0.3">
      <c r="A662" s="3" t="s">
        <v>11</v>
      </c>
      <c r="B662" s="3">
        <v>1200</v>
      </c>
      <c r="C662" s="3" t="s">
        <v>12</v>
      </c>
      <c r="D662" s="3" t="s">
        <v>83</v>
      </c>
      <c r="E662" s="3" t="s">
        <v>1154</v>
      </c>
      <c r="F662" s="3" t="s">
        <v>1155</v>
      </c>
      <c r="G662" s="3" t="s">
        <v>1142</v>
      </c>
      <c r="H662" s="4">
        <v>39844.181250000001</v>
      </c>
      <c r="I662" s="3">
        <v>61.55</v>
      </c>
      <c r="J662" s="3">
        <v>6.35</v>
      </c>
      <c r="K662" s="5"/>
      <c r="L662" s="5">
        <f t="shared" si="20"/>
        <v>2009</v>
      </c>
      <c r="M662" s="5">
        <f t="shared" si="21"/>
        <v>39844</v>
      </c>
      <c r="N662" s="18">
        <v>0.12222222222222222</v>
      </c>
    </row>
    <row r="663" spans="1:14" x14ac:dyDescent="0.3">
      <c r="A663" s="6" t="s">
        <v>11</v>
      </c>
      <c r="B663" s="6">
        <v>1200</v>
      </c>
      <c r="C663" s="6" t="s">
        <v>17</v>
      </c>
      <c r="D663" s="6" t="s">
        <v>261</v>
      </c>
      <c r="E663" s="6" t="s">
        <v>1156</v>
      </c>
      <c r="F663" s="6" t="s">
        <v>1144</v>
      </c>
      <c r="G663" s="6" t="s">
        <v>1142</v>
      </c>
      <c r="H663" s="7">
        <v>39845.179166666669</v>
      </c>
      <c r="I663" s="6">
        <v>59.860833300000003</v>
      </c>
      <c r="J663" s="6">
        <v>10.790555599999999</v>
      </c>
      <c r="K663" s="8"/>
      <c r="L663" s="8">
        <f t="shared" si="20"/>
        <v>2009</v>
      </c>
      <c r="M663" s="8">
        <f t="shared" si="21"/>
        <v>39845</v>
      </c>
      <c r="N663" s="19">
        <v>0.19097222222222221</v>
      </c>
    </row>
    <row r="664" spans="1:14" x14ac:dyDescent="0.3">
      <c r="A664" s="3" t="s">
        <v>11</v>
      </c>
      <c r="B664" s="3">
        <v>1200</v>
      </c>
      <c r="C664" s="3" t="s">
        <v>12</v>
      </c>
      <c r="D664" s="3" t="s">
        <v>1157</v>
      </c>
      <c r="E664" s="3" t="s">
        <v>1158</v>
      </c>
      <c r="F664" s="3" t="s">
        <v>1159</v>
      </c>
      <c r="G664" s="3" t="s">
        <v>1142</v>
      </c>
      <c r="H664" s="4">
        <v>39846.005555555559</v>
      </c>
      <c r="I664" s="3">
        <v>60.391111100000003</v>
      </c>
      <c r="J664" s="3">
        <v>5.3247222000000001</v>
      </c>
      <c r="K664" s="5"/>
      <c r="L664" s="5">
        <f t="shared" si="20"/>
        <v>2009</v>
      </c>
      <c r="M664" s="5">
        <f t="shared" si="21"/>
        <v>39846</v>
      </c>
      <c r="N664" s="18">
        <v>0.15208333333333332</v>
      </c>
    </row>
    <row r="665" spans="1:14" x14ac:dyDescent="0.3">
      <c r="A665" s="6" t="s">
        <v>11</v>
      </c>
      <c r="B665" s="6">
        <v>1200</v>
      </c>
      <c r="C665" s="6" t="s">
        <v>12</v>
      </c>
      <c r="D665" s="6" t="s">
        <v>1160</v>
      </c>
      <c r="E665" s="6" t="s">
        <v>1161</v>
      </c>
      <c r="F665" s="6" t="s">
        <v>1159</v>
      </c>
      <c r="G665" s="6" t="s">
        <v>1142</v>
      </c>
      <c r="H665" s="7">
        <v>39854.37777777778</v>
      </c>
      <c r="I665" s="6">
        <v>60.633333299999997</v>
      </c>
      <c r="J665" s="6">
        <v>6.4333333000000001</v>
      </c>
      <c r="K665" s="8"/>
      <c r="L665" s="8">
        <f t="shared" si="20"/>
        <v>2009</v>
      </c>
      <c r="M665" s="8">
        <f t="shared" si="21"/>
        <v>39854</v>
      </c>
      <c r="N665" s="19">
        <v>0.38472222222222224</v>
      </c>
    </row>
    <row r="666" spans="1:14" x14ac:dyDescent="0.3">
      <c r="A666" s="3" t="s">
        <v>11</v>
      </c>
      <c r="B666" s="3">
        <v>1200</v>
      </c>
      <c r="C666" s="3" t="s">
        <v>17</v>
      </c>
      <c r="D666" s="3" t="s">
        <v>1162</v>
      </c>
      <c r="E666" s="3" t="s">
        <v>1144</v>
      </c>
      <c r="F666" s="3" t="s">
        <v>1144</v>
      </c>
      <c r="G666" s="3" t="s">
        <v>1142</v>
      </c>
      <c r="H666" s="4">
        <v>39857.96875</v>
      </c>
      <c r="I666" s="3">
        <v>59.9166667</v>
      </c>
      <c r="J666" s="3">
        <v>10.75</v>
      </c>
      <c r="K666" s="5"/>
      <c r="L666" s="5">
        <f t="shared" si="20"/>
        <v>2009</v>
      </c>
      <c r="M666" s="5">
        <f t="shared" si="21"/>
        <v>39857</v>
      </c>
      <c r="N666" s="18">
        <v>0.19097222222222221</v>
      </c>
    </row>
    <row r="667" spans="1:14" x14ac:dyDescent="0.3">
      <c r="A667" s="6" t="s">
        <v>21</v>
      </c>
      <c r="B667" s="6">
        <v>100000</v>
      </c>
      <c r="C667" s="6" t="s">
        <v>12</v>
      </c>
      <c r="D667" s="6" t="s">
        <v>915</v>
      </c>
      <c r="E667" s="6" t="s">
        <v>1144</v>
      </c>
      <c r="F667" s="6" t="s">
        <v>1144</v>
      </c>
      <c r="G667" s="6" t="s">
        <v>1142</v>
      </c>
      <c r="H667" s="7">
        <v>39864.973611111112</v>
      </c>
      <c r="I667" s="6">
        <v>59.9166667</v>
      </c>
      <c r="J667" s="6">
        <v>10.75</v>
      </c>
      <c r="K667" s="8"/>
      <c r="L667" s="5">
        <f t="shared" si="20"/>
        <v>2009</v>
      </c>
      <c r="M667" s="5">
        <f t="shared" si="21"/>
        <v>39864</v>
      </c>
      <c r="N667" s="18">
        <v>0.34444444444444444</v>
      </c>
    </row>
    <row r="668" spans="1:14" x14ac:dyDescent="0.3">
      <c r="A668" s="3" t="s">
        <v>11</v>
      </c>
      <c r="B668" s="3">
        <v>1200</v>
      </c>
      <c r="C668" s="3" t="s">
        <v>17</v>
      </c>
      <c r="D668" s="3" t="s">
        <v>201</v>
      </c>
      <c r="E668" s="3" t="s">
        <v>1163</v>
      </c>
      <c r="F668" s="3" t="s">
        <v>1141</v>
      </c>
      <c r="G668" s="3" t="s">
        <v>1142</v>
      </c>
      <c r="H668" s="4">
        <v>39869.027777777781</v>
      </c>
      <c r="I668" s="3">
        <v>58.966666699999998</v>
      </c>
      <c r="J668" s="3">
        <v>5.75</v>
      </c>
      <c r="K668" s="5"/>
      <c r="L668" s="8">
        <f t="shared" si="20"/>
        <v>2009</v>
      </c>
      <c r="M668" s="8">
        <f t="shared" si="21"/>
        <v>39869</v>
      </c>
      <c r="N668" s="19">
        <v>0.44930555555555557</v>
      </c>
    </row>
    <row r="669" spans="1:14" x14ac:dyDescent="0.3">
      <c r="A669" s="6" t="s">
        <v>11</v>
      </c>
      <c r="B669" s="6">
        <v>1200</v>
      </c>
      <c r="C669" s="6" t="s">
        <v>12</v>
      </c>
      <c r="D669" s="6" t="s">
        <v>1164</v>
      </c>
      <c r="E669" s="6" t="s">
        <v>1165</v>
      </c>
      <c r="F669" s="6" t="s">
        <v>1151</v>
      </c>
      <c r="G669" s="6" t="s">
        <v>1142</v>
      </c>
      <c r="H669" s="7">
        <v>39869.502083333333</v>
      </c>
      <c r="I669" s="6">
        <v>59.348888899999999</v>
      </c>
      <c r="J669" s="6">
        <v>10.467499999999999</v>
      </c>
      <c r="K669" s="8"/>
      <c r="L669" s="5">
        <f t="shared" si="20"/>
        <v>2009</v>
      </c>
      <c r="M669" s="5">
        <f t="shared" si="21"/>
        <v>39869</v>
      </c>
      <c r="N669" s="18">
        <v>0.53888888888888886</v>
      </c>
    </row>
    <row r="670" spans="1:14" x14ac:dyDescent="0.3">
      <c r="A670" s="3" t="s">
        <v>11</v>
      </c>
      <c r="B670" s="3">
        <v>1200</v>
      </c>
      <c r="C670" s="3" t="s">
        <v>12</v>
      </c>
      <c r="D670" s="3" t="s">
        <v>456</v>
      </c>
      <c r="E670" s="3" t="s">
        <v>1166</v>
      </c>
      <c r="F670" s="3" t="s">
        <v>1167</v>
      </c>
      <c r="G670" s="3" t="s">
        <v>1142</v>
      </c>
      <c r="H670" s="4">
        <v>39870.137499999997</v>
      </c>
      <c r="I670" s="3">
        <v>59.816666699999999</v>
      </c>
      <c r="J670" s="3">
        <v>10.25</v>
      </c>
      <c r="K670" s="5"/>
      <c r="L670" s="8">
        <f t="shared" si="20"/>
        <v>2009</v>
      </c>
      <c r="M670" s="8">
        <f t="shared" si="21"/>
        <v>39870</v>
      </c>
      <c r="N670" s="19">
        <v>0.18124999999999999</v>
      </c>
    </row>
    <row r="671" spans="1:14" x14ac:dyDescent="0.3">
      <c r="A671" s="6" t="s">
        <v>11</v>
      </c>
      <c r="B671" s="6">
        <v>1200</v>
      </c>
      <c r="C671" s="6" t="s">
        <v>12</v>
      </c>
      <c r="D671" s="6" t="s">
        <v>1168</v>
      </c>
      <c r="E671" s="6" t="s">
        <v>1169</v>
      </c>
      <c r="F671" s="6" t="s">
        <v>1170</v>
      </c>
      <c r="G671" s="6" t="s">
        <v>1171</v>
      </c>
      <c r="H671" s="7">
        <v>39844.740972222222</v>
      </c>
      <c r="I671" s="6">
        <v>-39.066666699999999</v>
      </c>
      <c r="J671" s="6">
        <v>174.08333329999999</v>
      </c>
      <c r="K671" s="8"/>
      <c r="L671" s="5">
        <f t="shared" si="20"/>
        <v>2009</v>
      </c>
      <c r="M671" s="5">
        <f t="shared" si="21"/>
        <v>39844</v>
      </c>
      <c r="N671" s="18">
        <v>0.50277777777777777</v>
      </c>
    </row>
    <row r="672" spans="1:14" x14ac:dyDescent="0.3">
      <c r="A672" s="3" t="s">
        <v>11</v>
      </c>
      <c r="B672" s="3">
        <v>1200</v>
      </c>
      <c r="C672" s="3" t="s">
        <v>12</v>
      </c>
      <c r="D672" s="3" t="s">
        <v>811</v>
      </c>
      <c r="E672" s="3" t="s">
        <v>1172</v>
      </c>
      <c r="F672" s="3" t="s">
        <v>1173</v>
      </c>
      <c r="G672" s="3" t="s">
        <v>1171</v>
      </c>
      <c r="H672" s="4">
        <v>39845.896527777775</v>
      </c>
      <c r="I672" s="3">
        <v>-36.700000000000003</v>
      </c>
      <c r="J672" s="3">
        <v>174.75</v>
      </c>
      <c r="K672" s="5"/>
      <c r="L672" s="8">
        <f t="shared" si="20"/>
        <v>2009</v>
      </c>
      <c r="M672" s="8">
        <f t="shared" si="21"/>
        <v>39845</v>
      </c>
      <c r="N672" s="19">
        <v>0.11319444444444444</v>
      </c>
    </row>
    <row r="673" spans="1:14" x14ac:dyDescent="0.3">
      <c r="A673" s="6" t="s">
        <v>11</v>
      </c>
      <c r="B673" s="6">
        <v>1200</v>
      </c>
      <c r="C673" s="6" t="s">
        <v>12</v>
      </c>
      <c r="D673" s="6" t="s">
        <v>713</v>
      </c>
      <c r="E673" s="6" t="s">
        <v>1173</v>
      </c>
      <c r="F673" s="6" t="s">
        <v>1173</v>
      </c>
      <c r="G673" s="6" t="s">
        <v>1171</v>
      </c>
      <c r="H673" s="7">
        <v>39854.688194444447</v>
      </c>
      <c r="I673" s="6">
        <v>-36.866666700000003</v>
      </c>
      <c r="J673" s="6">
        <v>174.7666667</v>
      </c>
      <c r="K673" s="8"/>
      <c r="L673" s="5">
        <f t="shared" si="20"/>
        <v>2009</v>
      </c>
      <c r="M673" s="5">
        <f t="shared" si="21"/>
        <v>39854</v>
      </c>
      <c r="N673" s="18">
        <v>0.12708333333333333</v>
      </c>
    </row>
    <row r="674" spans="1:14" x14ac:dyDescent="0.3">
      <c r="A674" s="3" t="s">
        <v>11</v>
      </c>
      <c r="B674" s="3">
        <v>1200</v>
      </c>
      <c r="C674" s="3" t="s">
        <v>12</v>
      </c>
      <c r="D674" s="3" t="s">
        <v>1174</v>
      </c>
      <c r="E674" s="3" t="s">
        <v>1175</v>
      </c>
      <c r="F674" s="3" t="s">
        <v>1173</v>
      </c>
      <c r="G674" s="3" t="s">
        <v>1171</v>
      </c>
      <c r="H674" s="4">
        <v>39857.82916666667</v>
      </c>
      <c r="I674" s="3">
        <v>-36.549999999999997</v>
      </c>
      <c r="J674" s="3">
        <v>174.71666669999999</v>
      </c>
      <c r="K674" s="5"/>
      <c r="L674" s="5">
        <f t="shared" si="20"/>
        <v>2009</v>
      </c>
      <c r="M674" s="5">
        <f t="shared" si="21"/>
        <v>39857</v>
      </c>
      <c r="N674" s="18">
        <v>8.1250000000000003E-2</v>
      </c>
    </row>
    <row r="675" spans="1:14" x14ac:dyDescent="0.3">
      <c r="A675" s="6" t="s">
        <v>11</v>
      </c>
      <c r="B675" s="6">
        <v>1200</v>
      </c>
      <c r="C675" s="6" t="s">
        <v>12</v>
      </c>
      <c r="D675" s="6" t="s">
        <v>451</v>
      </c>
      <c r="E675" s="6" t="s">
        <v>1176</v>
      </c>
      <c r="F675" s="6" t="s">
        <v>1173</v>
      </c>
      <c r="G675" s="6" t="s">
        <v>1171</v>
      </c>
      <c r="H675" s="7">
        <v>39870.679861111108</v>
      </c>
      <c r="I675" s="6">
        <v>-37.133333299999997</v>
      </c>
      <c r="J675" s="6">
        <v>174.75</v>
      </c>
      <c r="K675" s="8"/>
      <c r="L675" s="8">
        <f t="shared" si="20"/>
        <v>2009</v>
      </c>
      <c r="M675" s="8">
        <f t="shared" si="21"/>
        <v>39870</v>
      </c>
      <c r="N675" s="19">
        <v>0.36875000000000002</v>
      </c>
    </row>
    <row r="676" spans="1:14" x14ac:dyDescent="0.3">
      <c r="A676" s="3" t="s">
        <v>11</v>
      </c>
      <c r="B676" s="3">
        <v>1200</v>
      </c>
      <c r="C676" s="3" t="s">
        <v>12</v>
      </c>
      <c r="D676" s="3" t="s">
        <v>801</v>
      </c>
      <c r="E676" s="3" t="s">
        <v>1177</v>
      </c>
      <c r="F676" s="3" t="s">
        <v>1170</v>
      </c>
      <c r="G676" s="3" t="s">
        <v>1171</v>
      </c>
      <c r="H676" s="4">
        <v>39872.529861111114</v>
      </c>
      <c r="I676" s="3">
        <v>-39.591666699999998</v>
      </c>
      <c r="J676" s="3">
        <v>174.28333330000001</v>
      </c>
      <c r="K676" s="5"/>
      <c r="L676" s="5">
        <f t="shared" si="20"/>
        <v>2009</v>
      </c>
      <c r="M676" s="5">
        <f t="shared" si="21"/>
        <v>39872</v>
      </c>
      <c r="N676" s="18">
        <v>0.41805555555555557</v>
      </c>
    </row>
    <row r="677" spans="1:14" x14ac:dyDescent="0.3">
      <c r="A677" s="6" t="s">
        <v>11</v>
      </c>
      <c r="B677" s="6">
        <v>1200</v>
      </c>
      <c r="C677" s="6" t="s">
        <v>65</v>
      </c>
      <c r="D677" s="6" t="s">
        <v>347</v>
      </c>
      <c r="E677" s="6" t="s">
        <v>1178</v>
      </c>
      <c r="F677" s="6" t="s">
        <v>1179</v>
      </c>
      <c r="G677" s="6" t="s">
        <v>1180</v>
      </c>
      <c r="H677" s="7">
        <v>39818.34375</v>
      </c>
      <c r="I677" s="6">
        <v>51.45</v>
      </c>
      <c r="J677" s="6">
        <v>5.4666667000000002</v>
      </c>
      <c r="K677" s="8"/>
      <c r="L677" s="8">
        <f t="shared" si="20"/>
        <v>2009</v>
      </c>
      <c r="M677" s="8">
        <f t="shared" si="21"/>
        <v>39818</v>
      </c>
      <c r="N677" s="19">
        <v>0.23541666666666666</v>
      </c>
    </row>
    <row r="678" spans="1:14" x14ac:dyDescent="0.3">
      <c r="A678" s="3" t="s">
        <v>11</v>
      </c>
      <c r="B678" s="3">
        <v>1200</v>
      </c>
      <c r="C678" s="3" t="s">
        <v>17</v>
      </c>
      <c r="D678" s="3" t="s">
        <v>541</v>
      </c>
      <c r="E678" s="3" t="s">
        <v>1181</v>
      </c>
      <c r="F678" s="3" t="s">
        <v>1182</v>
      </c>
      <c r="G678" s="3" t="s">
        <v>1180</v>
      </c>
      <c r="H678" s="4">
        <v>39821.489583333336</v>
      </c>
      <c r="I678" s="3">
        <v>52.3333333</v>
      </c>
      <c r="J678" s="3">
        <v>4.7833332999999998</v>
      </c>
      <c r="K678" s="5"/>
      <c r="L678" s="5">
        <f t="shared" si="20"/>
        <v>2009</v>
      </c>
      <c r="M678" s="5">
        <f t="shared" si="21"/>
        <v>39821</v>
      </c>
      <c r="N678" s="18">
        <v>5.347222222222222E-2</v>
      </c>
    </row>
    <row r="679" spans="1:14" x14ac:dyDescent="0.3">
      <c r="A679" s="6" t="s">
        <v>11</v>
      </c>
      <c r="B679" s="6">
        <v>1200</v>
      </c>
      <c r="C679" s="6" t="s">
        <v>17</v>
      </c>
      <c r="D679" s="6" t="s">
        <v>1183</v>
      </c>
      <c r="E679" s="6" t="s">
        <v>1184</v>
      </c>
      <c r="F679" s="6" t="s">
        <v>1185</v>
      </c>
      <c r="G679" s="6" t="s">
        <v>1180</v>
      </c>
      <c r="H679" s="7">
        <v>39828.451388888891</v>
      </c>
      <c r="I679" s="6">
        <v>53.133333299999997</v>
      </c>
      <c r="J679" s="6">
        <v>6.6333333000000003</v>
      </c>
      <c r="K679" s="8"/>
      <c r="L679" s="8">
        <f t="shared" si="20"/>
        <v>2009</v>
      </c>
      <c r="M679" s="8">
        <f t="shared" si="21"/>
        <v>39828</v>
      </c>
      <c r="N679" s="19">
        <v>0.21111111111111111</v>
      </c>
    </row>
    <row r="680" spans="1:14" x14ac:dyDescent="0.3">
      <c r="A680" s="3" t="s">
        <v>11</v>
      </c>
      <c r="B680" s="3">
        <v>1200</v>
      </c>
      <c r="C680" s="3" t="s">
        <v>65</v>
      </c>
      <c r="D680" s="3" t="s">
        <v>59</v>
      </c>
      <c r="E680" s="3" t="s">
        <v>1186</v>
      </c>
      <c r="F680" s="3" t="s">
        <v>1187</v>
      </c>
      <c r="G680" s="3" t="s">
        <v>1180</v>
      </c>
      <c r="H680" s="4">
        <v>39830.546527777777</v>
      </c>
      <c r="I680" s="3">
        <v>52.0833333</v>
      </c>
      <c r="J680" s="3">
        <v>4.3</v>
      </c>
      <c r="K680" s="5"/>
      <c r="L680" s="5">
        <f t="shared" si="20"/>
        <v>2009</v>
      </c>
      <c r="M680" s="5">
        <f t="shared" si="21"/>
        <v>39830</v>
      </c>
      <c r="N680" s="18">
        <v>0.54097222222222219</v>
      </c>
    </row>
    <row r="681" spans="1:14" x14ac:dyDescent="0.3">
      <c r="A681" s="6" t="s">
        <v>11</v>
      </c>
      <c r="B681" s="6">
        <v>1200</v>
      </c>
      <c r="C681" s="6" t="s">
        <v>17</v>
      </c>
      <c r="D681" s="6" t="s">
        <v>1188</v>
      </c>
      <c r="E681" s="6" t="s">
        <v>1189</v>
      </c>
      <c r="F681" s="6" t="s">
        <v>1182</v>
      </c>
      <c r="G681" s="6" t="s">
        <v>1180</v>
      </c>
      <c r="H681" s="7">
        <v>39830.94027777778</v>
      </c>
      <c r="I681" s="6">
        <v>52.35</v>
      </c>
      <c r="J681" s="6">
        <v>4.9166667000000004</v>
      </c>
      <c r="K681" s="8"/>
      <c r="L681" s="5">
        <f t="shared" si="20"/>
        <v>2009</v>
      </c>
      <c r="M681" s="5">
        <f t="shared" si="21"/>
        <v>39830</v>
      </c>
      <c r="N681" s="18">
        <v>0.16041666666666668</v>
      </c>
    </row>
    <row r="682" spans="1:14" x14ac:dyDescent="0.3">
      <c r="A682" s="3" t="s">
        <v>11</v>
      </c>
      <c r="B682" s="3">
        <v>1200</v>
      </c>
      <c r="C682" s="3" t="s">
        <v>17</v>
      </c>
      <c r="D682" s="3" t="s">
        <v>1190</v>
      </c>
      <c r="E682" s="3" t="s">
        <v>1189</v>
      </c>
      <c r="F682" s="3" t="s">
        <v>1182</v>
      </c>
      <c r="G682" s="3" t="s">
        <v>1180</v>
      </c>
      <c r="H682" s="4">
        <v>39832.207638888889</v>
      </c>
      <c r="I682" s="3">
        <v>52.35</v>
      </c>
      <c r="J682" s="3">
        <v>4.9166667000000004</v>
      </c>
      <c r="K682" s="5"/>
      <c r="L682" s="8">
        <f t="shared" si="20"/>
        <v>2009</v>
      </c>
      <c r="M682" s="8">
        <f t="shared" si="21"/>
        <v>39832</v>
      </c>
      <c r="N682" s="19">
        <v>0.51875000000000004</v>
      </c>
    </row>
    <row r="683" spans="1:14" x14ac:dyDescent="0.3">
      <c r="A683" s="6" t="s">
        <v>11</v>
      </c>
      <c r="B683" s="6">
        <v>1200</v>
      </c>
      <c r="C683" s="6" t="s">
        <v>12</v>
      </c>
      <c r="D683" s="6" t="s">
        <v>1191</v>
      </c>
      <c r="E683" s="6" t="s">
        <v>1192</v>
      </c>
      <c r="F683" s="6" t="s">
        <v>1182</v>
      </c>
      <c r="G683" s="6" t="s">
        <v>1180</v>
      </c>
      <c r="H683" s="7">
        <v>39835.026388888888</v>
      </c>
      <c r="I683" s="6">
        <v>52.55</v>
      </c>
      <c r="J683" s="6">
        <v>4.6666667000000004</v>
      </c>
      <c r="K683" s="8"/>
      <c r="L683" s="5">
        <f t="shared" si="20"/>
        <v>2009</v>
      </c>
      <c r="M683" s="5">
        <f t="shared" si="21"/>
        <v>39835</v>
      </c>
      <c r="N683" s="18">
        <v>0.10069444444444445</v>
      </c>
    </row>
    <row r="684" spans="1:14" x14ac:dyDescent="0.3">
      <c r="A684" s="3" t="s">
        <v>11</v>
      </c>
      <c r="B684" s="3">
        <v>1200</v>
      </c>
      <c r="C684" s="3" t="s">
        <v>65</v>
      </c>
      <c r="D684" s="3" t="s">
        <v>1193</v>
      </c>
      <c r="E684" s="3" t="s">
        <v>1194</v>
      </c>
      <c r="F684" s="3" t="s">
        <v>1182</v>
      </c>
      <c r="G684" s="3" t="s">
        <v>1180</v>
      </c>
      <c r="H684" s="4">
        <v>39836.152777777781</v>
      </c>
      <c r="I684" s="3">
        <v>52.3</v>
      </c>
      <c r="J684" s="3">
        <v>5.15</v>
      </c>
      <c r="K684" s="5"/>
      <c r="L684" s="8">
        <f t="shared" si="20"/>
        <v>2009</v>
      </c>
      <c r="M684" s="8">
        <f t="shared" si="21"/>
        <v>39836</v>
      </c>
      <c r="N684" s="19">
        <v>0.14583333333333334</v>
      </c>
    </row>
    <row r="685" spans="1:14" x14ac:dyDescent="0.3">
      <c r="A685" s="6" t="s">
        <v>21</v>
      </c>
      <c r="B685" s="6">
        <v>100000</v>
      </c>
      <c r="C685" s="6" t="s">
        <v>17</v>
      </c>
      <c r="D685" s="6" t="s">
        <v>675</v>
      </c>
      <c r="E685" s="6" t="s">
        <v>1186</v>
      </c>
      <c r="F685" s="6" t="s">
        <v>1187</v>
      </c>
      <c r="G685" s="6" t="s">
        <v>1180</v>
      </c>
      <c r="H685" s="7">
        <v>39838.134027777778</v>
      </c>
      <c r="I685" s="6">
        <v>52.0833333</v>
      </c>
      <c r="J685" s="6">
        <v>4.3</v>
      </c>
      <c r="K685" s="8"/>
      <c r="L685" s="5">
        <f t="shared" si="20"/>
        <v>2009</v>
      </c>
      <c r="M685" s="5">
        <f t="shared" si="21"/>
        <v>39838</v>
      </c>
      <c r="N685" s="18">
        <v>0.10972222222222222</v>
      </c>
    </row>
    <row r="686" spans="1:14" x14ac:dyDescent="0.3">
      <c r="A686" s="3" t="s">
        <v>11</v>
      </c>
      <c r="B686" s="3">
        <v>1200</v>
      </c>
      <c r="C686" s="3" t="s">
        <v>17</v>
      </c>
      <c r="D686" s="3" t="s">
        <v>277</v>
      </c>
      <c r="E686" s="3" t="s">
        <v>1186</v>
      </c>
      <c r="F686" s="3" t="s">
        <v>1187</v>
      </c>
      <c r="G686" s="3" t="s">
        <v>1180</v>
      </c>
      <c r="H686" s="4">
        <v>39845.553472222222</v>
      </c>
      <c r="I686" s="3">
        <v>52.0833333</v>
      </c>
      <c r="J686" s="3">
        <v>4.3</v>
      </c>
      <c r="K686" s="5"/>
      <c r="L686" s="8">
        <f t="shared" si="20"/>
        <v>2009</v>
      </c>
      <c r="M686" s="8">
        <f t="shared" si="21"/>
        <v>39845</v>
      </c>
      <c r="N686" s="19">
        <v>0.30972222222222223</v>
      </c>
    </row>
    <row r="687" spans="1:14" x14ac:dyDescent="0.3">
      <c r="A687" s="6" t="s">
        <v>11</v>
      </c>
      <c r="B687" s="6">
        <v>1200</v>
      </c>
      <c r="C687" s="6" t="s">
        <v>12</v>
      </c>
      <c r="D687" s="6" t="s">
        <v>1195</v>
      </c>
      <c r="E687" s="6" t="s">
        <v>1189</v>
      </c>
      <c r="F687" s="6" t="s">
        <v>1182</v>
      </c>
      <c r="G687" s="6" t="s">
        <v>1180</v>
      </c>
      <c r="H687" s="7">
        <v>39856.540972222225</v>
      </c>
      <c r="I687" s="6">
        <v>52.35</v>
      </c>
      <c r="J687" s="6">
        <v>4.9166667000000004</v>
      </c>
      <c r="K687" s="8"/>
      <c r="L687" s="5">
        <f t="shared" si="20"/>
        <v>2009</v>
      </c>
      <c r="M687" s="5">
        <f t="shared" si="21"/>
        <v>39856</v>
      </c>
      <c r="N687" s="18">
        <v>0.53263888888888888</v>
      </c>
    </row>
    <row r="688" spans="1:14" x14ac:dyDescent="0.3">
      <c r="A688" s="3" t="s">
        <v>11</v>
      </c>
      <c r="B688" s="3">
        <v>1200</v>
      </c>
      <c r="C688" s="3" t="s">
        <v>65</v>
      </c>
      <c r="D688" s="3" t="s">
        <v>1196</v>
      </c>
      <c r="E688" s="3" t="s">
        <v>1186</v>
      </c>
      <c r="F688" s="3" t="s">
        <v>1187</v>
      </c>
      <c r="G688" s="3" t="s">
        <v>1180</v>
      </c>
      <c r="H688" s="4">
        <v>39857.128472222219</v>
      </c>
      <c r="I688" s="3">
        <v>52.0833333</v>
      </c>
      <c r="J688" s="3">
        <v>4.3</v>
      </c>
      <c r="K688" s="5"/>
      <c r="L688" s="5">
        <f t="shared" si="20"/>
        <v>2009</v>
      </c>
      <c r="M688" s="5">
        <f t="shared" si="21"/>
        <v>39857</v>
      </c>
      <c r="N688" s="18">
        <v>0.33194444444444443</v>
      </c>
    </row>
    <row r="689" spans="1:14" x14ac:dyDescent="0.3">
      <c r="A689" s="6" t="s">
        <v>11</v>
      </c>
      <c r="B689" s="6">
        <v>1200</v>
      </c>
      <c r="C689" s="6" t="s">
        <v>17</v>
      </c>
      <c r="D689" s="6" t="s">
        <v>1197</v>
      </c>
      <c r="E689" s="6" t="s">
        <v>1186</v>
      </c>
      <c r="F689" s="6" t="s">
        <v>1187</v>
      </c>
      <c r="G689" s="6" t="s">
        <v>1180</v>
      </c>
      <c r="H689" s="7">
        <v>39859.22152777778</v>
      </c>
      <c r="I689" s="6">
        <v>52.0833333</v>
      </c>
      <c r="J689" s="6">
        <v>4.3</v>
      </c>
      <c r="K689" s="8"/>
      <c r="L689" s="8">
        <f t="shared" si="20"/>
        <v>2009</v>
      </c>
      <c r="M689" s="8">
        <f t="shared" si="21"/>
        <v>39859</v>
      </c>
      <c r="N689" s="19">
        <v>7.5694444444444439E-2</v>
      </c>
    </row>
    <row r="690" spans="1:14" x14ac:dyDescent="0.3">
      <c r="A690" s="3" t="s">
        <v>21</v>
      </c>
      <c r="B690" s="3">
        <v>100000</v>
      </c>
      <c r="C690" s="3" t="s">
        <v>12</v>
      </c>
      <c r="D690" s="3" t="s">
        <v>810</v>
      </c>
      <c r="E690" s="3" t="s">
        <v>1198</v>
      </c>
      <c r="F690" s="3" t="s">
        <v>1199</v>
      </c>
      <c r="G690" s="3" t="s">
        <v>1180</v>
      </c>
      <c r="H690" s="4">
        <v>39859.439583333333</v>
      </c>
      <c r="I690" s="3">
        <v>52.033333300000002</v>
      </c>
      <c r="J690" s="3">
        <v>5.6666667000000004</v>
      </c>
      <c r="K690" s="5"/>
      <c r="L690" s="5">
        <f t="shared" si="20"/>
        <v>2009</v>
      </c>
      <c r="M690" s="5">
        <f t="shared" si="21"/>
        <v>39859</v>
      </c>
      <c r="N690" s="18">
        <v>0.15277777777777779</v>
      </c>
    </row>
    <row r="691" spans="1:14" x14ac:dyDescent="0.3">
      <c r="A691" s="6" t="s">
        <v>21</v>
      </c>
      <c r="B691" s="6">
        <v>100000</v>
      </c>
      <c r="C691" s="6" t="s">
        <v>17</v>
      </c>
      <c r="D691" s="6" t="s">
        <v>1200</v>
      </c>
      <c r="E691" s="6" t="s">
        <v>1201</v>
      </c>
      <c r="F691" s="6" t="s">
        <v>1201</v>
      </c>
      <c r="G691" s="6" t="s">
        <v>1180</v>
      </c>
      <c r="H691" s="7">
        <v>39860.53402777778</v>
      </c>
      <c r="I691" s="6">
        <v>52.0833333</v>
      </c>
      <c r="J691" s="6">
        <v>5.1333333000000003</v>
      </c>
      <c r="K691" s="8"/>
      <c r="L691" s="8">
        <f t="shared" si="20"/>
        <v>2009</v>
      </c>
      <c r="M691" s="8">
        <f t="shared" si="21"/>
        <v>39860</v>
      </c>
      <c r="N691" s="19">
        <v>0.50972222222222219</v>
      </c>
    </row>
    <row r="692" spans="1:14" x14ac:dyDescent="0.3">
      <c r="A692" s="3" t="s">
        <v>11</v>
      </c>
      <c r="B692" s="3">
        <v>5000</v>
      </c>
      <c r="C692" s="3" t="s">
        <v>17</v>
      </c>
      <c r="D692" s="3" t="s">
        <v>1202</v>
      </c>
      <c r="E692" s="3" t="s">
        <v>1186</v>
      </c>
      <c r="F692" s="3" t="s">
        <v>1187</v>
      </c>
      <c r="G692" s="3" t="s">
        <v>1180</v>
      </c>
      <c r="H692" s="4">
        <v>39861.149305555555</v>
      </c>
      <c r="I692" s="3">
        <v>52.0833333</v>
      </c>
      <c r="J692" s="3">
        <v>4.3</v>
      </c>
      <c r="K692" s="5"/>
      <c r="L692" s="5">
        <f t="shared" si="20"/>
        <v>2009</v>
      </c>
      <c r="M692" s="5">
        <f t="shared" si="21"/>
        <v>39861</v>
      </c>
      <c r="N692" s="18">
        <v>0.51597222222222228</v>
      </c>
    </row>
    <row r="693" spans="1:14" x14ac:dyDescent="0.3">
      <c r="A693" s="6" t="s">
        <v>11</v>
      </c>
      <c r="B693" s="6">
        <v>1200</v>
      </c>
      <c r="C693" s="6" t="s">
        <v>17</v>
      </c>
      <c r="D693" s="6" t="s">
        <v>214</v>
      </c>
      <c r="E693" s="6" t="s">
        <v>1186</v>
      </c>
      <c r="F693" s="6" t="s">
        <v>1187</v>
      </c>
      <c r="G693" s="6" t="s">
        <v>1180</v>
      </c>
      <c r="H693" s="7">
        <v>39864.01666666667</v>
      </c>
      <c r="I693" s="6">
        <v>52.0833333</v>
      </c>
      <c r="J693" s="6">
        <v>4.3</v>
      </c>
      <c r="K693" s="8"/>
      <c r="L693" s="8">
        <f t="shared" si="20"/>
        <v>2009</v>
      </c>
      <c r="M693" s="8">
        <f t="shared" si="21"/>
        <v>39864</v>
      </c>
      <c r="N693" s="19">
        <v>0.15347222222222223</v>
      </c>
    </row>
    <row r="694" spans="1:14" x14ac:dyDescent="0.3">
      <c r="A694" s="3" t="s">
        <v>64</v>
      </c>
      <c r="B694" s="3">
        <v>100000</v>
      </c>
      <c r="C694" s="3" t="s">
        <v>17</v>
      </c>
      <c r="D694" s="3" t="s">
        <v>1203</v>
      </c>
      <c r="E694" s="3" t="s">
        <v>1186</v>
      </c>
      <c r="F694" s="3" t="s">
        <v>1187</v>
      </c>
      <c r="G694" s="3" t="s">
        <v>1180</v>
      </c>
      <c r="H694" s="4">
        <v>39864.01666666667</v>
      </c>
      <c r="I694" s="3">
        <v>52.0833333</v>
      </c>
      <c r="J694" s="3">
        <v>4.3</v>
      </c>
      <c r="K694" s="5"/>
      <c r="L694" s="5">
        <f t="shared" si="20"/>
        <v>2009</v>
      </c>
      <c r="M694" s="5">
        <f t="shared" si="21"/>
        <v>39864</v>
      </c>
      <c r="N694" s="18">
        <v>0.24305555555555555</v>
      </c>
    </row>
    <row r="695" spans="1:14" x14ac:dyDescent="0.3">
      <c r="A695" s="6" t="s">
        <v>21</v>
      </c>
      <c r="B695" s="6">
        <v>100000</v>
      </c>
      <c r="C695" s="6" t="s">
        <v>12</v>
      </c>
      <c r="D695" s="6" t="s">
        <v>541</v>
      </c>
      <c r="E695" s="6" t="s">
        <v>1204</v>
      </c>
      <c r="F695" s="6" t="s">
        <v>1182</v>
      </c>
      <c r="G695" s="6" t="s">
        <v>1180</v>
      </c>
      <c r="H695" s="7">
        <v>39865.586805555555</v>
      </c>
      <c r="I695" s="6">
        <v>52.233333299999998</v>
      </c>
      <c r="J695" s="6">
        <v>5.1833333000000001</v>
      </c>
      <c r="K695" s="8"/>
      <c r="L695" s="5">
        <f t="shared" si="20"/>
        <v>2009</v>
      </c>
      <c r="M695" s="5">
        <f t="shared" si="21"/>
        <v>39865</v>
      </c>
      <c r="N695" s="18">
        <v>0.49236111111111114</v>
      </c>
    </row>
    <row r="696" spans="1:14" x14ac:dyDescent="0.3">
      <c r="A696" s="3" t="s">
        <v>11</v>
      </c>
      <c r="B696" s="3">
        <v>1200</v>
      </c>
      <c r="C696" s="3" t="s">
        <v>17</v>
      </c>
      <c r="D696" s="3" t="s">
        <v>310</v>
      </c>
      <c r="E696" s="3" t="s">
        <v>1185</v>
      </c>
      <c r="F696" s="3" t="s">
        <v>1185</v>
      </c>
      <c r="G696" s="3" t="s">
        <v>1180</v>
      </c>
      <c r="H696" s="4">
        <v>39867.133333333331</v>
      </c>
      <c r="I696" s="3">
        <v>53.216666699999998</v>
      </c>
      <c r="J696" s="3">
        <v>6.55</v>
      </c>
      <c r="K696" s="5"/>
      <c r="L696" s="8">
        <f t="shared" si="20"/>
        <v>2009</v>
      </c>
      <c r="M696" s="8">
        <f t="shared" si="21"/>
        <v>39867</v>
      </c>
      <c r="N696" s="19">
        <v>0.19027777777777777</v>
      </c>
    </row>
    <row r="697" spans="1:14" x14ac:dyDescent="0.3">
      <c r="A697" s="6" t="s">
        <v>11</v>
      </c>
      <c r="B697" s="6">
        <v>1200</v>
      </c>
      <c r="C697" s="6" t="s">
        <v>17</v>
      </c>
      <c r="D697" s="6" t="s">
        <v>1205</v>
      </c>
      <c r="E697" s="6" t="s">
        <v>1186</v>
      </c>
      <c r="F697" s="6" t="s">
        <v>1187</v>
      </c>
      <c r="G697" s="6" t="s">
        <v>1180</v>
      </c>
      <c r="H697" s="7">
        <v>39869.169444444444</v>
      </c>
      <c r="I697" s="6">
        <v>52.0833333</v>
      </c>
      <c r="J697" s="6">
        <v>4.3</v>
      </c>
      <c r="K697" s="8"/>
      <c r="L697" s="5">
        <f t="shared" si="20"/>
        <v>2009</v>
      </c>
      <c r="M697" s="5">
        <f t="shared" si="21"/>
        <v>39869</v>
      </c>
      <c r="N697" s="18">
        <v>0.51041666666666663</v>
      </c>
    </row>
    <row r="698" spans="1:14" x14ac:dyDescent="0.3">
      <c r="A698" s="3" t="s">
        <v>21</v>
      </c>
      <c r="B698" s="3">
        <v>100000</v>
      </c>
      <c r="C698" s="3" t="s">
        <v>17</v>
      </c>
      <c r="D698" s="3" t="s">
        <v>1206</v>
      </c>
      <c r="E698" s="3" t="s">
        <v>1207</v>
      </c>
      <c r="F698" s="3" t="s">
        <v>1187</v>
      </c>
      <c r="G698" s="3" t="s">
        <v>1180</v>
      </c>
      <c r="H698" s="4">
        <v>39871.082638888889</v>
      </c>
      <c r="I698" s="3">
        <v>52.183333300000001</v>
      </c>
      <c r="J698" s="3">
        <v>4.4666667000000002</v>
      </c>
      <c r="K698" s="5"/>
      <c r="L698" s="8">
        <f t="shared" si="20"/>
        <v>2009</v>
      </c>
      <c r="M698" s="8">
        <f t="shared" si="21"/>
        <v>39871</v>
      </c>
      <c r="N698" s="19">
        <v>0.16458333333333333</v>
      </c>
    </row>
    <row r="699" spans="1:14" x14ac:dyDescent="0.3">
      <c r="A699" s="6" t="s">
        <v>11</v>
      </c>
      <c r="B699" s="6">
        <v>1200</v>
      </c>
      <c r="C699" s="6" t="s">
        <v>12</v>
      </c>
      <c r="D699" s="6" t="s">
        <v>1208</v>
      </c>
      <c r="E699" s="6" t="s">
        <v>1209</v>
      </c>
      <c r="F699" s="6"/>
      <c r="G699" s="6" t="s">
        <v>1210</v>
      </c>
      <c r="H699" s="7">
        <v>39848.261111111111</v>
      </c>
      <c r="I699" s="6">
        <v>43.733333299999998</v>
      </c>
      <c r="J699" s="6">
        <v>7.4166667000000004</v>
      </c>
      <c r="K699" s="8"/>
      <c r="L699" s="5">
        <f t="shared" si="20"/>
        <v>2009</v>
      </c>
      <c r="M699" s="5">
        <f t="shared" si="21"/>
        <v>39848</v>
      </c>
      <c r="N699" s="18">
        <v>6.458333333333334E-2</v>
      </c>
    </row>
    <row r="700" spans="1:14" x14ac:dyDescent="0.3">
      <c r="A700" s="3" t="s">
        <v>11</v>
      </c>
      <c r="B700" s="3">
        <v>1200</v>
      </c>
      <c r="C700" s="3" t="s">
        <v>12</v>
      </c>
      <c r="D700" s="3" t="s">
        <v>1211</v>
      </c>
      <c r="E700" s="3" t="s">
        <v>1210</v>
      </c>
      <c r="F700" s="3"/>
      <c r="G700" s="3" t="s">
        <v>1210</v>
      </c>
      <c r="H700" s="4">
        <v>39848.269444444442</v>
      </c>
      <c r="I700" s="3">
        <v>43.733333299999998</v>
      </c>
      <c r="J700" s="3">
        <v>7.4166667000000004</v>
      </c>
      <c r="K700" s="5"/>
      <c r="L700" s="8">
        <f t="shared" si="20"/>
        <v>2009</v>
      </c>
      <c r="M700" s="8">
        <f t="shared" si="21"/>
        <v>39848</v>
      </c>
      <c r="N700" s="19">
        <v>0.50624999999999998</v>
      </c>
    </row>
    <row r="701" spans="1:14" x14ac:dyDescent="0.3">
      <c r="A701" s="6" t="s">
        <v>11</v>
      </c>
      <c r="B701" s="6">
        <v>1200</v>
      </c>
      <c r="C701" s="6" t="s">
        <v>12</v>
      </c>
      <c r="D701" s="6" t="s">
        <v>235</v>
      </c>
      <c r="E701" s="6" t="s">
        <v>1212</v>
      </c>
      <c r="F701" s="6" t="s">
        <v>1213</v>
      </c>
      <c r="G701" s="6" t="s">
        <v>1214</v>
      </c>
      <c r="H701" s="7">
        <v>39827.435416666667</v>
      </c>
      <c r="I701" s="6">
        <v>46.984999999999999</v>
      </c>
      <c r="J701" s="6">
        <v>28.942499999999999</v>
      </c>
      <c r="K701" s="8"/>
      <c r="L701" s="5">
        <f t="shared" si="20"/>
        <v>2009</v>
      </c>
      <c r="M701" s="5">
        <f t="shared" si="21"/>
        <v>39827</v>
      </c>
      <c r="N701" s="18">
        <v>0.21875</v>
      </c>
    </row>
    <row r="702" spans="1:14" x14ac:dyDescent="0.3">
      <c r="A702" s="3" t="s">
        <v>21</v>
      </c>
      <c r="B702" s="3">
        <v>100000</v>
      </c>
      <c r="C702" s="3" t="s">
        <v>12</v>
      </c>
      <c r="D702" s="3" t="s">
        <v>84</v>
      </c>
      <c r="E702" s="3" t="s">
        <v>1215</v>
      </c>
      <c r="F702" s="3" t="s">
        <v>1215</v>
      </c>
      <c r="G702" s="3" t="s">
        <v>1216</v>
      </c>
      <c r="H702" s="4">
        <v>39873.194444444445</v>
      </c>
      <c r="I702" s="3">
        <v>-20.360277799999999</v>
      </c>
      <c r="J702" s="3">
        <v>57.366111099999998</v>
      </c>
      <c r="K702" s="5"/>
      <c r="L702" s="5">
        <f t="shared" si="20"/>
        <v>2009</v>
      </c>
      <c r="M702" s="5">
        <f t="shared" si="21"/>
        <v>39873</v>
      </c>
      <c r="N702" s="18">
        <v>0.23333333333333334</v>
      </c>
    </row>
    <row r="703" spans="1:14" x14ac:dyDescent="0.3">
      <c r="A703" s="6" t="s">
        <v>21</v>
      </c>
      <c r="B703" s="6">
        <v>100000</v>
      </c>
      <c r="C703" s="6" t="s">
        <v>12</v>
      </c>
      <c r="D703" s="6" t="s">
        <v>1217</v>
      </c>
      <c r="E703" s="6" t="s">
        <v>1218</v>
      </c>
      <c r="F703" s="6"/>
      <c r="G703" s="6" t="s">
        <v>1219</v>
      </c>
      <c r="H703" s="7">
        <v>39835.5</v>
      </c>
      <c r="I703" s="6">
        <v>35.920277800000001</v>
      </c>
      <c r="J703" s="6">
        <v>14.442500000000001</v>
      </c>
      <c r="K703" s="8"/>
      <c r="L703" s="8">
        <f t="shared" si="20"/>
        <v>2009</v>
      </c>
      <c r="M703" s="8">
        <f t="shared" si="21"/>
        <v>39835</v>
      </c>
      <c r="N703" s="19">
        <v>0.51388888888888884</v>
      </c>
    </row>
    <row r="704" spans="1:14" x14ac:dyDescent="0.3">
      <c r="A704" s="3" t="s">
        <v>11</v>
      </c>
      <c r="B704" s="3">
        <v>1200</v>
      </c>
      <c r="C704" s="3" t="s">
        <v>12</v>
      </c>
      <c r="D704" s="3" t="s">
        <v>358</v>
      </c>
      <c r="E704" s="3" t="s">
        <v>1220</v>
      </c>
      <c r="F704" s="3"/>
      <c r="G704" s="3" t="s">
        <v>1219</v>
      </c>
      <c r="H704" s="4">
        <v>39872.332638888889</v>
      </c>
      <c r="I704" s="3">
        <v>36.037777800000001</v>
      </c>
      <c r="J704" s="3">
        <v>14.2941667</v>
      </c>
      <c r="K704" s="5"/>
      <c r="L704" s="5">
        <f t="shared" si="20"/>
        <v>2009</v>
      </c>
      <c r="M704" s="5">
        <f t="shared" si="21"/>
        <v>39872</v>
      </c>
      <c r="N704" s="18">
        <v>0.50416666666666665</v>
      </c>
    </row>
    <row r="705" spans="1:14" x14ac:dyDescent="0.3">
      <c r="A705" s="6" t="s">
        <v>11</v>
      </c>
      <c r="B705" s="6">
        <v>1200</v>
      </c>
      <c r="C705" s="6" t="s">
        <v>17</v>
      </c>
      <c r="D705" s="6" t="s">
        <v>1221</v>
      </c>
      <c r="E705" s="6" t="s">
        <v>1222</v>
      </c>
      <c r="F705" s="6" t="s">
        <v>1222</v>
      </c>
      <c r="G705" s="6" t="s">
        <v>1223</v>
      </c>
      <c r="H705" s="7">
        <v>39840.82916666667</v>
      </c>
      <c r="I705" s="6">
        <v>3.1666666999999999</v>
      </c>
      <c r="J705" s="6">
        <v>101.7</v>
      </c>
      <c r="K705" s="8"/>
      <c r="L705" s="8">
        <f t="shared" si="20"/>
        <v>2009</v>
      </c>
      <c r="M705" s="8">
        <f t="shared" si="21"/>
        <v>39840</v>
      </c>
      <c r="N705" s="19">
        <v>0.42986111111111114</v>
      </c>
    </row>
    <row r="706" spans="1:14" x14ac:dyDescent="0.3">
      <c r="A706" s="3" t="s">
        <v>11</v>
      </c>
      <c r="B706" s="3">
        <v>1200</v>
      </c>
      <c r="C706" s="3" t="s">
        <v>12</v>
      </c>
      <c r="D706" s="3" t="s">
        <v>291</v>
      </c>
      <c r="E706" s="3" t="s">
        <v>1224</v>
      </c>
      <c r="F706" s="3" t="s">
        <v>1225</v>
      </c>
      <c r="G706" s="3" t="s">
        <v>1225</v>
      </c>
      <c r="H706" s="4">
        <v>39826.043749999997</v>
      </c>
      <c r="I706" s="3">
        <v>49.585555599999999</v>
      </c>
      <c r="J706" s="3">
        <v>6.1230555999999998</v>
      </c>
      <c r="K706" s="5"/>
      <c r="L706" s="5">
        <f t="shared" ref="L706:L769" si="22">YEAR(H706)</f>
        <v>2009</v>
      </c>
      <c r="M706" s="5">
        <f t="shared" ref="M706:M769" si="23">INT(H706)</f>
        <v>39826</v>
      </c>
      <c r="N706" s="18">
        <v>7.013888888888889E-2</v>
      </c>
    </row>
    <row r="707" spans="1:14" x14ac:dyDescent="0.3">
      <c r="A707" s="6" t="s">
        <v>11</v>
      </c>
      <c r="B707" s="6">
        <v>1200</v>
      </c>
      <c r="C707" s="6" t="s">
        <v>17</v>
      </c>
      <c r="D707" s="6" t="s">
        <v>978</v>
      </c>
      <c r="E707" s="6" t="s">
        <v>1226</v>
      </c>
      <c r="F707" s="6" t="s">
        <v>1227</v>
      </c>
      <c r="G707" s="6" t="s">
        <v>1228</v>
      </c>
      <c r="H707" s="7">
        <v>39850.180555555555</v>
      </c>
      <c r="I707" s="6">
        <v>57.033333300000002</v>
      </c>
      <c r="J707" s="6">
        <v>24.1</v>
      </c>
      <c r="K707" s="8"/>
      <c r="L707" s="8">
        <f t="shared" si="22"/>
        <v>2009</v>
      </c>
      <c r="M707" s="8">
        <f t="shared" si="23"/>
        <v>39850</v>
      </c>
      <c r="N707" s="19">
        <v>7.0833333333333331E-2</v>
      </c>
    </row>
    <row r="708" spans="1:14" x14ac:dyDescent="0.3">
      <c r="A708" s="3" t="s">
        <v>11</v>
      </c>
      <c r="B708" s="3">
        <v>1200</v>
      </c>
      <c r="C708" s="3" t="s">
        <v>65</v>
      </c>
      <c r="D708" s="3" t="s">
        <v>1229</v>
      </c>
      <c r="E708" s="3" t="s">
        <v>1230</v>
      </c>
      <c r="F708" s="3"/>
      <c r="G708" s="3" t="s">
        <v>1231</v>
      </c>
      <c r="H708" s="4">
        <v>39831.380555555559</v>
      </c>
      <c r="I708" s="3">
        <v>29.289166699999999</v>
      </c>
      <c r="J708" s="3">
        <v>48.05</v>
      </c>
      <c r="K708" s="5"/>
      <c r="L708" s="5">
        <f t="shared" si="22"/>
        <v>2009</v>
      </c>
      <c r="M708" s="5">
        <f t="shared" si="23"/>
        <v>39831</v>
      </c>
      <c r="N708" s="18">
        <v>5.7638888888888892E-2</v>
      </c>
    </row>
    <row r="709" spans="1:14" x14ac:dyDescent="0.3">
      <c r="A709" s="6" t="s">
        <v>11</v>
      </c>
      <c r="B709" s="6">
        <v>1200</v>
      </c>
      <c r="C709" s="6" t="s">
        <v>65</v>
      </c>
      <c r="D709" s="6" t="s">
        <v>1232</v>
      </c>
      <c r="E709" s="6" t="s">
        <v>1233</v>
      </c>
      <c r="F709" s="6"/>
      <c r="G709" s="6" t="s">
        <v>1234</v>
      </c>
      <c r="H709" s="7">
        <v>39840.32708333333</v>
      </c>
      <c r="I709" s="6">
        <v>49.2</v>
      </c>
      <c r="J709" s="6">
        <v>-2.0333332999999998</v>
      </c>
      <c r="K709" s="8"/>
      <c r="L709" s="5">
        <f t="shared" si="22"/>
        <v>2009</v>
      </c>
      <c r="M709" s="5">
        <f t="shared" si="23"/>
        <v>39840</v>
      </c>
      <c r="N709" s="18">
        <v>0.38750000000000001</v>
      </c>
    </row>
    <row r="710" spans="1:14" x14ac:dyDescent="0.3">
      <c r="A710" s="3" t="s">
        <v>11</v>
      </c>
      <c r="B710" s="3">
        <v>70000</v>
      </c>
      <c r="C710" s="3" t="s">
        <v>12</v>
      </c>
      <c r="D710" s="3" t="s">
        <v>1235</v>
      </c>
      <c r="E710" s="3" t="s">
        <v>1236</v>
      </c>
      <c r="F710" s="3" t="s">
        <v>1237</v>
      </c>
      <c r="G710" s="3" t="s">
        <v>1238</v>
      </c>
      <c r="H710" s="4">
        <v>39858.043749999997</v>
      </c>
      <c r="I710" s="3">
        <v>35.633333299999997</v>
      </c>
      <c r="J710" s="3">
        <v>139.65</v>
      </c>
      <c r="K710" s="5"/>
      <c r="L710" s="8">
        <f t="shared" si="22"/>
        <v>2009</v>
      </c>
      <c r="M710" s="8">
        <f t="shared" si="23"/>
        <v>39858</v>
      </c>
      <c r="N710" s="19">
        <v>0.1423611111111111</v>
      </c>
    </row>
    <row r="711" spans="1:14" x14ac:dyDescent="0.3">
      <c r="A711" s="6" t="s">
        <v>11</v>
      </c>
      <c r="B711" s="6">
        <v>1200</v>
      </c>
      <c r="C711" s="6" t="s">
        <v>65</v>
      </c>
      <c r="D711" s="6" t="s">
        <v>1239</v>
      </c>
      <c r="E711" s="6" t="s">
        <v>1237</v>
      </c>
      <c r="F711" s="6" t="s">
        <v>1237</v>
      </c>
      <c r="G711" s="6" t="s">
        <v>1238</v>
      </c>
      <c r="H711" s="7">
        <v>39869.731944444444</v>
      </c>
      <c r="I711" s="6">
        <v>35.685000000000002</v>
      </c>
      <c r="J711" s="6">
        <v>139.75138889999999</v>
      </c>
      <c r="K711" s="8"/>
      <c r="L711" s="5">
        <f t="shared" si="22"/>
        <v>2009</v>
      </c>
      <c r="M711" s="5">
        <f t="shared" si="23"/>
        <v>39869</v>
      </c>
      <c r="N711" s="18">
        <v>0.44791666666666669</v>
      </c>
    </row>
    <row r="712" spans="1:14" x14ac:dyDescent="0.3">
      <c r="A712" s="3" t="s">
        <v>11</v>
      </c>
      <c r="B712" s="3">
        <v>1200</v>
      </c>
      <c r="C712" s="3" t="s">
        <v>12</v>
      </c>
      <c r="D712" s="3" t="s">
        <v>1240</v>
      </c>
      <c r="E712" s="3" t="s">
        <v>1241</v>
      </c>
      <c r="F712" s="3" t="s">
        <v>1242</v>
      </c>
      <c r="G712" s="3" t="s">
        <v>1243</v>
      </c>
      <c r="H712" s="4">
        <v>39826.246527777781</v>
      </c>
      <c r="I712" s="3">
        <v>45.466666699999998</v>
      </c>
      <c r="J712" s="3">
        <v>9.1999999999999993</v>
      </c>
      <c r="K712" s="5"/>
      <c r="L712" s="8">
        <f t="shared" si="22"/>
        <v>2009</v>
      </c>
      <c r="M712" s="8">
        <f t="shared" si="23"/>
        <v>39826</v>
      </c>
      <c r="N712" s="19">
        <v>0.24791666666666667</v>
      </c>
    </row>
    <row r="713" spans="1:14" x14ac:dyDescent="0.3">
      <c r="A713" s="6" t="s">
        <v>11</v>
      </c>
      <c r="B713" s="6">
        <v>1200</v>
      </c>
      <c r="C713" s="6" t="s">
        <v>17</v>
      </c>
      <c r="D713" s="6" t="s">
        <v>456</v>
      </c>
      <c r="E713" s="6" t="s">
        <v>1244</v>
      </c>
      <c r="F713" s="6" t="s">
        <v>1245</v>
      </c>
      <c r="G713" s="6" t="s">
        <v>1243</v>
      </c>
      <c r="H713" s="7">
        <v>39837.243750000001</v>
      </c>
      <c r="I713" s="6">
        <v>45.55</v>
      </c>
      <c r="J713" s="6">
        <v>11.55</v>
      </c>
      <c r="K713" s="8"/>
      <c r="L713" s="5">
        <f t="shared" si="22"/>
        <v>2009</v>
      </c>
      <c r="M713" s="5">
        <f t="shared" si="23"/>
        <v>39837</v>
      </c>
      <c r="N713" s="18">
        <v>0.27013888888888887</v>
      </c>
    </row>
    <row r="714" spans="1:14" x14ac:dyDescent="0.3">
      <c r="A714" s="3" t="s">
        <v>21</v>
      </c>
      <c r="B714" s="3">
        <v>100000</v>
      </c>
      <c r="C714" s="3" t="s">
        <v>65</v>
      </c>
      <c r="D714" s="3" t="s">
        <v>1246</v>
      </c>
      <c r="E714" s="3" t="s">
        <v>1247</v>
      </c>
      <c r="F714" s="3" t="s">
        <v>1245</v>
      </c>
      <c r="G714" s="3" t="s">
        <v>1243</v>
      </c>
      <c r="H714" s="4">
        <v>39853.589583333334</v>
      </c>
      <c r="I714" s="3">
        <v>45.366666700000003</v>
      </c>
      <c r="J714" s="3">
        <v>11.6166667</v>
      </c>
      <c r="K714" s="5"/>
      <c r="L714" s="8">
        <f t="shared" si="22"/>
        <v>2009</v>
      </c>
      <c r="M714" s="8">
        <f t="shared" si="23"/>
        <v>39853</v>
      </c>
      <c r="N714" s="19">
        <v>5.7638888888888892E-2</v>
      </c>
    </row>
    <row r="715" spans="1:14" x14ac:dyDescent="0.3">
      <c r="A715" s="6" t="s">
        <v>21</v>
      </c>
      <c r="B715" s="6">
        <v>100000</v>
      </c>
      <c r="C715" s="6" t="s">
        <v>12</v>
      </c>
      <c r="D715" s="6" t="s">
        <v>502</v>
      </c>
      <c r="E715" s="6" t="s">
        <v>1248</v>
      </c>
      <c r="F715" s="6" t="s">
        <v>1242</v>
      </c>
      <c r="G715" s="6" t="s">
        <v>1243</v>
      </c>
      <c r="H715" s="7">
        <v>39854.554861111108</v>
      </c>
      <c r="I715" s="6">
        <v>45.466666699999998</v>
      </c>
      <c r="J715" s="6">
        <v>9.1999999999999993</v>
      </c>
      <c r="K715" s="8"/>
      <c r="L715" s="5">
        <f t="shared" si="22"/>
        <v>2009</v>
      </c>
      <c r="M715" s="5">
        <f t="shared" si="23"/>
        <v>39854</v>
      </c>
      <c r="N715" s="18">
        <v>0.52708333333333335</v>
      </c>
    </row>
    <row r="716" spans="1:14" x14ac:dyDescent="0.3">
      <c r="A716" s="3" t="s">
        <v>11</v>
      </c>
      <c r="B716" s="3">
        <v>1200</v>
      </c>
      <c r="C716" s="3" t="s">
        <v>17</v>
      </c>
      <c r="D716" s="3" t="s">
        <v>1249</v>
      </c>
      <c r="E716" s="3" t="s">
        <v>1250</v>
      </c>
      <c r="F716" s="3" t="s">
        <v>1251</v>
      </c>
      <c r="G716" s="3" t="s">
        <v>1243</v>
      </c>
      <c r="H716" s="4">
        <v>39856.098611111112</v>
      </c>
      <c r="I716" s="3">
        <v>43.766666700000002</v>
      </c>
      <c r="J716" s="3">
        <v>11.25</v>
      </c>
      <c r="K716" s="5"/>
      <c r="L716" s="5">
        <f t="shared" si="22"/>
        <v>2009</v>
      </c>
      <c r="M716" s="5">
        <f t="shared" si="23"/>
        <v>39856</v>
      </c>
      <c r="N716" s="18">
        <v>0.43888888888888888</v>
      </c>
    </row>
    <row r="717" spans="1:14" x14ac:dyDescent="0.3">
      <c r="A717" s="6" t="s">
        <v>21</v>
      </c>
      <c r="B717" s="6">
        <v>100000</v>
      </c>
      <c r="C717" s="6" t="s">
        <v>17</v>
      </c>
      <c r="D717" s="6" t="s">
        <v>1252</v>
      </c>
      <c r="E717" s="6" t="s">
        <v>1253</v>
      </c>
      <c r="F717" s="6" t="s">
        <v>1254</v>
      </c>
      <c r="G717" s="6" t="s">
        <v>1243</v>
      </c>
      <c r="H717" s="7">
        <v>39860.015277777777</v>
      </c>
      <c r="I717" s="6">
        <v>39.216666699999998</v>
      </c>
      <c r="J717" s="6">
        <v>9.1166666999999997</v>
      </c>
      <c r="K717" s="8"/>
      <c r="L717" s="8">
        <f t="shared" si="22"/>
        <v>2009</v>
      </c>
      <c r="M717" s="8">
        <f t="shared" si="23"/>
        <v>39860</v>
      </c>
      <c r="N717" s="19">
        <v>0.18263888888888888</v>
      </c>
    </row>
    <row r="718" spans="1:14" x14ac:dyDescent="0.3">
      <c r="A718" s="3" t="s">
        <v>11</v>
      </c>
      <c r="B718" s="3">
        <v>1200</v>
      </c>
      <c r="C718" s="3" t="s">
        <v>12</v>
      </c>
      <c r="D718" s="3" t="s">
        <v>1255</v>
      </c>
      <c r="E718" s="3" t="s">
        <v>1256</v>
      </c>
      <c r="F718" s="3" t="s">
        <v>1251</v>
      </c>
      <c r="G718" s="3" t="s">
        <v>1243</v>
      </c>
      <c r="H718" s="4">
        <v>39860.15625</v>
      </c>
      <c r="I718" s="3">
        <v>43.766666700000002</v>
      </c>
      <c r="J718" s="3">
        <v>11.25</v>
      </c>
      <c r="K718" s="5"/>
      <c r="L718" s="5">
        <f t="shared" si="22"/>
        <v>2009</v>
      </c>
      <c r="M718" s="5">
        <f t="shared" si="23"/>
        <v>39860</v>
      </c>
      <c r="N718" s="18">
        <v>0.19027777777777777</v>
      </c>
    </row>
    <row r="719" spans="1:14" x14ac:dyDescent="0.3">
      <c r="A719" s="6" t="s">
        <v>11</v>
      </c>
      <c r="B719" s="6">
        <v>1200</v>
      </c>
      <c r="C719" s="6" t="s">
        <v>12</v>
      </c>
      <c r="D719" s="6" t="s">
        <v>1257</v>
      </c>
      <c r="E719" s="6" t="s">
        <v>1258</v>
      </c>
      <c r="F719" s="6" t="s">
        <v>1251</v>
      </c>
      <c r="G719" s="6" t="s">
        <v>1243</v>
      </c>
      <c r="H719" s="7">
        <v>39864.277083333334</v>
      </c>
      <c r="I719" s="6">
        <v>42.766666700000002</v>
      </c>
      <c r="J719" s="6">
        <v>11.1333333</v>
      </c>
      <c r="K719" s="8"/>
      <c r="L719" s="8">
        <f t="shared" si="22"/>
        <v>2009</v>
      </c>
      <c r="M719" s="8">
        <f t="shared" si="23"/>
        <v>39864</v>
      </c>
      <c r="N719" s="19">
        <v>0.26597222222222222</v>
      </c>
    </row>
    <row r="720" spans="1:14" x14ac:dyDescent="0.3">
      <c r="A720" s="3" t="s">
        <v>11</v>
      </c>
      <c r="B720" s="3">
        <v>1200</v>
      </c>
      <c r="C720" s="3" t="s">
        <v>12</v>
      </c>
      <c r="D720" s="3" t="s">
        <v>1259</v>
      </c>
      <c r="E720" s="3" t="s">
        <v>1241</v>
      </c>
      <c r="F720" s="3" t="s">
        <v>1242</v>
      </c>
      <c r="G720" s="3" t="s">
        <v>1243</v>
      </c>
      <c r="H720" s="4">
        <v>39864.486805555556</v>
      </c>
      <c r="I720" s="3">
        <v>45.466666699999998</v>
      </c>
      <c r="J720" s="3">
        <v>9.1999999999999993</v>
      </c>
      <c r="K720" s="5"/>
      <c r="L720" s="5">
        <f t="shared" si="22"/>
        <v>2009</v>
      </c>
      <c r="M720" s="5">
        <f t="shared" si="23"/>
        <v>39864</v>
      </c>
      <c r="N720" s="18">
        <v>8.2638888888888887E-2</v>
      </c>
    </row>
    <row r="721" spans="1:14" x14ac:dyDescent="0.3">
      <c r="A721" s="6" t="s">
        <v>11</v>
      </c>
      <c r="B721" s="6">
        <v>1200</v>
      </c>
      <c r="C721" s="6" t="s">
        <v>12</v>
      </c>
      <c r="D721" s="6" t="s">
        <v>1260</v>
      </c>
      <c r="E721" s="6" t="s">
        <v>1261</v>
      </c>
      <c r="F721" s="6" t="s">
        <v>1262</v>
      </c>
      <c r="G721" s="6" t="s">
        <v>1243</v>
      </c>
      <c r="H721" s="7">
        <v>39865.25277777778</v>
      </c>
      <c r="I721" s="6">
        <v>41.9</v>
      </c>
      <c r="J721" s="6">
        <v>12.4833333</v>
      </c>
      <c r="K721" s="8"/>
      <c r="L721" s="8">
        <f t="shared" si="22"/>
        <v>2009</v>
      </c>
      <c r="M721" s="8">
        <f t="shared" si="23"/>
        <v>39865</v>
      </c>
      <c r="N721" s="19">
        <v>5.6944444444444443E-2</v>
      </c>
    </row>
    <row r="722" spans="1:14" x14ac:dyDescent="0.3">
      <c r="A722" s="3" t="s">
        <v>11</v>
      </c>
      <c r="B722" s="3">
        <v>1200</v>
      </c>
      <c r="C722" s="3" t="s">
        <v>65</v>
      </c>
      <c r="D722" s="3" t="s">
        <v>187</v>
      </c>
      <c r="E722" s="3" t="s">
        <v>1263</v>
      </c>
      <c r="F722" s="3" t="s">
        <v>1251</v>
      </c>
      <c r="G722" s="3" t="s">
        <v>1243</v>
      </c>
      <c r="H722" s="4">
        <v>39868.580555555556</v>
      </c>
      <c r="I722" s="3">
        <v>43.8333333</v>
      </c>
      <c r="J722" s="3">
        <v>10.4833333</v>
      </c>
      <c r="K722" s="5"/>
      <c r="L722" s="5">
        <f t="shared" si="22"/>
        <v>2009</v>
      </c>
      <c r="M722" s="5">
        <f t="shared" si="23"/>
        <v>39868</v>
      </c>
      <c r="N722" s="18">
        <v>0.25833333333333336</v>
      </c>
    </row>
    <row r="723" spans="1:14" x14ac:dyDescent="0.3">
      <c r="A723" s="6" t="s">
        <v>11</v>
      </c>
      <c r="B723" s="6">
        <v>1200</v>
      </c>
      <c r="C723" s="6" t="s">
        <v>12</v>
      </c>
      <c r="D723" s="6" t="s">
        <v>601</v>
      </c>
      <c r="E723" s="6" t="s">
        <v>1248</v>
      </c>
      <c r="F723" s="6" t="s">
        <v>1242</v>
      </c>
      <c r="G723" s="6" t="s">
        <v>1243</v>
      </c>
      <c r="H723" s="7">
        <v>39869.582638888889</v>
      </c>
      <c r="I723" s="6">
        <v>45.466666699999998</v>
      </c>
      <c r="J723" s="6">
        <v>9.1999999999999993</v>
      </c>
      <c r="K723" s="8"/>
      <c r="L723" s="5">
        <f t="shared" si="22"/>
        <v>2009</v>
      </c>
      <c r="M723" s="5">
        <f t="shared" si="23"/>
        <v>39869</v>
      </c>
      <c r="N723" s="18">
        <v>6.5972222222222224E-2</v>
      </c>
    </row>
    <row r="724" spans="1:14" x14ac:dyDescent="0.3">
      <c r="A724" s="3" t="s">
        <v>64</v>
      </c>
      <c r="B724" s="3">
        <v>100000</v>
      </c>
      <c r="C724" s="3" t="s">
        <v>65</v>
      </c>
      <c r="D724" s="3" t="s">
        <v>1264</v>
      </c>
      <c r="E724" s="3" t="s">
        <v>1265</v>
      </c>
      <c r="F724" s="3" t="s">
        <v>1266</v>
      </c>
      <c r="G724" s="3" t="s">
        <v>1243</v>
      </c>
      <c r="H724" s="4">
        <v>39870.313888888886</v>
      </c>
      <c r="I724" s="3">
        <v>38.466666699999998</v>
      </c>
      <c r="J724" s="3">
        <v>14.95</v>
      </c>
      <c r="K724" s="5"/>
      <c r="L724" s="8">
        <f t="shared" si="22"/>
        <v>2009</v>
      </c>
      <c r="M724" s="8">
        <f t="shared" si="23"/>
        <v>39870</v>
      </c>
      <c r="N724" s="19">
        <v>0.33055555555555555</v>
      </c>
    </row>
    <row r="725" spans="1:14" x14ac:dyDescent="0.3">
      <c r="A725" s="6" t="s">
        <v>64</v>
      </c>
      <c r="B725" s="6">
        <v>100000</v>
      </c>
      <c r="C725" s="6" t="s">
        <v>65</v>
      </c>
      <c r="D725" s="6" t="s">
        <v>1267</v>
      </c>
      <c r="E725" s="6" t="s">
        <v>1265</v>
      </c>
      <c r="F725" s="6" t="s">
        <v>1266</v>
      </c>
      <c r="G725" s="6" t="s">
        <v>1243</v>
      </c>
      <c r="H725" s="7">
        <v>39870.313888888886</v>
      </c>
      <c r="I725" s="6">
        <v>38.466666699999998</v>
      </c>
      <c r="J725" s="6">
        <v>14.95</v>
      </c>
      <c r="K725" s="8"/>
      <c r="L725" s="5">
        <f t="shared" si="22"/>
        <v>2009</v>
      </c>
      <c r="M725" s="5">
        <f t="shared" si="23"/>
        <v>39870</v>
      </c>
      <c r="N725" s="18">
        <v>0.33194444444444443</v>
      </c>
    </row>
    <row r="726" spans="1:14" x14ac:dyDescent="0.3">
      <c r="A726" s="3" t="s">
        <v>11</v>
      </c>
      <c r="B726" s="3">
        <v>1200</v>
      </c>
      <c r="C726" s="3" t="s">
        <v>65</v>
      </c>
      <c r="D726" s="3" t="s">
        <v>1268</v>
      </c>
      <c r="E726" s="3" t="s">
        <v>1265</v>
      </c>
      <c r="F726" s="3" t="s">
        <v>1266</v>
      </c>
      <c r="G726" s="3" t="s">
        <v>1243</v>
      </c>
      <c r="H726" s="4">
        <v>39870.313888888886</v>
      </c>
      <c r="I726" s="3">
        <v>38.466666699999998</v>
      </c>
      <c r="J726" s="3">
        <v>14.95</v>
      </c>
      <c r="K726" s="5"/>
      <c r="L726" s="8">
        <f t="shared" si="22"/>
        <v>2009</v>
      </c>
      <c r="M726" s="8">
        <f t="shared" si="23"/>
        <v>39870</v>
      </c>
      <c r="N726" s="19">
        <v>0.18888888888888888</v>
      </c>
    </row>
    <row r="727" spans="1:14" x14ac:dyDescent="0.3">
      <c r="A727" s="6" t="s">
        <v>11</v>
      </c>
      <c r="B727" s="6">
        <v>1200</v>
      </c>
      <c r="C727" s="6" t="s">
        <v>17</v>
      </c>
      <c r="D727" s="6" t="s">
        <v>1269</v>
      </c>
      <c r="E727" s="6" t="s">
        <v>1270</v>
      </c>
      <c r="F727" s="6" t="s">
        <v>1270</v>
      </c>
      <c r="G727" s="6" t="s">
        <v>1271</v>
      </c>
      <c r="H727" s="7">
        <v>39817.923611111109</v>
      </c>
      <c r="I727" s="6">
        <v>32.066666699999999</v>
      </c>
      <c r="J727" s="6">
        <v>34.766666700000002</v>
      </c>
      <c r="K727" s="8"/>
      <c r="L727" s="5">
        <f t="shared" si="22"/>
        <v>2009</v>
      </c>
      <c r="M727" s="5">
        <f t="shared" si="23"/>
        <v>39817</v>
      </c>
      <c r="N727" s="18">
        <v>5.347222222222222E-2</v>
      </c>
    </row>
    <row r="728" spans="1:14" x14ac:dyDescent="0.3">
      <c r="A728" s="3" t="s">
        <v>11</v>
      </c>
      <c r="B728" s="3">
        <v>1200</v>
      </c>
      <c r="C728" s="3" t="s">
        <v>65</v>
      </c>
      <c r="D728" s="3" t="s">
        <v>1272</v>
      </c>
      <c r="E728" s="3" t="s">
        <v>1273</v>
      </c>
      <c r="F728" s="3" t="s">
        <v>1274</v>
      </c>
      <c r="G728" s="3" t="s">
        <v>1275</v>
      </c>
      <c r="H728" s="4">
        <v>39818.566666666666</v>
      </c>
      <c r="I728" s="3">
        <v>53.677222200000003</v>
      </c>
      <c r="J728" s="3">
        <v>-6.3191667000000002</v>
      </c>
      <c r="K728" s="5"/>
      <c r="L728" s="8">
        <f t="shared" si="22"/>
        <v>2009</v>
      </c>
      <c r="M728" s="8">
        <f t="shared" si="23"/>
        <v>39818</v>
      </c>
      <c r="N728" s="19">
        <v>4.5138888888888888E-2</v>
      </c>
    </row>
    <row r="729" spans="1:14" x14ac:dyDescent="0.3">
      <c r="A729" s="6" t="s">
        <v>11</v>
      </c>
      <c r="B729" s="6">
        <v>1200</v>
      </c>
      <c r="C729" s="6" t="s">
        <v>65</v>
      </c>
      <c r="D729" s="6" t="s">
        <v>1276</v>
      </c>
      <c r="E729" s="6" t="s">
        <v>1277</v>
      </c>
      <c r="F729" s="6" t="s">
        <v>1278</v>
      </c>
      <c r="G729" s="6" t="s">
        <v>1275</v>
      </c>
      <c r="H729" s="7">
        <v>39820.077777777777</v>
      </c>
      <c r="I729" s="6">
        <v>51.863055600000003</v>
      </c>
      <c r="J729" s="6">
        <v>-8.58</v>
      </c>
      <c r="K729" s="8"/>
      <c r="L729" s="5">
        <f t="shared" si="22"/>
        <v>2009</v>
      </c>
      <c r="M729" s="5">
        <f t="shared" si="23"/>
        <v>39820</v>
      </c>
      <c r="N729" s="18">
        <v>0.46180555555555558</v>
      </c>
    </row>
    <row r="730" spans="1:14" x14ac:dyDescent="0.3">
      <c r="A730" s="3" t="s">
        <v>11</v>
      </c>
      <c r="B730" s="3">
        <v>1200</v>
      </c>
      <c r="C730" s="3" t="s">
        <v>65</v>
      </c>
      <c r="D730" s="3" t="s">
        <v>1279</v>
      </c>
      <c r="E730" s="3" t="s">
        <v>1280</v>
      </c>
      <c r="F730" s="3" t="s">
        <v>1281</v>
      </c>
      <c r="G730" s="3" t="s">
        <v>1275</v>
      </c>
      <c r="H730" s="4">
        <v>39823.609027777777</v>
      </c>
      <c r="I730" s="3">
        <v>53.424722199999998</v>
      </c>
      <c r="J730" s="3">
        <v>-6.1758332999999999</v>
      </c>
      <c r="K730" s="5"/>
      <c r="L730" s="5">
        <f t="shared" si="22"/>
        <v>2009</v>
      </c>
      <c r="M730" s="5">
        <f t="shared" si="23"/>
        <v>39823</v>
      </c>
      <c r="N730" s="18">
        <v>0.11319444444444444</v>
      </c>
    </row>
    <row r="731" spans="1:14" x14ac:dyDescent="0.3">
      <c r="A731" s="6" t="s">
        <v>11</v>
      </c>
      <c r="B731" s="6">
        <v>1200</v>
      </c>
      <c r="C731" s="6" t="s">
        <v>17</v>
      </c>
      <c r="D731" s="6" t="s">
        <v>1282</v>
      </c>
      <c r="E731" s="6" t="s">
        <v>1283</v>
      </c>
      <c r="F731" s="6" t="s">
        <v>1281</v>
      </c>
      <c r="G731" s="6" t="s">
        <v>1275</v>
      </c>
      <c r="H731" s="7">
        <v>39827.606249999997</v>
      </c>
      <c r="I731" s="6">
        <v>53.312222200000001</v>
      </c>
      <c r="J731" s="6">
        <v>-6.2683333000000001</v>
      </c>
      <c r="K731" s="8"/>
      <c r="L731" s="8">
        <f t="shared" si="22"/>
        <v>2009</v>
      </c>
      <c r="M731" s="8">
        <f t="shared" si="23"/>
        <v>39827</v>
      </c>
      <c r="N731" s="19">
        <v>0.13541666666666666</v>
      </c>
    </row>
    <row r="732" spans="1:14" x14ac:dyDescent="0.3">
      <c r="A732" s="3" t="s">
        <v>11</v>
      </c>
      <c r="B732" s="3">
        <v>1200</v>
      </c>
      <c r="C732" s="3" t="s">
        <v>65</v>
      </c>
      <c r="D732" s="3" t="s">
        <v>1284</v>
      </c>
      <c r="E732" s="3" t="s">
        <v>1285</v>
      </c>
      <c r="F732" s="3" t="s">
        <v>1286</v>
      </c>
      <c r="G732" s="3" t="s">
        <v>1275</v>
      </c>
      <c r="H732" s="4">
        <v>39831.197222222225</v>
      </c>
      <c r="I732" s="3">
        <v>52.720555599999997</v>
      </c>
      <c r="J732" s="3">
        <v>-7.5824999999999996</v>
      </c>
      <c r="K732" s="5"/>
      <c r="L732" s="5">
        <f t="shared" si="22"/>
        <v>2009</v>
      </c>
      <c r="M732" s="5">
        <f t="shared" si="23"/>
        <v>39831</v>
      </c>
      <c r="N732" s="18">
        <v>0.21875</v>
      </c>
    </row>
    <row r="733" spans="1:14" x14ac:dyDescent="0.3">
      <c r="A733" s="6" t="s">
        <v>64</v>
      </c>
      <c r="B733" s="6">
        <v>100000</v>
      </c>
      <c r="C733" s="6" t="s">
        <v>17</v>
      </c>
      <c r="D733" s="6" t="s">
        <v>1287</v>
      </c>
      <c r="E733" s="6" t="s">
        <v>1288</v>
      </c>
      <c r="F733" s="6" t="s">
        <v>1274</v>
      </c>
      <c r="G733" s="6" t="s">
        <v>1275</v>
      </c>
      <c r="H733" s="7">
        <v>39831.513888888891</v>
      </c>
      <c r="I733" s="6">
        <v>53.652777800000003</v>
      </c>
      <c r="J733" s="6">
        <v>-6.6813889</v>
      </c>
      <c r="K733" s="8"/>
      <c r="L733" s="8">
        <f t="shared" si="22"/>
        <v>2009</v>
      </c>
      <c r="M733" s="8">
        <f t="shared" si="23"/>
        <v>39831</v>
      </c>
      <c r="N733" s="19">
        <v>5.9722222222222225E-2</v>
      </c>
    </row>
    <row r="734" spans="1:14" x14ac:dyDescent="0.3">
      <c r="A734" s="3" t="s">
        <v>21</v>
      </c>
      <c r="B734" s="3">
        <v>100000</v>
      </c>
      <c r="C734" s="3" t="s">
        <v>65</v>
      </c>
      <c r="D734" s="3" t="s">
        <v>1289</v>
      </c>
      <c r="E734" s="3" t="s">
        <v>1278</v>
      </c>
      <c r="F734" s="3" t="s">
        <v>1278</v>
      </c>
      <c r="G734" s="3" t="s">
        <v>1275</v>
      </c>
      <c r="H734" s="4">
        <v>39835.629166666666</v>
      </c>
      <c r="I734" s="3">
        <v>51.898611099999997</v>
      </c>
      <c r="J734" s="3">
        <v>-8.4958332999999993</v>
      </c>
      <c r="K734" s="5"/>
      <c r="L734" s="5">
        <f t="shared" si="22"/>
        <v>2009</v>
      </c>
      <c r="M734" s="5">
        <f t="shared" si="23"/>
        <v>39835</v>
      </c>
      <c r="N734" s="18">
        <v>4.6527777777777779E-2</v>
      </c>
    </row>
    <row r="735" spans="1:14" x14ac:dyDescent="0.3">
      <c r="A735" s="6" t="s">
        <v>11</v>
      </c>
      <c r="B735" s="6">
        <v>1200</v>
      </c>
      <c r="C735" s="6" t="s">
        <v>12</v>
      </c>
      <c r="D735" s="6" t="s">
        <v>1290</v>
      </c>
      <c r="E735" s="6" t="s">
        <v>1291</v>
      </c>
      <c r="F735" s="6" t="s">
        <v>1281</v>
      </c>
      <c r="G735" s="6" t="s">
        <v>1275</v>
      </c>
      <c r="H735" s="7">
        <v>39836.097916666666</v>
      </c>
      <c r="I735" s="6">
        <v>53.450833299999999</v>
      </c>
      <c r="J735" s="6">
        <v>-6.1544444</v>
      </c>
      <c r="K735" s="8"/>
      <c r="L735" s="8">
        <f t="shared" si="22"/>
        <v>2009</v>
      </c>
      <c r="M735" s="8">
        <f t="shared" si="23"/>
        <v>39836</v>
      </c>
      <c r="N735" s="19">
        <v>0.17777777777777778</v>
      </c>
    </row>
    <row r="736" spans="1:14" x14ac:dyDescent="0.3">
      <c r="A736" s="3" t="s">
        <v>11</v>
      </c>
      <c r="B736" s="3">
        <v>1200</v>
      </c>
      <c r="C736" s="3" t="s">
        <v>12</v>
      </c>
      <c r="D736" s="3" t="s">
        <v>1292</v>
      </c>
      <c r="E736" s="3" t="s">
        <v>1293</v>
      </c>
      <c r="F736" s="3" t="s">
        <v>1281</v>
      </c>
      <c r="G736" s="3" t="s">
        <v>1275</v>
      </c>
      <c r="H736" s="4">
        <v>39838.039583333331</v>
      </c>
      <c r="I736" s="3">
        <v>53.378611100000001</v>
      </c>
      <c r="J736" s="3">
        <v>-6.3922222</v>
      </c>
      <c r="K736" s="5"/>
      <c r="L736" s="5">
        <f t="shared" si="22"/>
        <v>2009</v>
      </c>
      <c r="M736" s="5">
        <f t="shared" si="23"/>
        <v>39838</v>
      </c>
      <c r="N736" s="18">
        <v>0.10208333333333333</v>
      </c>
    </row>
    <row r="737" spans="1:14" x14ac:dyDescent="0.3">
      <c r="A737" s="6" t="s">
        <v>11</v>
      </c>
      <c r="B737" s="6">
        <v>1200</v>
      </c>
      <c r="C737" s="6" t="s">
        <v>12</v>
      </c>
      <c r="D737" s="6" t="s">
        <v>1294</v>
      </c>
      <c r="E737" s="6" t="s">
        <v>1293</v>
      </c>
      <c r="F737" s="6" t="s">
        <v>1281</v>
      </c>
      <c r="G737" s="6" t="s">
        <v>1275</v>
      </c>
      <c r="H737" s="7">
        <v>39838.039583333331</v>
      </c>
      <c r="I737" s="6">
        <v>53.378611100000001</v>
      </c>
      <c r="J737" s="6">
        <v>-6.3922222</v>
      </c>
      <c r="K737" s="8"/>
      <c r="L737" s="5">
        <f t="shared" si="22"/>
        <v>2009</v>
      </c>
      <c r="M737" s="5">
        <f t="shared" si="23"/>
        <v>39838</v>
      </c>
      <c r="N737" s="18">
        <v>0.10555555555555556</v>
      </c>
    </row>
    <row r="738" spans="1:14" x14ac:dyDescent="0.3">
      <c r="A738" s="3" t="s">
        <v>11</v>
      </c>
      <c r="B738" s="3">
        <v>1200</v>
      </c>
      <c r="C738" s="3" t="s">
        <v>17</v>
      </c>
      <c r="D738" s="3" t="s">
        <v>1295</v>
      </c>
      <c r="E738" s="3" t="s">
        <v>1296</v>
      </c>
      <c r="F738" s="3" t="s">
        <v>1281</v>
      </c>
      <c r="G738" s="3" t="s">
        <v>1275</v>
      </c>
      <c r="H738" s="4">
        <v>39839.188888888886</v>
      </c>
      <c r="I738" s="3">
        <v>53.252222199999999</v>
      </c>
      <c r="J738" s="3">
        <v>-6.1124999999999998</v>
      </c>
      <c r="K738" s="5"/>
      <c r="L738" s="8">
        <f t="shared" si="22"/>
        <v>2009</v>
      </c>
      <c r="M738" s="8">
        <f t="shared" si="23"/>
        <v>39839</v>
      </c>
      <c r="N738" s="19">
        <v>0.14722222222222223</v>
      </c>
    </row>
    <row r="739" spans="1:14" x14ac:dyDescent="0.3">
      <c r="A739" s="6" t="s">
        <v>11</v>
      </c>
      <c r="B739" s="6">
        <v>1200</v>
      </c>
      <c r="C739" s="6" t="s">
        <v>12</v>
      </c>
      <c r="D739" s="6" t="s">
        <v>1297</v>
      </c>
      <c r="E739" s="6" t="s">
        <v>1298</v>
      </c>
      <c r="F739" s="6" t="s">
        <v>1281</v>
      </c>
      <c r="G739" s="6" t="s">
        <v>1275</v>
      </c>
      <c r="H739" s="7">
        <v>39839.416666666664</v>
      </c>
      <c r="I739" s="6">
        <v>53.359166700000003</v>
      </c>
      <c r="J739" s="6">
        <v>-6.2161111</v>
      </c>
      <c r="K739" s="8"/>
      <c r="L739" s="5">
        <f t="shared" si="22"/>
        <v>2009</v>
      </c>
      <c r="M739" s="5">
        <f t="shared" si="23"/>
        <v>39839</v>
      </c>
      <c r="N739" s="18">
        <v>0.5083333333333333</v>
      </c>
    </row>
    <row r="740" spans="1:14" x14ac:dyDescent="0.3">
      <c r="A740" s="3" t="s">
        <v>11</v>
      </c>
      <c r="B740" s="3">
        <v>1200</v>
      </c>
      <c r="C740" s="3" t="s">
        <v>12</v>
      </c>
      <c r="D740" s="3" t="s">
        <v>451</v>
      </c>
      <c r="E740" s="3" t="s">
        <v>1278</v>
      </c>
      <c r="F740" s="3" t="s">
        <v>1278</v>
      </c>
      <c r="G740" s="3" t="s">
        <v>1275</v>
      </c>
      <c r="H740" s="4">
        <v>39840.654861111114</v>
      </c>
      <c r="I740" s="3">
        <v>51.898611099999997</v>
      </c>
      <c r="J740" s="3">
        <v>-8.4958332999999993</v>
      </c>
      <c r="K740" s="5"/>
      <c r="L740" s="8">
        <f t="shared" si="22"/>
        <v>2009</v>
      </c>
      <c r="M740" s="8">
        <f t="shared" si="23"/>
        <v>39840</v>
      </c>
      <c r="N740" s="19">
        <v>0.27986111111111112</v>
      </c>
    </row>
    <row r="741" spans="1:14" x14ac:dyDescent="0.3">
      <c r="A741" s="6" t="s">
        <v>11</v>
      </c>
      <c r="B741" s="6">
        <v>130000</v>
      </c>
      <c r="C741" s="6" t="s">
        <v>65</v>
      </c>
      <c r="D741" s="6" t="s">
        <v>1299</v>
      </c>
      <c r="E741" s="6" t="s">
        <v>1300</v>
      </c>
      <c r="F741" s="6" t="s">
        <v>1281</v>
      </c>
      <c r="G741" s="6" t="s">
        <v>1275</v>
      </c>
      <c r="H741" s="7">
        <v>39841.171527777777</v>
      </c>
      <c r="I741" s="6">
        <v>53.390555599999999</v>
      </c>
      <c r="J741" s="6">
        <v>-6.1216666999999996</v>
      </c>
      <c r="K741" s="8"/>
      <c r="L741" s="5">
        <f t="shared" si="22"/>
        <v>2009</v>
      </c>
      <c r="M741" s="5">
        <f t="shared" si="23"/>
        <v>39841</v>
      </c>
      <c r="N741" s="18">
        <v>8.2638888888888887E-2</v>
      </c>
    </row>
    <row r="742" spans="1:14" x14ac:dyDescent="0.3">
      <c r="A742" s="3" t="s">
        <v>11</v>
      </c>
      <c r="B742" s="3">
        <v>130000</v>
      </c>
      <c r="C742" s="3" t="s">
        <v>12</v>
      </c>
      <c r="D742" s="3" t="s">
        <v>259</v>
      </c>
      <c r="E742" s="3" t="s">
        <v>1301</v>
      </c>
      <c r="F742" s="3" t="s">
        <v>1281</v>
      </c>
      <c r="G742" s="3" t="s">
        <v>1275</v>
      </c>
      <c r="H742" s="4">
        <v>39841.320138888892</v>
      </c>
      <c r="I742" s="3">
        <v>53.398611099999997</v>
      </c>
      <c r="J742" s="3">
        <v>-6.2597221999999997</v>
      </c>
      <c r="K742" s="5"/>
      <c r="L742" s="8">
        <f t="shared" si="22"/>
        <v>2009</v>
      </c>
      <c r="M742" s="8">
        <f t="shared" si="23"/>
        <v>39841</v>
      </c>
      <c r="N742" s="19">
        <v>0.52222222222222225</v>
      </c>
    </row>
    <row r="743" spans="1:14" x14ac:dyDescent="0.3">
      <c r="A743" s="6" t="s">
        <v>11</v>
      </c>
      <c r="B743" s="6">
        <v>130000</v>
      </c>
      <c r="C743" s="6" t="s">
        <v>17</v>
      </c>
      <c r="D743" s="6" t="s">
        <v>1302</v>
      </c>
      <c r="E743" s="6" t="s">
        <v>1303</v>
      </c>
      <c r="F743" s="6" t="s">
        <v>1281</v>
      </c>
      <c r="G743" s="6" t="s">
        <v>1275</v>
      </c>
      <c r="H743" s="7">
        <v>39841.561111111114</v>
      </c>
      <c r="I743" s="6">
        <v>53.300555600000003</v>
      </c>
      <c r="J743" s="6">
        <v>-6.2827777999999999</v>
      </c>
      <c r="K743" s="8"/>
      <c r="L743" s="5">
        <f t="shared" si="22"/>
        <v>2009</v>
      </c>
      <c r="M743" s="5">
        <f t="shared" si="23"/>
        <v>39841</v>
      </c>
      <c r="N743" s="18">
        <v>0.50972222222222219</v>
      </c>
    </row>
    <row r="744" spans="1:14" x14ac:dyDescent="0.3">
      <c r="A744" s="3" t="s">
        <v>11</v>
      </c>
      <c r="B744" s="3">
        <v>130000</v>
      </c>
      <c r="C744" s="3" t="s">
        <v>17</v>
      </c>
      <c r="D744" s="3" t="s">
        <v>420</v>
      </c>
      <c r="E744" s="3" t="s">
        <v>1304</v>
      </c>
      <c r="F744" s="3" t="s">
        <v>1281</v>
      </c>
      <c r="G744" s="3" t="s">
        <v>1275</v>
      </c>
      <c r="H744" s="4">
        <v>39846.091666666667</v>
      </c>
      <c r="I744" s="3">
        <v>53.335000000000001</v>
      </c>
      <c r="J744" s="3">
        <v>-6.2113889000000002</v>
      </c>
      <c r="K744" s="5"/>
      <c r="L744" s="5">
        <f t="shared" si="22"/>
        <v>2009</v>
      </c>
      <c r="M744" s="5">
        <f t="shared" si="23"/>
        <v>39846</v>
      </c>
      <c r="N744" s="18">
        <v>0.19930555555555557</v>
      </c>
    </row>
    <row r="745" spans="1:14" x14ac:dyDescent="0.3">
      <c r="A745" s="6" t="s">
        <v>11</v>
      </c>
      <c r="B745" s="6">
        <v>130000</v>
      </c>
      <c r="C745" s="6" t="s">
        <v>12</v>
      </c>
      <c r="D745" s="6" t="s">
        <v>973</v>
      </c>
      <c r="E745" s="6" t="s">
        <v>1305</v>
      </c>
      <c r="F745" s="6" t="s">
        <v>1281</v>
      </c>
      <c r="G745" s="6" t="s">
        <v>1275</v>
      </c>
      <c r="H745" s="7">
        <v>39846.353472222225</v>
      </c>
      <c r="I745" s="6">
        <v>53.2802778</v>
      </c>
      <c r="J745" s="6">
        <v>-6.4444444000000001</v>
      </c>
      <c r="K745" s="8"/>
      <c r="L745" s="8">
        <f t="shared" si="22"/>
        <v>2009</v>
      </c>
      <c r="M745" s="8">
        <f t="shared" si="23"/>
        <v>39846</v>
      </c>
      <c r="N745" s="19">
        <v>0.45833333333333331</v>
      </c>
    </row>
    <row r="746" spans="1:14" x14ac:dyDescent="0.3">
      <c r="A746" s="3" t="s">
        <v>11</v>
      </c>
      <c r="B746" s="3">
        <v>130000</v>
      </c>
      <c r="C746" s="3" t="s">
        <v>65</v>
      </c>
      <c r="D746" s="3" t="s">
        <v>191</v>
      </c>
      <c r="E746" s="3" t="s">
        <v>1298</v>
      </c>
      <c r="F746" s="3" t="s">
        <v>1281</v>
      </c>
      <c r="G746" s="3" t="s">
        <v>1275</v>
      </c>
      <c r="H746" s="4">
        <v>39847.32708333333</v>
      </c>
      <c r="I746" s="3">
        <v>53.359166700000003</v>
      </c>
      <c r="J746" s="3">
        <v>-6.2161111</v>
      </c>
      <c r="K746" s="5"/>
      <c r="L746" s="5">
        <f t="shared" si="22"/>
        <v>2009</v>
      </c>
      <c r="M746" s="5">
        <f t="shared" si="23"/>
        <v>39847</v>
      </c>
      <c r="N746" s="18">
        <v>0.27291666666666664</v>
      </c>
    </row>
    <row r="747" spans="1:14" x14ac:dyDescent="0.3">
      <c r="A747" s="6" t="s">
        <v>11</v>
      </c>
      <c r="B747" s="6">
        <v>130000</v>
      </c>
      <c r="C747" s="6" t="s">
        <v>12</v>
      </c>
      <c r="D747" s="6" t="s">
        <v>1306</v>
      </c>
      <c r="E747" s="6" t="s">
        <v>1307</v>
      </c>
      <c r="F747" s="6" t="s">
        <v>1308</v>
      </c>
      <c r="G747" s="6" t="s">
        <v>1275</v>
      </c>
      <c r="H747" s="7">
        <v>39847.431250000001</v>
      </c>
      <c r="I747" s="6">
        <v>52.354999999999997</v>
      </c>
      <c r="J747" s="6">
        <v>-7.7038888999999999</v>
      </c>
      <c r="K747" s="8"/>
      <c r="L747" s="8">
        <f t="shared" si="22"/>
        <v>2009</v>
      </c>
      <c r="M747" s="8">
        <f t="shared" si="23"/>
        <v>39847</v>
      </c>
      <c r="N747" s="19">
        <v>0.42222222222222222</v>
      </c>
    </row>
    <row r="748" spans="1:14" x14ac:dyDescent="0.3">
      <c r="A748" s="3" t="s">
        <v>11</v>
      </c>
      <c r="B748" s="3">
        <v>130000</v>
      </c>
      <c r="C748" s="3" t="s">
        <v>12</v>
      </c>
      <c r="D748" s="3" t="s">
        <v>261</v>
      </c>
      <c r="E748" s="3" t="s">
        <v>1309</v>
      </c>
      <c r="F748" s="3" t="s">
        <v>1310</v>
      </c>
      <c r="G748" s="3" t="s">
        <v>1275</v>
      </c>
      <c r="H748" s="4">
        <v>39847.566666666666</v>
      </c>
      <c r="I748" s="3">
        <v>53.718888900000003</v>
      </c>
      <c r="J748" s="3">
        <v>-6.3477778000000002</v>
      </c>
      <c r="K748" s="5"/>
      <c r="L748" s="5">
        <f t="shared" si="22"/>
        <v>2009</v>
      </c>
      <c r="M748" s="5">
        <f t="shared" si="23"/>
        <v>39847</v>
      </c>
      <c r="N748" s="18">
        <v>0.12152777777777778</v>
      </c>
    </row>
    <row r="749" spans="1:14" x14ac:dyDescent="0.3">
      <c r="A749" s="6" t="s">
        <v>11</v>
      </c>
      <c r="B749" s="6">
        <v>130000</v>
      </c>
      <c r="C749" s="6" t="s">
        <v>12</v>
      </c>
      <c r="D749" s="6" t="s">
        <v>455</v>
      </c>
      <c r="E749" s="6" t="s">
        <v>1311</v>
      </c>
      <c r="F749" s="6" t="s">
        <v>1312</v>
      </c>
      <c r="G749" s="6" t="s">
        <v>1275</v>
      </c>
      <c r="H749" s="7">
        <v>39848.09652777778</v>
      </c>
      <c r="I749" s="6">
        <v>53.068333299999999</v>
      </c>
      <c r="J749" s="6">
        <v>-6.0658333000000004</v>
      </c>
      <c r="K749" s="8"/>
      <c r="L749" s="8">
        <f t="shared" si="22"/>
        <v>2009</v>
      </c>
      <c r="M749" s="8">
        <f t="shared" si="23"/>
        <v>39848</v>
      </c>
      <c r="N749" s="19">
        <v>0.11805555555555555</v>
      </c>
    </row>
    <row r="750" spans="1:14" x14ac:dyDescent="0.3">
      <c r="A750" s="3" t="s">
        <v>11</v>
      </c>
      <c r="B750" s="3">
        <v>130000</v>
      </c>
      <c r="C750" s="3" t="s">
        <v>12</v>
      </c>
      <c r="D750" s="3" t="s">
        <v>731</v>
      </c>
      <c r="E750" s="3" t="s">
        <v>1313</v>
      </c>
      <c r="F750" s="3" t="s">
        <v>1281</v>
      </c>
      <c r="G750" s="3" t="s">
        <v>1275</v>
      </c>
      <c r="H750" s="4">
        <v>39849.109722222223</v>
      </c>
      <c r="I750" s="3">
        <v>53.292499999999997</v>
      </c>
      <c r="J750" s="3">
        <v>-6.1286110999999996</v>
      </c>
      <c r="K750" s="5"/>
      <c r="L750" s="5">
        <f t="shared" si="22"/>
        <v>2009</v>
      </c>
      <c r="M750" s="5">
        <f t="shared" si="23"/>
        <v>39849</v>
      </c>
      <c r="N750" s="18">
        <v>0.48333333333333334</v>
      </c>
    </row>
    <row r="751" spans="1:14" x14ac:dyDescent="0.3">
      <c r="A751" s="6" t="s">
        <v>11</v>
      </c>
      <c r="B751" s="6">
        <v>130000</v>
      </c>
      <c r="C751" s="6" t="s">
        <v>12</v>
      </c>
      <c r="D751" s="6" t="s">
        <v>1314</v>
      </c>
      <c r="E751" s="6" t="s">
        <v>1315</v>
      </c>
      <c r="F751" s="6" t="s">
        <v>1278</v>
      </c>
      <c r="G751" s="6" t="s">
        <v>1275</v>
      </c>
      <c r="H751" s="7">
        <v>39850.10833333333</v>
      </c>
      <c r="I751" s="6">
        <v>51.883333299999997</v>
      </c>
      <c r="J751" s="6">
        <v>-8.5833332999999996</v>
      </c>
      <c r="K751" s="8"/>
      <c r="L751" s="5">
        <f t="shared" si="22"/>
        <v>2009</v>
      </c>
      <c r="M751" s="5">
        <f t="shared" si="23"/>
        <v>39850</v>
      </c>
      <c r="N751" s="18">
        <v>0.15208333333333332</v>
      </c>
    </row>
    <row r="752" spans="1:14" x14ac:dyDescent="0.3">
      <c r="A752" s="3" t="s">
        <v>11</v>
      </c>
      <c r="B752" s="3">
        <v>130000</v>
      </c>
      <c r="C752" s="3" t="s">
        <v>12</v>
      </c>
      <c r="D752" s="3" t="s">
        <v>960</v>
      </c>
      <c r="E752" s="3" t="s">
        <v>1315</v>
      </c>
      <c r="F752" s="3" t="s">
        <v>1278</v>
      </c>
      <c r="G752" s="3" t="s">
        <v>1275</v>
      </c>
      <c r="H752" s="4">
        <v>39850.10833333333</v>
      </c>
      <c r="I752" s="3">
        <v>51.883333299999997</v>
      </c>
      <c r="J752" s="3">
        <v>-8.5833332999999996</v>
      </c>
      <c r="K752" s="5"/>
      <c r="L752" s="8">
        <f t="shared" si="22"/>
        <v>2009</v>
      </c>
      <c r="M752" s="8">
        <f t="shared" si="23"/>
        <v>39850</v>
      </c>
      <c r="N752" s="19">
        <v>0.15763888888888888</v>
      </c>
    </row>
    <row r="753" spans="1:14" x14ac:dyDescent="0.3">
      <c r="A753" s="6" t="s">
        <v>11</v>
      </c>
      <c r="B753" s="6">
        <v>130000</v>
      </c>
      <c r="C753" s="6" t="s">
        <v>12</v>
      </c>
      <c r="D753" s="6" t="s">
        <v>441</v>
      </c>
      <c r="E753" s="6" t="s">
        <v>1316</v>
      </c>
      <c r="F753" s="6" t="s">
        <v>1317</v>
      </c>
      <c r="G753" s="6" t="s">
        <v>1275</v>
      </c>
      <c r="H753" s="7">
        <v>39850.524305555555</v>
      </c>
      <c r="I753" s="6">
        <v>53.85</v>
      </c>
      <c r="J753" s="6">
        <v>-9.3000000000000007</v>
      </c>
      <c r="K753" s="8"/>
      <c r="L753" s="5">
        <f t="shared" si="22"/>
        <v>2009</v>
      </c>
      <c r="M753" s="5">
        <f t="shared" si="23"/>
        <v>39850</v>
      </c>
      <c r="N753" s="18">
        <v>7.5694444444444439E-2</v>
      </c>
    </row>
    <row r="754" spans="1:14" x14ac:dyDescent="0.3">
      <c r="A754" s="3" t="s">
        <v>11</v>
      </c>
      <c r="B754" s="3">
        <v>130000</v>
      </c>
      <c r="C754" s="3" t="s">
        <v>12</v>
      </c>
      <c r="D754" s="3" t="s">
        <v>1318</v>
      </c>
      <c r="E754" s="3" t="s">
        <v>1319</v>
      </c>
      <c r="F754" s="3" t="s">
        <v>1320</v>
      </c>
      <c r="G754" s="3" t="s">
        <v>1275</v>
      </c>
      <c r="H754" s="4">
        <v>39852.126388888886</v>
      </c>
      <c r="I754" s="3">
        <v>52.158888900000001</v>
      </c>
      <c r="J754" s="3">
        <v>-7.1463888999999998</v>
      </c>
      <c r="K754" s="5"/>
      <c r="L754" s="8">
        <f t="shared" si="22"/>
        <v>2009</v>
      </c>
      <c r="M754" s="8">
        <f t="shared" si="23"/>
        <v>39852</v>
      </c>
      <c r="N754" s="19">
        <v>0.29791666666666666</v>
      </c>
    </row>
    <row r="755" spans="1:14" x14ac:dyDescent="0.3">
      <c r="A755" s="6" t="s">
        <v>11</v>
      </c>
      <c r="B755" s="6">
        <v>130000</v>
      </c>
      <c r="C755" s="6" t="s">
        <v>12</v>
      </c>
      <c r="D755" s="6" t="s">
        <v>1321</v>
      </c>
      <c r="E755" s="6" t="s">
        <v>1322</v>
      </c>
      <c r="F755" s="6" t="s">
        <v>1312</v>
      </c>
      <c r="G755" s="6" t="s">
        <v>1275</v>
      </c>
      <c r="H755" s="7">
        <v>39852.213194444441</v>
      </c>
      <c r="I755" s="6">
        <v>52.793055600000002</v>
      </c>
      <c r="J755" s="6">
        <v>-6.1413888999999999</v>
      </c>
      <c r="K755" s="8"/>
      <c r="L755" s="5">
        <f t="shared" si="22"/>
        <v>2009</v>
      </c>
      <c r="M755" s="5">
        <f t="shared" si="23"/>
        <v>39852</v>
      </c>
      <c r="N755" s="18">
        <v>0.44930555555555557</v>
      </c>
    </row>
    <row r="756" spans="1:14" x14ac:dyDescent="0.3">
      <c r="A756" s="3" t="s">
        <v>11</v>
      </c>
      <c r="B756" s="3">
        <v>130000</v>
      </c>
      <c r="C756" s="3" t="s">
        <v>12</v>
      </c>
      <c r="D756" s="3" t="s">
        <v>1323</v>
      </c>
      <c r="E756" s="3" t="s">
        <v>1324</v>
      </c>
      <c r="F756" s="3" t="s">
        <v>1274</v>
      </c>
      <c r="G756" s="3" t="s">
        <v>1275</v>
      </c>
      <c r="H756" s="4">
        <v>39853.496527777781</v>
      </c>
      <c r="I756" s="3">
        <v>53.7233333</v>
      </c>
      <c r="J756" s="3">
        <v>-6.2824999999999998</v>
      </c>
      <c r="K756" s="5"/>
      <c r="L756" s="8">
        <f t="shared" si="22"/>
        <v>2009</v>
      </c>
      <c r="M756" s="8">
        <f t="shared" si="23"/>
        <v>39853</v>
      </c>
      <c r="N756" s="19">
        <v>0.28194444444444444</v>
      </c>
    </row>
    <row r="757" spans="1:14" x14ac:dyDescent="0.3">
      <c r="A757" s="6" t="s">
        <v>11</v>
      </c>
      <c r="B757" s="6">
        <v>130000</v>
      </c>
      <c r="C757" s="6" t="s">
        <v>12</v>
      </c>
      <c r="D757" s="6" t="s">
        <v>1325</v>
      </c>
      <c r="E757" s="6" t="s">
        <v>1326</v>
      </c>
      <c r="F757" s="6" t="s">
        <v>1327</v>
      </c>
      <c r="G757" s="6" t="s">
        <v>1275</v>
      </c>
      <c r="H757" s="7">
        <v>39854.040972222225</v>
      </c>
      <c r="I757" s="6">
        <v>53.533333300000002</v>
      </c>
      <c r="J757" s="6">
        <v>-7.35</v>
      </c>
      <c r="K757" s="8"/>
      <c r="L757" s="5">
        <f t="shared" si="22"/>
        <v>2009</v>
      </c>
      <c r="M757" s="5">
        <f t="shared" si="23"/>
        <v>39854</v>
      </c>
      <c r="N757" s="18">
        <v>0.28541666666666665</v>
      </c>
    </row>
    <row r="758" spans="1:14" x14ac:dyDescent="0.3">
      <c r="A758" s="3" t="s">
        <v>11</v>
      </c>
      <c r="B758" s="3">
        <v>130000</v>
      </c>
      <c r="C758" s="3" t="s">
        <v>12</v>
      </c>
      <c r="D758" s="3" t="s">
        <v>1328</v>
      </c>
      <c r="E758" s="3" t="s">
        <v>1329</v>
      </c>
      <c r="F758" s="3" t="s">
        <v>1281</v>
      </c>
      <c r="G758" s="3" t="s">
        <v>1275</v>
      </c>
      <c r="H758" s="4">
        <v>39857.563888888886</v>
      </c>
      <c r="I758" s="3">
        <v>53.226111099999997</v>
      </c>
      <c r="J758" s="3">
        <v>-6.1244443999999998</v>
      </c>
      <c r="K758" s="5"/>
      <c r="L758" s="5">
        <f t="shared" si="22"/>
        <v>2009</v>
      </c>
      <c r="M758" s="5">
        <f t="shared" si="23"/>
        <v>39857</v>
      </c>
      <c r="N758" s="18">
        <v>0.31736111111111109</v>
      </c>
    </row>
    <row r="759" spans="1:14" x14ac:dyDescent="0.3">
      <c r="A759" s="6" t="s">
        <v>11</v>
      </c>
      <c r="B759" s="6">
        <v>60000</v>
      </c>
      <c r="C759" s="6" t="s">
        <v>12</v>
      </c>
      <c r="D759" s="6" t="s">
        <v>1330</v>
      </c>
      <c r="E759" s="6" t="s">
        <v>1331</v>
      </c>
      <c r="F759" s="6" t="s">
        <v>1278</v>
      </c>
      <c r="G759" s="6" t="s">
        <v>1275</v>
      </c>
      <c r="H759" s="7">
        <v>39858.15</v>
      </c>
      <c r="I759" s="6">
        <v>51.746944399999997</v>
      </c>
      <c r="J759" s="6">
        <v>-8.7424999999999997</v>
      </c>
      <c r="K759" s="8"/>
      <c r="L759" s="8">
        <f t="shared" si="22"/>
        <v>2009</v>
      </c>
      <c r="M759" s="8">
        <f t="shared" si="23"/>
        <v>39858</v>
      </c>
      <c r="N759" s="19">
        <v>0.10972222222222222</v>
      </c>
    </row>
    <row r="760" spans="1:14" x14ac:dyDescent="0.3">
      <c r="A760" s="3" t="s">
        <v>11</v>
      </c>
      <c r="B760" s="3">
        <v>1200</v>
      </c>
      <c r="C760" s="3" t="s">
        <v>12</v>
      </c>
      <c r="D760" s="3" t="s">
        <v>1332</v>
      </c>
      <c r="E760" s="3" t="s">
        <v>1303</v>
      </c>
      <c r="F760" s="3" t="s">
        <v>1281</v>
      </c>
      <c r="G760" s="3" t="s">
        <v>1275</v>
      </c>
      <c r="H760" s="4">
        <v>39860.006249999999</v>
      </c>
      <c r="I760" s="3">
        <v>53.300555600000003</v>
      </c>
      <c r="J760" s="3">
        <v>-6.2827777999999999</v>
      </c>
      <c r="K760" s="5"/>
      <c r="L760" s="5">
        <f t="shared" si="22"/>
        <v>2009</v>
      </c>
      <c r="M760" s="5">
        <f t="shared" si="23"/>
        <v>39860</v>
      </c>
      <c r="N760" s="18">
        <v>0.11597222222222223</v>
      </c>
    </row>
    <row r="761" spans="1:14" x14ac:dyDescent="0.3">
      <c r="A761" s="6" t="s">
        <v>11</v>
      </c>
      <c r="B761" s="6">
        <v>1200</v>
      </c>
      <c r="C761" s="6" t="s">
        <v>17</v>
      </c>
      <c r="D761" s="6" t="s">
        <v>713</v>
      </c>
      <c r="E761" s="6" t="s">
        <v>1333</v>
      </c>
      <c r="F761" s="6" t="s">
        <v>1274</v>
      </c>
      <c r="G761" s="6" t="s">
        <v>1275</v>
      </c>
      <c r="H761" s="7">
        <v>39860.160416666666</v>
      </c>
      <c r="I761" s="6">
        <v>53.618611100000003</v>
      </c>
      <c r="J761" s="6">
        <v>-6.9205556000000001</v>
      </c>
      <c r="K761" s="8"/>
      <c r="L761" s="8">
        <f t="shared" si="22"/>
        <v>2009</v>
      </c>
      <c r="M761" s="8">
        <f t="shared" si="23"/>
        <v>39860</v>
      </c>
      <c r="N761" s="19">
        <v>6.1111111111111109E-2</v>
      </c>
    </row>
    <row r="762" spans="1:14" x14ac:dyDescent="0.3">
      <c r="A762" s="3" t="s">
        <v>11</v>
      </c>
      <c r="B762" s="3">
        <v>1200</v>
      </c>
      <c r="C762" s="3" t="s">
        <v>12</v>
      </c>
      <c r="D762" s="3" t="s">
        <v>1334</v>
      </c>
      <c r="E762" s="3" t="s">
        <v>1335</v>
      </c>
      <c r="F762" s="3" t="s">
        <v>1308</v>
      </c>
      <c r="G762" s="3" t="s">
        <v>1275</v>
      </c>
      <c r="H762" s="4">
        <v>39861.143055555556</v>
      </c>
      <c r="I762" s="3">
        <v>52.681944399999999</v>
      </c>
      <c r="J762" s="3">
        <v>-7.8022222000000001</v>
      </c>
      <c r="K762" s="5"/>
      <c r="L762" s="5">
        <f t="shared" si="22"/>
        <v>2009</v>
      </c>
      <c r="M762" s="5">
        <f t="shared" si="23"/>
        <v>39861</v>
      </c>
      <c r="N762" s="18">
        <v>0.13819444444444445</v>
      </c>
    </row>
    <row r="763" spans="1:14" x14ac:dyDescent="0.3">
      <c r="A763" s="6" t="s">
        <v>11</v>
      </c>
      <c r="B763" s="6">
        <v>1200</v>
      </c>
      <c r="C763" s="6" t="s">
        <v>12</v>
      </c>
      <c r="D763" s="6" t="s">
        <v>1336</v>
      </c>
      <c r="E763" s="6" t="s">
        <v>1278</v>
      </c>
      <c r="F763" s="6" t="s">
        <v>1278</v>
      </c>
      <c r="G763" s="6" t="s">
        <v>1275</v>
      </c>
      <c r="H763" s="7">
        <v>39861.276388888888</v>
      </c>
      <c r="I763" s="6">
        <v>51.898611099999997</v>
      </c>
      <c r="J763" s="6">
        <v>-8.4958332999999993</v>
      </c>
      <c r="K763" s="8"/>
      <c r="L763" s="8">
        <f t="shared" si="22"/>
        <v>2009</v>
      </c>
      <c r="M763" s="8">
        <f t="shared" si="23"/>
        <v>39861</v>
      </c>
      <c r="N763" s="19">
        <v>0.13402777777777777</v>
      </c>
    </row>
    <row r="764" spans="1:14" x14ac:dyDescent="0.3">
      <c r="A764" s="3" t="s">
        <v>11</v>
      </c>
      <c r="B764" s="3">
        <v>1200</v>
      </c>
      <c r="C764" s="3" t="s">
        <v>12</v>
      </c>
      <c r="D764" s="3" t="s">
        <v>534</v>
      </c>
      <c r="E764" s="3" t="s">
        <v>1337</v>
      </c>
      <c r="F764" s="3" t="s">
        <v>1050</v>
      </c>
      <c r="G764" s="3" t="s">
        <v>1275</v>
      </c>
      <c r="H764" s="4">
        <v>39861.463194444441</v>
      </c>
      <c r="I764" s="3">
        <v>51.8333333</v>
      </c>
      <c r="J764" s="3">
        <v>-9.9</v>
      </c>
      <c r="K764" s="5"/>
      <c r="L764" s="5">
        <f t="shared" si="22"/>
        <v>2009</v>
      </c>
      <c r="M764" s="5">
        <f t="shared" si="23"/>
        <v>39861</v>
      </c>
      <c r="N764" s="18">
        <v>0.11319444444444444</v>
      </c>
    </row>
    <row r="765" spans="1:14" x14ac:dyDescent="0.3">
      <c r="A765" s="6" t="s">
        <v>11</v>
      </c>
      <c r="B765" s="6">
        <v>1200</v>
      </c>
      <c r="C765" s="6" t="s">
        <v>12</v>
      </c>
      <c r="D765" s="6" t="s">
        <v>1338</v>
      </c>
      <c r="E765" s="6" t="s">
        <v>1293</v>
      </c>
      <c r="F765" s="6" t="s">
        <v>1281</v>
      </c>
      <c r="G765" s="6" t="s">
        <v>1275</v>
      </c>
      <c r="H765" s="7">
        <v>39861.587500000001</v>
      </c>
      <c r="I765" s="6">
        <v>53.378611100000001</v>
      </c>
      <c r="J765" s="6">
        <v>-6.3922222</v>
      </c>
      <c r="K765" s="8"/>
      <c r="L765" s="5">
        <f t="shared" si="22"/>
        <v>2009</v>
      </c>
      <c r="M765" s="5">
        <f t="shared" si="23"/>
        <v>39861</v>
      </c>
      <c r="N765" s="18">
        <v>0.53194444444444444</v>
      </c>
    </row>
    <row r="766" spans="1:14" x14ac:dyDescent="0.3">
      <c r="A766" s="3" t="s">
        <v>11</v>
      </c>
      <c r="B766" s="3">
        <v>1200</v>
      </c>
      <c r="C766" s="3" t="s">
        <v>12</v>
      </c>
      <c r="D766" s="3" t="s">
        <v>309</v>
      </c>
      <c r="E766" s="3" t="s">
        <v>1339</v>
      </c>
      <c r="F766" s="3" t="s">
        <v>1340</v>
      </c>
      <c r="G766" s="3" t="s">
        <v>1275</v>
      </c>
      <c r="H766" s="4">
        <v>39862.307638888888</v>
      </c>
      <c r="I766" s="3">
        <v>52.616666700000003</v>
      </c>
      <c r="J766" s="3">
        <v>-8.8833333000000003</v>
      </c>
      <c r="K766" s="5"/>
      <c r="L766" s="8">
        <f t="shared" si="22"/>
        <v>2009</v>
      </c>
      <c r="M766" s="8">
        <f t="shared" si="23"/>
        <v>39862</v>
      </c>
      <c r="N766" s="19">
        <v>0.22222222222222221</v>
      </c>
    </row>
    <row r="767" spans="1:14" x14ac:dyDescent="0.3">
      <c r="A767" s="6" t="s">
        <v>11</v>
      </c>
      <c r="B767" s="6">
        <v>1200</v>
      </c>
      <c r="C767" s="6" t="s">
        <v>12</v>
      </c>
      <c r="D767" s="6" t="s">
        <v>511</v>
      </c>
      <c r="E767" s="6" t="s">
        <v>1341</v>
      </c>
      <c r="F767" s="6" t="s">
        <v>1278</v>
      </c>
      <c r="G767" s="6" t="s">
        <v>1275</v>
      </c>
      <c r="H767" s="7">
        <v>39863.533333333333</v>
      </c>
      <c r="I767" s="6">
        <v>51.933333300000001</v>
      </c>
      <c r="J767" s="6">
        <v>-8.5666667000000007</v>
      </c>
      <c r="K767" s="8"/>
      <c r="L767" s="5">
        <f t="shared" si="22"/>
        <v>2009</v>
      </c>
      <c r="M767" s="5">
        <f t="shared" si="23"/>
        <v>39863</v>
      </c>
      <c r="N767" s="18">
        <v>0.26180555555555557</v>
      </c>
    </row>
    <row r="768" spans="1:14" x14ac:dyDescent="0.3">
      <c r="A768" s="3" t="s">
        <v>11</v>
      </c>
      <c r="B768" s="3">
        <v>1200</v>
      </c>
      <c r="C768" s="3" t="s">
        <v>12</v>
      </c>
      <c r="D768" s="3" t="s">
        <v>1342</v>
      </c>
      <c r="E768" s="3" t="s">
        <v>1343</v>
      </c>
      <c r="F768" s="3" t="s">
        <v>1340</v>
      </c>
      <c r="G768" s="3" t="s">
        <v>1275</v>
      </c>
      <c r="H768" s="4">
        <v>39863.605555555558</v>
      </c>
      <c r="I768" s="3">
        <v>52.596111100000002</v>
      </c>
      <c r="J768" s="3">
        <v>-8.5469443999999992</v>
      </c>
      <c r="K768" s="5"/>
      <c r="L768" s="8">
        <f t="shared" si="22"/>
        <v>2009</v>
      </c>
      <c r="M768" s="8">
        <f t="shared" si="23"/>
        <v>39863</v>
      </c>
      <c r="N768" s="19">
        <v>0.45277777777777778</v>
      </c>
    </row>
    <row r="769" spans="1:14" x14ac:dyDescent="0.3">
      <c r="A769" s="6" t="s">
        <v>11</v>
      </c>
      <c r="B769" s="6">
        <v>1200</v>
      </c>
      <c r="C769" s="6" t="s">
        <v>17</v>
      </c>
      <c r="D769" s="6" t="s">
        <v>1344</v>
      </c>
      <c r="E769" s="6" t="s">
        <v>1345</v>
      </c>
      <c r="F769" s="6" t="s">
        <v>1278</v>
      </c>
      <c r="G769" s="6" t="s">
        <v>1275</v>
      </c>
      <c r="H769" s="7">
        <v>39864.137499999997</v>
      </c>
      <c r="I769" s="6">
        <v>52.216666699999998</v>
      </c>
      <c r="J769" s="6">
        <v>-9</v>
      </c>
      <c r="K769" s="8"/>
      <c r="L769" s="5">
        <f t="shared" si="22"/>
        <v>2009</v>
      </c>
      <c r="M769" s="5">
        <f t="shared" si="23"/>
        <v>39864</v>
      </c>
      <c r="N769" s="18">
        <v>7.1527777777777773E-2</v>
      </c>
    </row>
    <row r="770" spans="1:14" x14ac:dyDescent="0.3">
      <c r="A770" s="3" t="s">
        <v>21</v>
      </c>
      <c r="B770" s="3">
        <v>100000</v>
      </c>
      <c r="C770" s="3" t="s">
        <v>12</v>
      </c>
      <c r="D770" s="3" t="s">
        <v>1346</v>
      </c>
      <c r="E770" s="3" t="s">
        <v>1347</v>
      </c>
      <c r="F770" s="3" t="s">
        <v>1281</v>
      </c>
      <c r="G770" s="3" t="s">
        <v>1275</v>
      </c>
      <c r="H770" s="4">
        <v>39867.49722222222</v>
      </c>
      <c r="I770" s="3">
        <v>53.324444399999997</v>
      </c>
      <c r="J770" s="3">
        <v>-6.3972221999999999</v>
      </c>
      <c r="K770" s="5"/>
      <c r="L770" s="8">
        <f t="shared" ref="L770:L833" si="24">YEAR(H770)</f>
        <v>2009</v>
      </c>
      <c r="M770" s="8">
        <f t="shared" ref="M770:M833" si="25">INT(H770)</f>
        <v>39867</v>
      </c>
      <c r="N770" s="19">
        <v>0.28194444444444444</v>
      </c>
    </row>
    <row r="771" spans="1:14" x14ac:dyDescent="0.3">
      <c r="A771" s="6" t="s">
        <v>11</v>
      </c>
      <c r="B771" s="6">
        <v>1200</v>
      </c>
      <c r="C771" s="6" t="s">
        <v>17</v>
      </c>
      <c r="D771" s="6" t="s">
        <v>1348</v>
      </c>
      <c r="E771" s="6" t="s">
        <v>1349</v>
      </c>
      <c r="F771" s="6" t="s">
        <v>1281</v>
      </c>
      <c r="G771" s="6" t="s">
        <v>1275</v>
      </c>
      <c r="H771" s="7">
        <v>39867.501388888886</v>
      </c>
      <c r="I771" s="6">
        <v>53.326388899999998</v>
      </c>
      <c r="J771" s="6">
        <v>-6.2947221999999998</v>
      </c>
      <c r="K771" s="8"/>
      <c r="L771" s="5">
        <f t="shared" si="24"/>
        <v>2009</v>
      </c>
      <c r="M771" s="5">
        <f t="shared" si="25"/>
        <v>39867</v>
      </c>
      <c r="N771" s="18">
        <v>0.10138888888888889</v>
      </c>
    </row>
    <row r="772" spans="1:14" x14ac:dyDescent="0.3">
      <c r="A772" s="3" t="s">
        <v>11</v>
      </c>
      <c r="B772" s="3">
        <v>1200</v>
      </c>
      <c r="C772" s="3" t="s">
        <v>12</v>
      </c>
      <c r="D772" s="3" t="s">
        <v>1350</v>
      </c>
      <c r="E772" s="3" t="s">
        <v>1320</v>
      </c>
      <c r="F772" s="3" t="s">
        <v>1320</v>
      </c>
      <c r="G772" s="3" t="s">
        <v>1275</v>
      </c>
      <c r="H772" s="4">
        <v>39869.65347222222</v>
      </c>
      <c r="I772" s="3">
        <v>52.258333299999997</v>
      </c>
      <c r="J772" s="3">
        <v>-7.1119443999999996</v>
      </c>
      <c r="K772" s="5"/>
      <c r="L772" s="5">
        <f t="shared" si="24"/>
        <v>2009</v>
      </c>
      <c r="M772" s="5">
        <f t="shared" si="25"/>
        <v>39869</v>
      </c>
      <c r="N772" s="18">
        <v>0.50138888888888888</v>
      </c>
    </row>
    <row r="773" spans="1:14" x14ac:dyDescent="0.3">
      <c r="A773" s="6" t="s">
        <v>11</v>
      </c>
      <c r="B773" s="6">
        <v>1200</v>
      </c>
      <c r="C773" s="6" t="s">
        <v>65</v>
      </c>
      <c r="D773" s="6" t="s">
        <v>675</v>
      </c>
      <c r="E773" s="6" t="s">
        <v>1278</v>
      </c>
      <c r="F773" s="6" t="s">
        <v>1278</v>
      </c>
      <c r="G773" s="6" t="s">
        <v>1275</v>
      </c>
      <c r="H773" s="7">
        <v>39870.170138888891</v>
      </c>
      <c r="I773" s="6">
        <v>51.898611099999997</v>
      </c>
      <c r="J773" s="6">
        <v>-8.4958332999999993</v>
      </c>
      <c r="K773" s="8"/>
      <c r="L773" s="8">
        <f t="shared" si="24"/>
        <v>2009</v>
      </c>
      <c r="M773" s="8">
        <f t="shared" si="25"/>
        <v>39870</v>
      </c>
      <c r="N773" s="19">
        <v>0.12708333333333333</v>
      </c>
    </row>
    <row r="774" spans="1:14" x14ac:dyDescent="0.3">
      <c r="A774" s="3" t="s">
        <v>11</v>
      </c>
      <c r="B774" s="3">
        <v>1200</v>
      </c>
      <c r="C774" s="3" t="s">
        <v>17</v>
      </c>
      <c r="D774" s="3" t="s">
        <v>1351</v>
      </c>
      <c r="E774" s="3" t="s">
        <v>1352</v>
      </c>
      <c r="F774" s="3" t="s">
        <v>1281</v>
      </c>
      <c r="G774" s="3" t="s">
        <v>1275</v>
      </c>
      <c r="H774" s="4">
        <v>39870.42291666667</v>
      </c>
      <c r="I774" s="3">
        <v>53.2594444</v>
      </c>
      <c r="J774" s="3">
        <v>-6.1447222000000004</v>
      </c>
      <c r="K774" s="5"/>
      <c r="L774" s="5">
        <f t="shared" si="24"/>
        <v>2009</v>
      </c>
      <c r="M774" s="5">
        <f t="shared" si="25"/>
        <v>39870</v>
      </c>
      <c r="N774" s="18">
        <v>0.51875000000000004</v>
      </c>
    </row>
    <row r="775" spans="1:14" x14ac:dyDescent="0.3">
      <c r="A775" s="6" t="s">
        <v>11</v>
      </c>
      <c r="B775" s="6">
        <v>1200</v>
      </c>
      <c r="C775" s="6" t="s">
        <v>12</v>
      </c>
      <c r="D775" s="6" t="s">
        <v>1353</v>
      </c>
      <c r="E775" s="6" t="s">
        <v>1354</v>
      </c>
      <c r="F775" s="6" t="s">
        <v>1281</v>
      </c>
      <c r="G775" s="6" t="s">
        <v>1275</v>
      </c>
      <c r="H775" s="7">
        <v>39871.166666666664</v>
      </c>
      <c r="I775" s="6">
        <v>53.3030556</v>
      </c>
      <c r="J775" s="6">
        <v>-6.1830556000000003</v>
      </c>
      <c r="K775" s="8"/>
      <c r="L775" s="8">
        <f t="shared" si="24"/>
        <v>2009</v>
      </c>
      <c r="M775" s="8">
        <f t="shared" si="25"/>
        <v>39871</v>
      </c>
      <c r="N775" s="19">
        <v>0.21597222222222223</v>
      </c>
    </row>
    <row r="776" spans="1:14" x14ac:dyDescent="0.3">
      <c r="A776" s="3" t="s">
        <v>11</v>
      </c>
      <c r="B776" s="3">
        <v>1200</v>
      </c>
      <c r="C776" s="3" t="s">
        <v>12</v>
      </c>
      <c r="D776" s="3" t="s">
        <v>1355</v>
      </c>
      <c r="E776" s="3" t="s">
        <v>1356</v>
      </c>
      <c r="F776" s="3" t="s">
        <v>1281</v>
      </c>
      <c r="G776" s="3" t="s">
        <v>1275</v>
      </c>
      <c r="H776" s="4">
        <v>39871.272916666669</v>
      </c>
      <c r="I776" s="3">
        <v>53.266666700000002</v>
      </c>
      <c r="J776" s="3">
        <v>-6.1741666999999998</v>
      </c>
      <c r="K776" s="5"/>
      <c r="L776" s="5">
        <f t="shared" si="24"/>
        <v>2009</v>
      </c>
      <c r="M776" s="5">
        <f t="shared" si="25"/>
        <v>39871</v>
      </c>
      <c r="N776" s="18">
        <v>0.17499999999999999</v>
      </c>
    </row>
    <row r="777" spans="1:14" x14ac:dyDescent="0.3">
      <c r="A777" s="6" t="s">
        <v>11</v>
      </c>
      <c r="B777" s="6">
        <v>1200</v>
      </c>
      <c r="C777" s="6" t="s">
        <v>65</v>
      </c>
      <c r="D777" s="6" t="s">
        <v>1357</v>
      </c>
      <c r="E777" s="6" t="s">
        <v>1358</v>
      </c>
      <c r="F777" s="6" t="s">
        <v>1359</v>
      </c>
      <c r="G777" s="6" t="s">
        <v>1360</v>
      </c>
      <c r="H777" s="7">
        <v>39819.327777777777</v>
      </c>
      <c r="I777" s="6">
        <v>17.3833333</v>
      </c>
      <c r="J777" s="6">
        <v>78.466666700000005</v>
      </c>
      <c r="K777" s="8"/>
      <c r="L777" s="8">
        <f t="shared" si="24"/>
        <v>2009</v>
      </c>
      <c r="M777" s="8">
        <f t="shared" si="25"/>
        <v>39819</v>
      </c>
      <c r="N777" s="19">
        <v>0.20972222222222223</v>
      </c>
    </row>
    <row r="778" spans="1:14" x14ac:dyDescent="0.3">
      <c r="A778" s="3" t="s">
        <v>11</v>
      </c>
      <c r="B778" s="3">
        <v>1200</v>
      </c>
      <c r="C778" s="3" t="s">
        <v>65</v>
      </c>
      <c r="D778" s="3" t="s">
        <v>51</v>
      </c>
      <c r="E778" s="3" t="s">
        <v>1361</v>
      </c>
      <c r="F778" s="3" t="s">
        <v>1362</v>
      </c>
      <c r="G778" s="3" t="s">
        <v>1360</v>
      </c>
      <c r="H778" s="4">
        <v>39840.011805555558</v>
      </c>
      <c r="I778" s="3">
        <v>28.466666700000001</v>
      </c>
      <c r="J778" s="3">
        <v>77.033333299999995</v>
      </c>
      <c r="K778" s="5"/>
      <c r="L778" s="5">
        <f t="shared" si="24"/>
        <v>2009</v>
      </c>
      <c r="M778" s="5">
        <f t="shared" si="25"/>
        <v>39840</v>
      </c>
      <c r="N778" s="18">
        <v>0.53194444444444444</v>
      </c>
    </row>
    <row r="779" spans="1:14" x14ac:dyDescent="0.3">
      <c r="A779" s="6" t="s">
        <v>11</v>
      </c>
      <c r="B779" s="6">
        <v>1200</v>
      </c>
      <c r="C779" s="6" t="s">
        <v>12</v>
      </c>
      <c r="D779" s="6" t="s">
        <v>1363</v>
      </c>
      <c r="E779" s="6" t="s">
        <v>1364</v>
      </c>
      <c r="F779" s="6"/>
      <c r="G779" s="6" t="s">
        <v>1365</v>
      </c>
      <c r="H779" s="7">
        <v>39841.363888888889</v>
      </c>
      <c r="I779" s="6">
        <v>63.85</v>
      </c>
      <c r="J779" s="6">
        <v>-21.3666667</v>
      </c>
      <c r="K779" s="8"/>
      <c r="L779" s="5">
        <f t="shared" si="24"/>
        <v>2009</v>
      </c>
      <c r="M779" s="5">
        <f t="shared" si="25"/>
        <v>39841</v>
      </c>
      <c r="N779" s="18">
        <v>0.1361111111111111</v>
      </c>
    </row>
    <row r="780" spans="1:14" x14ac:dyDescent="0.3">
      <c r="A780" s="3" t="s">
        <v>11</v>
      </c>
      <c r="B780" s="3">
        <v>1200</v>
      </c>
      <c r="C780" s="3" t="s">
        <v>65</v>
      </c>
      <c r="D780" s="3" t="s">
        <v>1366</v>
      </c>
      <c r="E780" s="3" t="s">
        <v>1367</v>
      </c>
      <c r="F780" s="3" t="s">
        <v>1368</v>
      </c>
      <c r="G780" s="3" t="s">
        <v>1369</v>
      </c>
      <c r="H780" s="4">
        <v>39836.540972222225</v>
      </c>
      <c r="I780" s="3">
        <v>47.4166667</v>
      </c>
      <c r="J780" s="3">
        <v>19.0833333</v>
      </c>
      <c r="K780" s="5"/>
      <c r="L780" s="8">
        <f t="shared" si="24"/>
        <v>2009</v>
      </c>
      <c r="M780" s="8">
        <f t="shared" si="25"/>
        <v>39836</v>
      </c>
      <c r="N780" s="19">
        <v>0.33333333333333331</v>
      </c>
    </row>
    <row r="781" spans="1:14" x14ac:dyDescent="0.3">
      <c r="A781" s="6" t="s">
        <v>11</v>
      </c>
      <c r="B781" s="6">
        <v>1200</v>
      </c>
      <c r="C781" s="6" t="s">
        <v>17</v>
      </c>
      <c r="D781" s="6" t="s">
        <v>1370</v>
      </c>
      <c r="E781" s="6" t="s">
        <v>1371</v>
      </c>
      <c r="F781" s="6" t="s">
        <v>1372</v>
      </c>
      <c r="G781" s="6" t="s">
        <v>1369</v>
      </c>
      <c r="H781" s="7">
        <v>39851.050000000003</v>
      </c>
      <c r="I781" s="6">
        <v>46.9</v>
      </c>
      <c r="J781" s="6">
        <v>19.783333299999999</v>
      </c>
      <c r="K781" s="8"/>
      <c r="L781" s="5">
        <f t="shared" si="24"/>
        <v>2009</v>
      </c>
      <c r="M781" s="5">
        <f t="shared" si="25"/>
        <v>39851</v>
      </c>
      <c r="N781" s="18">
        <v>0.33888888888888891</v>
      </c>
    </row>
    <row r="782" spans="1:14" x14ac:dyDescent="0.3">
      <c r="A782" s="3" t="s">
        <v>11</v>
      </c>
      <c r="B782" s="3">
        <v>1200</v>
      </c>
      <c r="C782" s="3" t="s">
        <v>12</v>
      </c>
      <c r="D782" s="3" t="s">
        <v>1373</v>
      </c>
      <c r="E782" s="3" t="s">
        <v>1374</v>
      </c>
      <c r="F782" s="3" t="s">
        <v>1375</v>
      </c>
      <c r="G782" s="3" t="s">
        <v>1369</v>
      </c>
      <c r="H782" s="4">
        <v>39866.29583333333</v>
      </c>
      <c r="I782" s="3">
        <v>47.45</v>
      </c>
      <c r="J782" s="3">
        <v>18.966666700000001</v>
      </c>
      <c r="K782" s="5"/>
      <c r="L782" s="8">
        <f t="shared" si="24"/>
        <v>2009</v>
      </c>
      <c r="M782" s="8">
        <f t="shared" si="25"/>
        <v>39866</v>
      </c>
      <c r="N782" s="19">
        <v>0.35486111111111113</v>
      </c>
    </row>
    <row r="783" spans="1:14" x14ac:dyDescent="0.3">
      <c r="A783" s="6" t="s">
        <v>11</v>
      </c>
      <c r="B783" s="6">
        <v>1200</v>
      </c>
      <c r="C783" s="6" t="s">
        <v>17</v>
      </c>
      <c r="D783" s="6" t="s">
        <v>1376</v>
      </c>
      <c r="E783" s="6" t="s">
        <v>1377</v>
      </c>
      <c r="F783" s="6"/>
      <c r="G783" s="6" t="s">
        <v>1377</v>
      </c>
      <c r="H783" s="7">
        <v>39848.68472222222</v>
      </c>
      <c r="I783" s="6">
        <v>22.283333299999999</v>
      </c>
      <c r="J783" s="6">
        <v>114.15</v>
      </c>
      <c r="K783" s="8"/>
      <c r="L783" s="5">
        <f t="shared" si="24"/>
        <v>2009</v>
      </c>
      <c r="M783" s="5">
        <f t="shared" si="25"/>
        <v>39848</v>
      </c>
      <c r="N783" s="18">
        <v>0.21458333333333332</v>
      </c>
    </row>
    <row r="784" spans="1:14" x14ac:dyDescent="0.3">
      <c r="A784" s="3" t="s">
        <v>11</v>
      </c>
      <c r="B784" s="3">
        <v>1200</v>
      </c>
      <c r="C784" s="3" t="s">
        <v>12</v>
      </c>
      <c r="D784" s="3" t="s">
        <v>1378</v>
      </c>
      <c r="E784" s="3" t="s">
        <v>1379</v>
      </c>
      <c r="F784" s="3" t="s">
        <v>1380</v>
      </c>
      <c r="G784" s="3" t="s">
        <v>1380</v>
      </c>
      <c r="H784" s="4">
        <v>39872.61041666667</v>
      </c>
      <c r="I784" s="3">
        <v>14.65</v>
      </c>
      <c r="J784" s="3">
        <v>-90.483333299999998</v>
      </c>
      <c r="K784" s="5"/>
      <c r="L784" s="8">
        <f t="shared" si="24"/>
        <v>2009</v>
      </c>
      <c r="M784" s="8">
        <f t="shared" si="25"/>
        <v>39872</v>
      </c>
      <c r="N784" s="19">
        <v>0.35486111111111113</v>
      </c>
    </row>
    <row r="785" spans="1:14" x14ac:dyDescent="0.3">
      <c r="A785" s="6" t="s">
        <v>11</v>
      </c>
      <c r="B785" s="6">
        <v>1200</v>
      </c>
      <c r="C785" s="6" t="s">
        <v>12</v>
      </c>
      <c r="D785" s="6" t="s">
        <v>1381</v>
      </c>
      <c r="E785" s="6" t="s">
        <v>1382</v>
      </c>
      <c r="F785" s="6" t="s">
        <v>1383</v>
      </c>
      <c r="G785" s="6" t="s">
        <v>1384</v>
      </c>
      <c r="H785" s="7">
        <v>39868.123611111114</v>
      </c>
      <c r="I785" s="6">
        <v>37.983333299999998</v>
      </c>
      <c r="J785" s="6">
        <v>23.733333300000002</v>
      </c>
      <c r="K785" s="8"/>
      <c r="L785" s="5">
        <f t="shared" si="24"/>
        <v>2009</v>
      </c>
      <c r="M785" s="5">
        <f t="shared" si="25"/>
        <v>39868</v>
      </c>
      <c r="N785" s="18">
        <v>0.44236111111111109</v>
      </c>
    </row>
    <row r="786" spans="1:14" x14ac:dyDescent="0.3">
      <c r="A786" s="3" t="s">
        <v>21</v>
      </c>
      <c r="B786" s="3">
        <v>100000</v>
      </c>
      <c r="C786" s="3" t="s">
        <v>17</v>
      </c>
      <c r="D786" s="3" t="s">
        <v>1385</v>
      </c>
      <c r="E786" s="3" t="s">
        <v>1386</v>
      </c>
      <c r="F786" s="3" t="s">
        <v>1387</v>
      </c>
      <c r="G786" s="3" t="s">
        <v>1388</v>
      </c>
      <c r="H786" s="4">
        <v>39827.088194444441</v>
      </c>
      <c r="I786" s="3">
        <v>52.3333333</v>
      </c>
      <c r="J786" s="3">
        <v>7.9</v>
      </c>
      <c r="K786" s="5"/>
      <c r="L786" s="5">
        <f t="shared" si="24"/>
        <v>2009</v>
      </c>
      <c r="M786" s="5">
        <f t="shared" si="25"/>
        <v>39827</v>
      </c>
      <c r="N786" s="18">
        <v>0.37361111111111112</v>
      </c>
    </row>
    <row r="787" spans="1:14" x14ac:dyDescent="0.3">
      <c r="A787" s="6" t="s">
        <v>11</v>
      </c>
      <c r="B787" s="6">
        <v>1200</v>
      </c>
      <c r="C787" s="6" t="s">
        <v>65</v>
      </c>
      <c r="D787" s="6" t="s">
        <v>720</v>
      </c>
      <c r="E787" s="6" t="s">
        <v>1158</v>
      </c>
      <c r="F787" s="6" t="s">
        <v>1387</v>
      </c>
      <c r="G787" s="6" t="s">
        <v>1388</v>
      </c>
      <c r="H787" s="7">
        <v>39828.509722222225</v>
      </c>
      <c r="I787" s="6">
        <v>51.716666699999998</v>
      </c>
      <c r="J787" s="6">
        <v>6.5</v>
      </c>
      <c r="K787" s="8"/>
      <c r="L787" s="8">
        <f t="shared" si="24"/>
        <v>2009</v>
      </c>
      <c r="M787" s="8">
        <f t="shared" si="25"/>
        <v>39828</v>
      </c>
      <c r="N787" s="19">
        <v>0.40486111111111112</v>
      </c>
    </row>
    <row r="788" spans="1:14" x14ac:dyDescent="0.3">
      <c r="A788" s="3" t="s">
        <v>11</v>
      </c>
      <c r="B788" s="3">
        <v>1200</v>
      </c>
      <c r="C788" s="3" t="s">
        <v>17</v>
      </c>
      <c r="D788" s="3" t="s">
        <v>58</v>
      </c>
      <c r="E788" s="3" t="s">
        <v>1389</v>
      </c>
      <c r="F788" s="3" t="s">
        <v>1390</v>
      </c>
      <c r="G788" s="3" t="s">
        <v>1388</v>
      </c>
      <c r="H788" s="4">
        <v>39831.303472222222</v>
      </c>
      <c r="I788" s="3">
        <v>50.0833333</v>
      </c>
      <c r="J788" s="3">
        <v>8.4499999999999993</v>
      </c>
      <c r="K788" s="5"/>
      <c r="L788" s="5">
        <f t="shared" si="24"/>
        <v>2009</v>
      </c>
      <c r="M788" s="5">
        <f t="shared" si="25"/>
        <v>39831</v>
      </c>
      <c r="N788" s="18">
        <v>0.45208333333333334</v>
      </c>
    </row>
    <row r="789" spans="1:14" x14ac:dyDescent="0.3">
      <c r="A789" s="6" t="s">
        <v>21</v>
      </c>
      <c r="B789" s="6">
        <v>100000</v>
      </c>
      <c r="C789" s="6" t="s">
        <v>12</v>
      </c>
      <c r="D789" s="6" t="s">
        <v>1391</v>
      </c>
      <c r="E789" s="6" t="s">
        <v>1392</v>
      </c>
      <c r="F789" s="6" t="s">
        <v>1393</v>
      </c>
      <c r="G789" s="6" t="s">
        <v>1388</v>
      </c>
      <c r="H789" s="7">
        <v>39832.354861111111</v>
      </c>
      <c r="I789" s="6">
        <v>52.266666700000002</v>
      </c>
      <c r="J789" s="6">
        <v>10.533333300000001</v>
      </c>
      <c r="K789" s="8"/>
      <c r="L789" s="8">
        <f t="shared" si="24"/>
        <v>2009</v>
      </c>
      <c r="M789" s="8">
        <f t="shared" si="25"/>
        <v>39832</v>
      </c>
      <c r="N789" s="19">
        <v>0.49652777777777779</v>
      </c>
    </row>
    <row r="790" spans="1:14" x14ac:dyDescent="0.3">
      <c r="A790" s="3" t="s">
        <v>11</v>
      </c>
      <c r="B790" s="3">
        <v>1200</v>
      </c>
      <c r="C790" s="3" t="s">
        <v>17</v>
      </c>
      <c r="D790" s="3" t="s">
        <v>1394</v>
      </c>
      <c r="E790" s="3" t="s">
        <v>1395</v>
      </c>
      <c r="F790" s="3" t="s">
        <v>1396</v>
      </c>
      <c r="G790" s="3" t="s">
        <v>1388</v>
      </c>
      <c r="H790" s="4">
        <v>39833.49722222222</v>
      </c>
      <c r="I790" s="3">
        <v>51.05</v>
      </c>
      <c r="J790" s="3">
        <v>13.75</v>
      </c>
      <c r="K790" s="5"/>
      <c r="L790" s="5">
        <f t="shared" si="24"/>
        <v>2009</v>
      </c>
      <c r="M790" s="5">
        <f t="shared" si="25"/>
        <v>39833</v>
      </c>
      <c r="N790" s="18">
        <v>8.9583333333333334E-2</v>
      </c>
    </row>
    <row r="791" spans="1:14" x14ac:dyDescent="0.3">
      <c r="A791" s="6" t="s">
        <v>21</v>
      </c>
      <c r="B791" s="6">
        <v>100000</v>
      </c>
      <c r="C791" s="6" t="s">
        <v>65</v>
      </c>
      <c r="D791" s="6" t="s">
        <v>1397</v>
      </c>
      <c r="E791" s="6" t="s">
        <v>1398</v>
      </c>
      <c r="F791" s="6" t="s">
        <v>1390</v>
      </c>
      <c r="G791" s="6" t="s">
        <v>1388</v>
      </c>
      <c r="H791" s="7">
        <v>39835.51458333333</v>
      </c>
      <c r="I791" s="6">
        <v>50.0833333</v>
      </c>
      <c r="J791" s="6">
        <v>8.25</v>
      </c>
      <c r="K791" s="8"/>
      <c r="L791" s="8">
        <f t="shared" si="24"/>
        <v>2009</v>
      </c>
      <c r="M791" s="8">
        <f t="shared" si="25"/>
        <v>39835</v>
      </c>
      <c r="N791" s="19">
        <v>0.41666666666666669</v>
      </c>
    </row>
    <row r="792" spans="1:14" x14ac:dyDescent="0.3">
      <c r="A792" s="3" t="s">
        <v>11</v>
      </c>
      <c r="B792" s="3">
        <v>1200</v>
      </c>
      <c r="C792" s="3" t="s">
        <v>12</v>
      </c>
      <c r="D792" s="3" t="s">
        <v>627</v>
      </c>
      <c r="E792" s="3" t="s">
        <v>1399</v>
      </c>
      <c r="F792" s="3" t="s">
        <v>1393</v>
      </c>
      <c r="G792" s="3" t="s">
        <v>1388</v>
      </c>
      <c r="H792" s="4">
        <v>39836.227777777778</v>
      </c>
      <c r="I792" s="3">
        <v>53.1666667</v>
      </c>
      <c r="J792" s="3">
        <v>8.1999999999999993</v>
      </c>
      <c r="K792" s="5"/>
      <c r="L792" s="5">
        <f t="shared" si="24"/>
        <v>2009</v>
      </c>
      <c r="M792" s="5">
        <f t="shared" si="25"/>
        <v>39836</v>
      </c>
      <c r="N792" s="18">
        <v>0.16944444444444445</v>
      </c>
    </row>
    <row r="793" spans="1:14" x14ac:dyDescent="0.3">
      <c r="A793" s="6" t="s">
        <v>21</v>
      </c>
      <c r="B793" s="6">
        <v>100000</v>
      </c>
      <c r="C793" s="6" t="s">
        <v>17</v>
      </c>
      <c r="D793" s="6" t="s">
        <v>1400</v>
      </c>
      <c r="E793" s="6" t="s">
        <v>1401</v>
      </c>
      <c r="F793" s="6" t="s">
        <v>1402</v>
      </c>
      <c r="G793" s="6" t="s">
        <v>1388</v>
      </c>
      <c r="H793" s="7">
        <v>39838.484027777777</v>
      </c>
      <c r="I793" s="6">
        <v>48.15</v>
      </c>
      <c r="J793" s="6">
        <v>11.5833333</v>
      </c>
      <c r="K793" s="8"/>
      <c r="L793" s="5">
        <f t="shared" si="24"/>
        <v>2009</v>
      </c>
      <c r="M793" s="5">
        <f t="shared" si="25"/>
        <v>39838</v>
      </c>
      <c r="N793" s="18">
        <v>0.42083333333333334</v>
      </c>
    </row>
    <row r="794" spans="1:14" x14ac:dyDescent="0.3">
      <c r="A794" s="3" t="s">
        <v>11</v>
      </c>
      <c r="B794" s="3">
        <v>1200</v>
      </c>
      <c r="C794" s="3" t="s">
        <v>17</v>
      </c>
      <c r="D794" s="3" t="s">
        <v>273</v>
      </c>
      <c r="E794" s="3" t="s">
        <v>1403</v>
      </c>
      <c r="F794" s="3" t="s">
        <v>1404</v>
      </c>
      <c r="G794" s="3" t="s">
        <v>1388</v>
      </c>
      <c r="H794" s="4">
        <v>39840.270833333336</v>
      </c>
      <c r="I794" s="3">
        <v>49.466666699999998</v>
      </c>
      <c r="J794" s="3">
        <v>7.4333333000000001</v>
      </c>
      <c r="K794" s="5"/>
      <c r="L794" s="8">
        <f t="shared" si="24"/>
        <v>2009</v>
      </c>
      <c r="M794" s="8">
        <f t="shared" si="25"/>
        <v>39840</v>
      </c>
      <c r="N794" s="19">
        <v>0.33333333333333331</v>
      </c>
    </row>
    <row r="795" spans="1:14" x14ac:dyDescent="0.3">
      <c r="A795" s="6" t="s">
        <v>11</v>
      </c>
      <c r="B795" s="6">
        <v>1200</v>
      </c>
      <c r="C795" s="6" t="s">
        <v>17</v>
      </c>
      <c r="D795" s="6" t="s">
        <v>229</v>
      </c>
      <c r="E795" s="6" t="s">
        <v>1405</v>
      </c>
      <c r="F795" s="6" t="s">
        <v>1405</v>
      </c>
      <c r="G795" s="6" t="s">
        <v>1388</v>
      </c>
      <c r="H795" s="7">
        <v>39841.464583333334</v>
      </c>
      <c r="I795" s="6">
        <v>52.516666700000002</v>
      </c>
      <c r="J795" s="6">
        <v>13.4</v>
      </c>
      <c r="K795" s="8"/>
      <c r="L795" s="5">
        <f t="shared" si="24"/>
        <v>2009</v>
      </c>
      <c r="M795" s="5">
        <f t="shared" si="25"/>
        <v>39841</v>
      </c>
      <c r="N795" s="18">
        <v>0.42777777777777776</v>
      </c>
    </row>
    <row r="796" spans="1:14" x14ac:dyDescent="0.3">
      <c r="A796" s="3" t="s">
        <v>11</v>
      </c>
      <c r="B796" s="3">
        <v>1200</v>
      </c>
      <c r="C796" s="3" t="s">
        <v>17</v>
      </c>
      <c r="D796" s="3" t="s">
        <v>1406</v>
      </c>
      <c r="E796" s="3" t="s">
        <v>1407</v>
      </c>
      <c r="F796" s="3" t="s">
        <v>1407</v>
      </c>
      <c r="G796" s="3" t="s">
        <v>1388</v>
      </c>
      <c r="H796" s="4">
        <v>39842.189583333333</v>
      </c>
      <c r="I796" s="3">
        <v>53.55</v>
      </c>
      <c r="J796" s="3">
        <v>10</v>
      </c>
      <c r="K796" s="5"/>
      <c r="L796" s="8">
        <f t="shared" si="24"/>
        <v>2009</v>
      </c>
      <c r="M796" s="8">
        <f t="shared" si="25"/>
        <v>39842</v>
      </c>
      <c r="N796" s="19">
        <v>7.0833333333333331E-2</v>
      </c>
    </row>
    <row r="797" spans="1:14" x14ac:dyDescent="0.3">
      <c r="A797" s="6" t="s">
        <v>11</v>
      </c>
      <c r="B797" s="6">
        <v>1200</v>
      </c>
      <c r="C797" s="6" t="s">
        <v>12</v>
      </c>
      <c r="D797" s="6" t="s">
        <v>774</v>
      </c>
      <c r="E797" s="6" t="s">
        <v>1408</v>
      </c>
      <c r="F797" s="6" t="s">
        <v>1404</v>
      </c>
      <c r="G797" s="6" t="s">
        <v>1388</v>
      </c>
      <c r="H797" s="7">
        <v>39849.15347222222</v>
      </c>
      <c r="I797" s="6">
        <v>49.4166667</v>
      </c>
      <c r="J797" s="6">
        <v>7.4</v>
      </c>
      <c r="K797" s="8"/>
      <c r="L797" s="5">
        <f t="shared" si="24"/>
        <v>2009</v>
      </c>
      <c r="M797" s="5">
        <f t="shared" si="25"/>
        <v>39849</v>
      </c>
      <c r="N797" s="18">
        <v>0.24513888888888888</v>
      </c>
    </row>
    <row r="798" spans="1:14" x14ac:dyDescent="0.3">
      <c r="A798" s="3" t="s">
        <v>11</v>
      </c>
      <c r="B798" s="3">
        <v>1200</v>
      </c>
      <c r="C798" s="3" t="s">
        <v>17</v>
      </c>
      <c r="D798" s="3" t="s">
        <v>1409</v>
      </c>
      <c r="E798" s="3" t="s">
        <v>1410</v>
      </c>
      <c r="F798" s="3" t="s">
        <v>1393</v>
      </c>
      <c r="G798" s="3" t="s">
        <v>1388</v>
      </c>
      <c r="H798" s="4">
        <v>39850.286111111112</v>
      </c>
      <c r="I798" s="3">
        <v>52.366666700000003</v>
      </c>
      <c r="J798" s="3">
        <v>9.7166666999999993</v>
      </c>
      <c r="K798" s="5"/>
      <c r="L798" s="8">
        <f t="shared" si="24"/>
        <v>2009</v>
      </c>
      <c r="M798" s="8">
        <f t="shared" si="25"/>
        <v>39850</v>
      </c>
      <c r="N798" s="19">
        <v>0.28402777777777777</v>
      </c>
    </row>
    <row r="799" spans="1:14" x14ac:dyDescent="0.3">
      <c r="A799" s="6" t="s">
        <v>11</v>
      </c>
      <c r="B799" s="6">
        <v>1200</v>
      </c>
      <c r="C799" s="6" t="s">
        <v>12</v>
      </c>
      <c r="D799" s="6" t="s">
        <v>1411</v>
      </c>
      <c r="E799" s="6" t="s">
        <v>1412</v>
      </c>
      <c r="F799" s="6" t="s">
        <v>1413</v>
      </c>
      <c r="G799" s="6" t="s">
        <v>1388</v>
      </c>
      <c r="H799" s="7">
        <v>39854.436111111114</v>
      </c>
      <c r="I799" s="6">
        <v>51.05</v>
      </c>
      <c r="J799" s="6">
        <v>11.65</v>
      </c>
      <c r="K799" s="8"/>
      <c r="L799" s="5">
        <f t="shared" si="24"/>
        <v>2009</v>
      </c>
      <c r="M799" s="5">
        <f t="shared" si="25"/>
        <v>39854</v>
      </c>
      <c r="N799" s="18">
        <v>0.40972222222222221</v>
      </c>
    </row>
    <row r="800" spans="1:14" x14ac:dyDescent="0.3">
      <c r="A800" s="3" t="s">
        <v>11</v>
      </c>
      <c r="B800" s="3">
        <v>1200</v>
      </c>
      <c r="C800" s="3" t="s">
        <v>12</v>
      </c>
      <c r="D800" s="3" t="s">
        <v>1414</v>
      </c>
      <c r="E800" s="3" t="s">
        <v>1415</v>
      </c>
      <c r="F800" s="3" t="s">
        <v>1404</v>
      </c>
      <c r="G800" s="3" t="s">
        <v>1388</v>
      </c>
      <c r="H800" s="4">
        <v>39854.999305555553</v>
      </c>
      <c r="I800" s="3">
        <v>49.983333299999998</v>
      </c>
      <c r="J800" s="3">
        <v>8.0666667000000007</v>
      </c>
      <c r="K800" s="5"/>
      <c r="L800" s="5">
        <f t="shared" si="24"/>
        <v>2009</v>
      </c>
      <c r="M800" s="5">
        <f t="shared" si="25"/>
        <v>39854</v>
      </c>
      <c r="N800" s="18">
        <v>0.27013888888888887</v>
      </c>
    </row>
    <row r="801" spans="1:14" x14ac:dyDescent="0.3">
      <c r="A801" s="6" t="s">
        <v>21</v>
      </c>
      <c r="B801" s="6">
        <v>100000</v>
      </c>
      <c r="C801" s="6" t="s">
        <v>12</v>
      </c>
      <c r="D801" s="6" t="s">
        <v>1416</v>
      </c>
      <c r="E801" s="6" t="s">
        <v>1417</v>
      </c>
      <c r="F801" s="6" t="s">
        <v>1402</v>
      </c>
      <c r="G801" s="6" t="s">
        <v>1388</v>
      </c>
      <c r="H801" s="7">
        <v>39858.049305555556</v>
      </c>
      <c r="I801" s="6">
        <v>48.7</v>
      </c>
      <c r="J801" s="6">
        <v>10.8</v>
      </c>
      <c r="K801" s="8"/>
      <c r="L801" s="8">
        <f t="shared" si="24"/>
        <v>2009</v>
      </c>
      <c r="M801" s="8">
        <f t="shared" si="25"/>
        <v>39858</v>
      </c>
      <c r="N801" s="19">
        <v>0.52847222222222223</v>
      </c>
    </row>
    <row r="802" spans="1:14" x14ac:dyDescent="0.3">
      <c r="A802" s="3" t="s">
        <v>11</v>
      </c>
      <c r="B802" s="3">
        <v>1200</v>
      </c>
      <c r="C802" s="3" t="s">
        <v>17</v>
      </c>
      <c r="D802" s="3" t="s">
        <v>133</v>
      </c>
      <c r="E802" s="3" t="s">
        <v>1418</v>
      </c>
      <c r="F802" s="3" t="s">
        <v>1419</v>
      </c>
      <c r="G802" s="3" t="s">
        <v>1388</v>
      </c>
      <c r="H802" s="4">
        <v>39858.211805555555</v>
      </c>
      <c r="I802" s="3">
        <v>48.283333300000002</v>
      </c>
      <c r="J802" s="3">
        <v>9.7333333</v>
      </c>
      <c r="K802" s="5"/>
      <c r="L802" s="5">
        <f t="shared" si="24"/>
        <v>2009</v>
      </c>
      <c r="M802" s="5">
        <f t="shared" si="25"/>
        <v>39858</v>
      </c>
      <c r="N802" s="18">
        <v>0.25277777777777777</v>
      </c>
    </row>
    <row r="803" spans="1:14" x14ac:dyDescent="0.3">
      <c r="A803" s="6" t="s">
        <v>11</v>
      </c>
      <c r="B803" s="6">
        <v>1200</v>
      </c>
      <c r="C803" s="6" t="s">
        <v>12</v>
      </c>
      <c r="D803" s="6" t="s">
        <v>32</v>
      </c>
      <c r="E803" s="6" t="s">
        <v>1420</v>
      </c>
      <c r="F803" s="6" t="s">
        <v>1419</v>
      </c>
      <c r="G803" s="6" t="s">
        <v>1388</v>
      </c>
      <c r="H803" s="7">
        <v>39859.070833333331</v>
      </c>
      <c r="I803" s="6">
        <v>48.9</v>
      </c>
      <c r="J803" s="6">
        <v>9.1833332999999993</v>
      </c>
      <c r="K803" s="8"/>
      <c r="L803" s="8">
        <f t="shared" si="24"/>
        <v>2009</v>
      </c>
      <c r="M803" s="8">
        <f t="shared" si="25"/>
        <v>39859</v>
      </c>
      <c r="N803" s="19">
        <v>0.49513888888888891</v>
      </c>
    </row>
    <row r="804" spans="1:14" x14ac:dyDescent="0.3">
      <c r="A804" s="3" t="s">
        <v>11</v>
      </c>
      <c r="B804" s="3">
        <v>1200</v>
      </c>
      <c r="C804" s="3" t="s">
        <v>65</v>
      </c>
      <c r="D804" s="3" t="s">
        <v>1421</v>
      </c>
      <c r="E804" s="3" t="s">
        <v>1422</v>
      </c>
      <c r="F804" s="3" t="s">
        <v>1419</v>
      </c>
      <c r="G804" s="3" t="s">
        <v>1388</v>
      </c>
      <c r="H804" s="4">
        <v>39859.5</v>
      </c>
      <c r="I804" s="3">
        <v>48.766666700000002</v>
      </c>
      <c r="J804" s="3">
        <v>9.1833332999999993</v>
      </c>
      <c r="K804" s="5"/>
      <c r="L804" s="5">
        <f t="shared" si="24"/>
        <v>2009</v>
      </c>
      <c r="M804" s="5">
        <f t="shared" si="25"/>
        <v>39859</v>
      </c>
      <c r="N804" s="18">
        <v>0.31597222222222221</v>
      </c>
    </row>
    <row r="805" spans="1:14" x14ac:dyDescent="0.3">
      <c r="A805" s="6" t="s">
        <v>11</v>
      </c>
      <c r="B805" s="6">
        <v>1200</v>
      </c>
      <c r="C805" s="6" t="s">
        <v>65</v>
      </c>
      <c r="D805" s="6" t="s">
        <v>1423</v>
      </c>
      <c r="E805" s="6" t="s">
        <v>1424</v>
      </c>
      <c r="F805" s="6" t="s">
        <v>1402</v>
      </c>
      <c r="G805" s="6" t="s">
        <v>1388</v>
      </c>
      <c r="H805" s="7">
        <v>39860.11041666667</v>
      </c>
      <c r="I805" s="6">
        <v>49.55</v>
      </c>
      <c r="J805" s="6">
        <v>11.5833333</v>
      </c>
      <c r="K805" s="8"/>
      <c r="L805" s="8">
        <f t="shared" si="24"/>
        <v>2009</v>
      </c>
      <c r="M805" s="8">
        <f t="shared" si="25"/>
        <v>39860</v>
      </c>
      <c r="N805" s="19">
        <v>0.31944444444444442</v>
      </c>
    </row>
    <row r="806" spans="1:14" x14ac:dyDescent="0.3">
      <c r="A806" s="3" t="s">
        <v>11</v>
      </c>
      <c r="B806" s="3">
        <v>1200</v>
      </c>
      <c r="C806" s="3" t="s">
        <v>12</v>
      </c>
      <c r="D806" s="3" t="s">
        <v>1425</v>
      </c>
      <c r="E806" s="3" t="s">
        <v>1401</v>
      </c>
      <c r="F806" s="3" t="s">
        <v>1402</v>
      </c>
      <c r="G806" s="3" t="s">
        <v>1388</v>
      </c>
      <c r="H806" s="4">
        <v>39860.531944444447</v>
      </c>
      <c r="I806" s="3">
        <v>48.15</v>
      </c>
      <c r="J806" s="3">
        <v>11.5833333</v>
      </c>
      <c r="K806" s="5"/>
      <c r="L806" s="5">
        <f t="shared" si="24"/>
        <v>2009</v>
      </c>
      <c r="M806" s="5">
        <f t="shared" si="25"/>
        <v>39860</v>
      </c>
      <c r="N806" s="18">
        <v>0.52638888888888891</v>
      </c>
    </row>
    <row r="807" spans="1:14" x14ac:dyDescent="0.3">
      <c r="A807" s="6" t="s">
        <v>11</v>
      </c>
      <c r="B807" s="6">
        <v>1200</v>
      </c>
      <c r="C807" s="6" t="s">
        <v>17</v>
      </c>
      <c r="D807" s="6" t="s">
        <v>713</v>
      </c>
      <c r="E807" s="6" t="s">
        <v>1422</v>
      </c>
      <c r="F807" s="6" t="s">
        <v>1419</v>
      </c>
      <c r="G807" s="6" t="s">
        <v>1388</v>
      </c>
      <c r="H807" s="7">
        <v>39861.397222222222</v>
      </c>
      <c r="I807" s="6">
        <v>48.766666700000002</v>
      </c>
      <c r="J807" s="6">
        <v>9.1833332999999993</v>
      </c>
      <c r="K807" s="8"/>
      <c r="L807" s="5">
        <f t="shared" si="24"/>
        <v>2009</v>
      </c>
      <c r="M807" s="5">
        <f t="shared" si="25"/>
        <v>39861</v>
      </c>
      <c r="N807" s="18">
        <v>6.805555555555555E-2</v>
      </c>
    </row>
    <row r="808" spans="1:14" x14ac:dyDescent="0.3">
      <c r="A808" s="3" t="s">
        <v>11</v>
      </c>
      <c r="B808" s="3">
        <v>1200</v>
      </c>
      <c r="C808" s="3" t="s">
        <v>17</v>
      </c>
      <c r="D808" s="3" t="s">
        <v>1426</v>
      </c>
      <c r="E808" s="3" t="s">
        <v>1427</v>
      </c>
      <c r="F808" s="3" t="s">
        <v>1428</v>
      </c>
      <c r="G808" s="3" t="s">
        <v>1388</v>
      </c>
      <c r="H808" s="4">
        <v>39861.864583333336</v>
      </c>
      <c r="I808" s="3">
        <v>49.5</v>
      </c>
      <c r="J808" s="3">
        <v>6.6</v>
      </c>
      <c r="K808" s="5"/>
      <c r="L808" s="8">
        <f t="shared" si="24"/>
        <v>2009</v>
      </c>
      <c r="M808" s="8">
        <f t="shared" si="25"/>
        <v>39861</v>
      </c>
      <c r="N808" s="19">
        <v>7.9861111111111105E-2</v>
      </c>
    </row>
    <row r="809" spans="1:14" x14ac:dyDescent="0.3">
      <c r="A809" s="6" t="s">
        <v>11</v>
      </c>
      <c r="B809" s="6">
        <v>1200</v>
      </c>
      <c r="C809" s="6" t="s">
        <v>65</v>
      </c>
      <c r="D809" s="6" t="s">
        <v>1429</v>
      </c>
      <c r="E809" s="6" t="s">
        <v>1430</v>
      </c>
      <c r="F809" s="6" t="s">
        <v>1413</v>
      </c>
      <c r="G809" s="6" t="s">
        <v>1388</v>
      </c>
      <c r="H809" s="7">
        <v>39862.086111111108</v>
      </c>
      <c r="I809" s="6">
        <v>51.466666699999998</v>
      </c>
      <c r="J809" s="6">
        <v>10.5</v>
      </c>
      <c r="K809" s="8"/>
      <c r="L809" s="5">
        <f t="shared" si="24"/>
        <v>2009</v>
      </c>
      <c r="M809" s="5">
        <f t="shared" si="25"/>
        <v>39862</v>
      </c>
      <c r="N809" s="18">
        <v>0.48333333333333334</v>
      </c>
    </row>
    <row r="810" spans="1:14" x14ac:dyDescent="0.3">
      <c r="A810" s="3" t="s">
        <v>11</v>
      </c>
      <c r="B810" s="3">
        <v>1200</v>
      </c>
      <c r="C810" s="3" t="s">
        <v>12</v>
      </c>
      <c r="D810" s="3" t="s">
        <v>1431</v>
      </c>
      <c r="E810" s="3" t="s">
        <v>1422</v>
      </c>
      <c r="F810" s="3" t="s">
        <v>1419</v>
      </c>
      <c r="G810" s="3" t="s">
        <v>1388</v>
      </c>
      <c r="H810" s="4">
        <v>39863.132638888892</v>
      </c>
      <c r="I810" s="3">
        <v>48.766666700000002</v>
      </c>
      <c r="J810" s="3">
        <v>9.1833332999999993</v>
      </c>
      <c r="K810" s="5"/>
      <c r="L810" s="8">
        <f t="shared" si="24"/>
        <v>2009</v>
      </c>
      <c r="M810" s="8">
        <f t="shared" si="25"/>
        <v>39863</v>
      </c>
      <c r="N810" s="19">
        <v>0.15486111111111112</v>
      </c>
    </row>
    <row r="811" spans="1:14" x14ac:dyDescent="0.3">
      <c r="A811" s="6" t="s">
        <v>11</v>
      </c>
      <c r="B811" s="6">
        <v>1200</v>
      </c>
      <c r="C811" s="6" t="s">
        <v>12</v>
      </c>
      <c r="D811" s="6" t="s">
        <v>1432</v>
      </c>
      <c r="E811" s="6" t="s">
        <v>1433</v>
      </c>
      <c r="F811" s="6" t="s">
        <v>1434</v>
      </c>
      <c r="G811" s="6" t="s">
        <v>1435</v>
      </c>
      <c r="H811" s="7">
        <v>39818.053472222222</v>
      </c>
      <c r="I811" s="6">
        <v>48.883333299999997</v>
      </c>
      <c r="J811" s="6">
        <v>2.15</v>
      </c>
      <c r="K811" s="8"/>
      <c r="L811" s="5">
        <f t="shared" si="24"/>
        <v>2009</v>
      </c>
      <c r="M811" s="5">
        <f t="shared" si="25"/>
        <v>39818</v>
      </c>
      <c r="N811" s="18">
        <v>9.0972222222222218E-2</v>
      </c>
    </row>
    <row r="812" spans="1:14" x14ac:dyDescent="0.3">
      <c r="A812" s="3" t="s">
        <v>11</v>
      </c>
      <c r="B812" s="3">
        <v>1200</v>
      </c>
      <c r="C812" s="3" t="s">
        <v>12</v>
      </c>
      <c r="D812" s="3" t="s">
        <v>541</v>
      </c>
      <c r="E812" s="3" t="s">
        <v>1436</v>
      </c>
      <c r="F812" s="3" t="s">
        <v>1437</v>
      </c>
      <c r="G812" s="3" t="s">
        <v>1435</v>
      </c>
      <c r="H812" s="4">
        <v>39828.23541666667</v>
      </c>
      <c r="I812" s="3">
        <v>49.433333300000001</v>
      </c>
      <c r="J812" s="3">
        <v>1.0833333000000001</v>
      </c>
      <c r="K812" s="5"/>
      <c r="L812" s="8">
        <f t="shared" si="24"/>
        <v>2009</v>
      </c>
      <c r="M812" s="8">
        <f t="shared" si="25"/>
        <v>39828</v>
      </c>
      <c r="N812" s="19">
        <v>0.15486111111111112</v>
      </c>
    </row>
    <row r="813" spans="1:14" x14ac:dyDescent="0.3">
      <c r="A813" s="6" t="s">
        <v>21</v>
      </c>
      <c r="B813" s="6">
        <v>100000</v>
      </c>
      <c r="C813" s="6" t="s">
        <v>12</v>
      </c>
      <c r="D813" s="6" t="s">
        <v>1438</v>
      </c>
      <c r="E813" s="6" t="s">
        <v>1439</v>
      </c>
      <c r="F813" s="6" t="s">
        <v>1434</v>
      </c>
      <c r="G813" s="6" t="s">
        <v>1435</v>
      </c>
      <c r="H813" s="7">
        <v>39833.473611111112</v>
      </c>
      <c r="I813" s="6">
        <v>48.866666700000003</v>
      </c>
      <c r="J813" s="6">
        <v>2.3333333000000001</v>
      </c>
      <c r="K813" s="8"/>
      <c r="L813" s="5">
        <f t="shared" si="24"/>
        <v>2009</v>
      </c>
      <c r="M813" s="5">
        <f t="shared" si="25"/>
        <v>39833</v>
      </c>
      <c r="N813" s="18">
        <v>0.25763888888888886</v>
      </c>
    </row>
    <row r="814" spans="1:14" x14ac:dyDescent="0.3">
      <c r="A814" s="3" t="s">
        <v>64</v>
      </c>
      <c r="B814" s="3">
        <v>100000</v>
      </c>
      <c r="C814" s="3" t="s">
        <v>12</v>
      </c>
      <c r="D814" s="3" t="s">
        <v>1061</v>
      </c>
      <c r="E814" s="3" t="s">
        <v>1440</v>
      </c>
      <c r="F814" s="3" t="s">
        <v>482</v>
      </c>
      <c r="G814" s="3" t="s">
        <v>1435</v>
      </c>
      <c r="H814" s="4">
        <v>39836.311805555553</v>
      </c>
      <c r="I814" s="3">
        <v>48.0833333</v>
      </c>
      <c r="J814" s="3">
        <v>-1.6833332999999999</v>
      </c>
      <c r="K814" s="5"/>
      <c r="L814" s="5">
        <f t="shared" si="24"/>
        <v>2009</v>
      </c>
      <c r="M814" s="5">
        <f t="shared" si="25"/>
        <v>39836</v>
      </c>
      <c r="N814" s="18">
        <v>0.12291666666666666</v>
      </c>
    </row>
    <row r="815" spans="1:14" x14ac:dyDescent="0.3">
      <c r="A815" s="6" t="s">
        <v>11</v>
      </c>
      <c r="B815" s="6">
        <v>1200</v>
      </c>
      <c r="C815" s="6" t="s">
        <v>65</v>
      </c>
      <c r="D815" s="6" t="s">
        <v>593</v>
      </c>
      <c r="E815" s="6" t="s">
        <v>1441</v>
      </c>
      <c r="F815" s="6" t="s">
        <v>1442</v>
      </c>
      <c r="G815" s="6" t="s">
        <v>1435</v>
      </c>
      <c r="H815" s="7">
        <v>39837.35833333333</v>
      </c>
      <c r="I815" s="6">
        <v>43.25</v>
      </c>
      <c r="J815" s="6">
        <v>5.6166666999999997</v>
      </c>
      <c r="K815" s="8"/>
      <c r="L815" s="8">
        <f t="shared" si="24"/>
        <v>2009</v>
      </c>
      <c r="M815" s="8">
        <f t="shared" si="25"/>
        <v>39837</v>
      </c>
      <c r="N815" s="19">
        <v>7.013888888888889E-2</v>
      </c>
    </row>
    <row r="816" spans="1:14" x14ac:dyDescent="0.3">
      <c r="A816" s="3" t="s">
        <v>11</v>
      </c>
      <c r="B816" s="3">
        <v>1200</v>
      </c>
      <c r="C816" s="3" t="s">
        <v>65</v>
      </c>
      <c r="D816" s="3" t="s">
        <v>51</v>
      </c>
      <c r="E816" s="3" t="s">
        <v>1443</v>
      </c>
      <c r="F816" s="3" t="s">
        <v>1444</v>
      </c>
      <c r="G816" s="3" t="s">
        <v>1435</v>
      </c>
      <c r="H816" s="4">
        <v>39838.487500000003</v>
      </c>
      <c r="I816" s="3">
        <v>47.966666699999998</v>
      </c>
      <c r="J816" s="3">
        <v>-0.23333329999999999</v>
      </c>
      <c r="K816" s="5"/>
      <c r="L816" s="5">
        <f t="shared" si="24"/>
        <v>2009</v>
      </c>
      <c r="M816" s="5">
        <f t="shared" si="25"/>
        <v>39838</v>
      </c>
      <c r="N816" s="18">
        <v>0.21319444444444444</v>
      </c>
    </row>
    <row r="817" spans="1:14" x14ac:dyDescent="0.3">
      <c r="A817" s="6" t="s">
        <v>21</v>
      </c>
      <c r="B817" s="6">
        <v>100000</v>
      </c>
      <c r="C817" s="6" t="s">
        <v>17</v>
      </c>
      <c r="D817" s="6" t="s">
        <v>1445</v>
      </c>
      <c r="E817" s="6" t="s">
        <v>1446</v>
      </c>
      <c r="F817" s="6" t="s">
        <v>1442</v>
      </c>
      <c r="G817" s="6" t="s">
        <v>1435</v>
      </c>
      <c r="H817" s="7">
        <v>39839.137499999997</v>
      </c>
      <c r="I817" s="6">
        <v>43.633333299999997</v>
      </c>
      <c r="J817" s="6">
        <v>7.1</v>
      </c>
      <c r="K817" s="8"/>
      <c r="L817" s="8">
        <f t="shared" si="24"/>
        <v>2009</v>
      </c>
      <c r="M817" s="8">
        <f t="shared" si="25"/>
        <v>39839</v>
      </c>
      <c r="N817" s="19">
        <v>0.15902777777777777</v>
      </c>
    </row>
    <row r="818" spans="1:14" x14ac:dyDescent="0.3">
      <c r="A818" s="3" t="s">
        <v>11</v>
      </c>
      <c r="B818" s="3">
        <v>1200</v>
      </c>
      <c r="C818" s="3" t="s">
        <v>65</v>
      </c>
      <c r="D818" s="3" t="s">
        <v>1447</v>
      </c>
      <c r="E818" s="3" t="s">
        <v>1448</v>
      </c>
      <c r="F818" s="3" t="s">
        <v>482</v>
      </c>
      <c r="G818" s="3" t="s">
        <v>1435</v>
      </c>
      <c r="H818" s="4">
        <v>39839.230555555558</v>
      </c>
      <c r="I818" s="3">
        <v>47.9</v>
      </c>
      <c r="J818" s="3">
        <v>-2.1166667000000001</v>
      </c>
      <c r="K818" s="5"/>
      <c r="L818" s="5">
        <f t="shared" si="24"/>
        <v>2009</v>
      </c>
      <c r="M818" s="5">
        <f t="shared" si="25"/>
        <v>39839</v>
      </c>
      <c r="N818" s="18">
        <v>0.10069444444444445</v>
      </c>
    </row>
    <row r="819" spans="1:14" x14ac:dyDescent="0.3">
      <c r="A819" s="6" t="s">
        <v>11</v>
      </c>
      <c r="B819" s="6">
        <v>1200</v>
      </c>
      <c r="C819" s="6" t="s">
        <v>12</v>
      </c>
      <c r="D819" s="6" t="s">
        <v>1449</v>
      </c>
      <c r="E819" s="6" t="s">
        <v>1450</v>
      </c>
      <c r="F819" s="6" t="s">
        <v>1434</v>
      </c>
      <c r="G819" s="6" t="s">
        <v>1435</v>
      </c>
      <c r="H819" s="7">
        <v>39840.12222222222</v>
      </c>
      <c r="I819" s="6">
        <v>48.65</v>
      </c>
      <c r="J819" s="6">
        <v>1.8333333000000001</v>
      </c>
      <c r="K819" s="8"/>
      <c r="L819" s="8">
        <f t="shared" si="24"/>
        <v>2009</v>
      </c>
      <c r="M819" s="8">
        <f t="shared" si="25"/>
        <v>39840</v>
      </c>
      <c r="N819" s="19">
        <v>0.05</v>
      </c>
    </row>
    <row r="820" spans="1:14" x14ac:dyDescent="0.3">
      <c r="A820" s="3" t="s">
        <v>11</v>
      </c>
      <c r="B820" s="3">
        <v>1200</v>
      </c>
      <c r="C820" s="3" t="s">
        <v>17</v>
      </c>
      <c r="D820" s="3" t="s">
        <v>397</v>
      </c>
      <c r="E820" s="3" t="s">
        <v>1451</v>
      </c>
      <c r="F820" s="3" t="s">
        <v>1452</v>
      </c>
      <c r="G820" s="3" t="s">
        <v>1435</v>
      </c>
      <c r="H820" s="4">
        <v>39840.292361111111</v>
      </c>
      <c r="I820" s="3">
        <v>46.266666700000002</v>
      </c>
      <c r="J820" s="3">
        <v>6.25</v>
      </c>
      <c r="K820" s="5"/>
      <c r="L820" s="5">
        <f t="shared" si="24"/>
        <v>2009</v>
      </c>
      <c r="M820" s="5">
        <f t="shared" si="25"/>
        <v>39840</v>
      </c>
      <c r="N820" s="18">
        <v>0.25972222222222224</v>
      </c>
    </row>
    <row r="821" spans="1:14" x14ac:dyDescent="0.3">
      <c r="A821" s="6" t="s">
        <v>21</v>
      </c>
      <c r="B821" s="6">
        <v>100000</v>
      </c>
      <c r="C821" s="6" t="s">
        <v>17</v>
      </c>
      <c r="D821" s="6" t="s">
        <v>1453</v>
      </c>
      <c r="E821" s="6" t="s">
        <v>1454</v>
      </c>
      <c r="F821" s="6" t="s">
        <v>1452</v>
      </c>
      <c r="G821" s="6" t="s">
        <v>1435</v>
      </c>
      <c r="H821" s="7">
        <v>39841.529861111114</v>
      </c>
      <c r="I821" s="6">
        <v>46.233333299999998</v>
      </c>
      <c r="J821" s="6">
        <v>6.3166666999999999</v>
      </c>
      <c r="K821" s="8"/>
      <c r="L821" s="5">
        <f t="shared" si="24"/>
        <v>2009</v>
      </c>
      <c r="M821" s="5">
        <f t="shared" si="25"/>
        <v>39841</v>
      </c>
      <c r="N821" s="18">
        <v>0.30555555555555558</v>
      </c>
    </row>
    <row r="822" spans="1:14" x14ac:dyDescent="0.3">
      <c r="A822" s="3" t="s">
        <v>21</v>
      </c>
      <c r="B822" s="3">
        <v>100000</v>
      </c>
      <c r="C822" s="3" t="s">
        <v>12</v>
      </c>
      <c r="D822" s="3" t="s">
        <v>641</v>
      </c>
      <c r="E822" s="3" t="s">
        <v>1439</v>
      </c>
      <c r="F822" s="3" t="s">
        <v>1434</v>
      </c>
      <c r="G822" s="3" t="s">
        <v>1435</v>
      </c>
      <c r="H822" s="4">
        <v>39841.59097222222</v>
      </c>
      <c r="I822" s="3">
        <v>48.866666700000003</v>
      </c>
      <c r="J822" s="3">
        <v>2.3333333000000001</v>
      </c>
      <c r="K822" s="5"/>
      <c r="L822" s="8">
        <f t="shared" si="24"/>
        <v>2009</v>
      </c>
      <c r="M822" s="8">
        <f t="shared" si="25"/>
        <v>39841</v>
      </c>
      <c r="N822" s="19">
        <v>0.13819444444444445</v>
      </c>
    </row>
    <row r="823" spans="1:14" x14ac:dyDescent="0.3">
      <c r="A823" s="6" t="s">
        <v>11</v>
      </c>
      <c r="B823" s="6">
        <v>1200</v>
      </c>
      <c r="C823" s="6" t="s">
        <v>65</v>
      </c>
      <c r="D823" s="6" t="s">
        <v>1455</v>
      </c>
      <c r="E823" s="6" t="s">
        <v>1456</v>
      </c>
      <c r="F823" s="6" t="s">
        <v>1457</v>
      </c>
      <c r="G823" s="6" t="s">
        <v>1435</v>
      </c>
      <c r="H823" s="7">
        <v>39848.23541666667</v>
      </c>
      <c r="I823" s="6">
        <v>47.25</v>
      </c>
      <c r="J823" s="6">
        <v>6.0333332999999998</v>
      </c>
      <c r="K823" s="8"/>
      <c r="L823" s="5">
        <f t="shared" si="24"/>
        <v>2009</v>
      </c>
      <c r="M823" s="5">
        <f t="shared" si="25"/>
        <v>39848</v>
      </c>
      <c r="N823" s="18">
        <v>6.1111111111111109E-2</v>
      </c>
    </row>
    <row r="824" spans="1:14" x14ac:dyDescent="0.3">
      <c r="A824" s="3" t="s">
        <v>11</v>
      </c>
      <c r="B824" s="3">
        <v>1200</v>
      </c>
      <c r="C824" s="3" t="s">
        <v>12</v>
      </c>
      <c r="D824" s="3" t="s">
        <v>176</v>
      </c>
      <c r="E824" s="3" t="s">
        <v>1439</v>
      </c>
      <c r="F824" s="3" t="s">
        <v>1434</v>
      </c>
      <c r="G824" s="3" t="s">
        <v>1435</v>
      </c>
      <c r="H824" s="4">
        <v>39848.550000000003</v>
      </c>
      <c r="I824" s="3">
        <v>48.866666700000003</v>
      </c>
      <c r="J824" s="3">
        <v>2.3333333000000001</v>
      </c>
      <c r="K824" s="5"/>
      <c r="L824" s="8">
        <f t="shared" si="24"/>
        <v>2009</v>
      </c>
      <c r="M824" s="8">
        <f t="shared" si="25"/>
        <v>39848</v>
      </c>
      <c r="N824" s="19">
        <v>0.53819444444444442</v>
      </c>
    </row>
    <row r="825" spans="1:14" x14ac:dyDescent="0.3">
      <c r="A825" s="6" t="s">
        <v>11</v>
      </c>
      <c r="B825" s="6">
        <v>1200</v>
      </c>
      <c r="C825" s="6" t="s">
        <v>12</v>
      </c>
      <c r="D825" s="6" t="s">
        <v>420</v>
      </c>
      <c r="E825" s="6" t="s">
        <v>1458</v>
      </c>
      <c r="F825" s="6" t="s">
        <v>1452</v>
      </c>
      <c r="G825" s="6" t="s">
        <v>1435</v>
      </c>
      <c r="H825" s="7">
        <v>39850.214583333334</v>
      </c>
      <c r="I825" s="6">
        <v>46.283333300000002</v>
      </c>
      <c r="J825" s="6">
        <v>6.1</v>
      </c>
      <c r="K825" s="8"/>
      <c r="L825" s="5">
        <f t="shared" si="24"/>
        <v>2009</v>
      </c>
      <c r="M825" s="5">
        <f t="shared" si="25"/>
        <v>39850</v>
      </c>
      <c r="N825" s="18">
        <v>0.1076388888888889</v>
      </c>
    </row>
    <row r="826" spans="1:14" x14ac:dyDescent="0.3">
      <c r="A826" s="3" t="s">
        <v>21</v>
      </c>
      <c r="B826" s="3">
        <v>100000</v>
      </c>
      <c r="C826" s="3" t="s">
        <v>12</v>
      </c>
      <c r="D826" s="3" t="s">
        <v>601</v>
      </c>
      <c r="E826" s="3" t="s">
        <v>1439</v>
      </c>
      <c r="F826" s="3" t="s">
        <v>1434</v>
      </c>
      <c r="G826" s="3" t="s">
        <v>1435</v>
      </c>
      <c r="H826" s="4">
        <v>39853.0625</v>
      </c>
      <c r="I826" s="3">
        <v>48.866666700000003</v>
      </c>
      <c r="J826" s="3">
        <v>2.3333333000000001</v>
      </c>
      <c r="K826" s="5"/>
      <c r="L826" s="8">
        <f t="shared" si="24"/>
        <v>2009</v>
      </c>
      <c r="M826" s="8">
        <f t="shared" si="25"/>
        <v>39853</v>
      </c>
      <c r="N826" s="19">
        <v>0.51041666666666663</v>
      </c>
    </row>
    <row r="827" spans="1:14" x14ac:dyDescent="0.3">
      <c r="A827" s="6" t="s">
        <v>11</v>
      </c>
      <c r="B827" s="6">
        <v>1200</v>
      </c>
      <c r="C827" s="6" t="s">
        <v>12</v>
      </c>
      <c r="D827" s="6" t="s">
        <v>434</v>
      </c>
      <c r="E827" s="6" t="s">
        <v>1459</v>
      </c>
      <c r="F827" s="6" t="s">
        <v>1452</v>
      </c>
      <c r="G827" s="6" t="s">
        <v>1435</v>
      </c>
      <c r="H827" s="7">
        <v>39854.387499999997</v>
      </c>
      <c r="I827" s="6">
        <v>46.25</v>
      </c>
      <c r="J827" s="6">
        <v>6.1166666999999997</v>
      </c>
      <c r="K827" s="8"/>
      <c r="L827" s="5">
        <f t="shared" si="24"/>
        <v>2009</v>
      </c>
      <c r="M827" s="5">
        <f t="shared" si="25"/>
        <v>39854</v>
      </c>
      <c r="N827" s="18">
        <v>0.31597222222222221</v>
      </c>
    </row>
    <row r="828" spans="1:14" x14ac:dyDescent="0.3">
      <c r="A828" s="3" t="s">
        <v>11</v>
      </c>
      <c r="B828" s="3">
        <v>1200</v>
      </c>
      <c r="C828" s="3" t="s">
        <v>65</v>
      </c>
      <c r="D828" s="3" t="s">
        <v>455</v>
      </c>
      <c r="E828" s="3" t="s">
        <v>1439</v>
      </c>
      <c r="F828" s="3" t="s">
        <v>1434</v>
      </c>
      <c r="G828" s="3" t="s">
        <v>1435</v>
      </c>
      <c r="H828" s="4">
        <v>39854.933333333334</v>
      </c>
      <c r="I828" s="3">
        <v>48.866666700000003</v>
      </c>
      <c r="J828" s="3">
        <v>2.3333333000000001</v>
      </c>
      <c r="K828" s="5"/>
      <c r="L828" s="5">
        <f t="shared" si="24"/>
        <v>2009</v>
      </c>
      <c r="M828" s="5">
        <f t="shared" si="25"/>
        <v>39854</v>
      </c>
      <c r="N828" s="18">
        <v>0.17152777777777778</v>
      </c>
    </row>
    <row r="829" spans="1:14" x14ac:dyDescent="0.3">
      <c r="A829" s="6" t="s">
        <v>11</v>
      </c>
      <c r="B829" s="6">
        <v>100000</v>
      </c>
      <c r="C829" s="6" t="s">
        <v>17</v>
      </c>
      <c r="D829" s="6" t="s">
        <v>1460</v>
      </c>
      <c r="E829" s="6" t="s">
        <v>1461</v>
      </c>
      <c r="F829" s="6" t="s">
        <v>1452</v>
      </c>
      <c r="G829" s="6" t="s">
        <v>1435</v>
      </c>
      <c r="H829" s="7">
        <v>39856.992361111108</v>
      </c>
      <c r="I829" s="6">
        <v>46.033333300000002</v>
      </c>
      <c r="J829" s="6">
        <v>6.2333333</v>
      </c>
      <c r="K829" s="8"/>
      <c r="L829" s="8">
        <f t="shared" si="24"/>
        <v>2009</v>
      </c>
      <c r="M829" s="8">
        <f t="shared" si="25"/>
        <v>39856</v>
      </c>
      <c r="N829" s="19">
        <v>0.10902777777777778</v>
      </c>
    </row>
    <row r="830" spans="1:14" x14ac:dyDescent="0.3">
      <c r="A830" s="3" t="s">
        <v>11</v>
      </c>
      <c r="B830" s="3">
        <v>100000</v>
      </c>
      <c r="C830" s="3" t="s">
        <v>12</v>
      </c>
      <c r="D830" s="3" t="s">
        <v>1462</v>
      </c>
      <c r="E830" s="3" t="s">
        <v>1439</v>
      </c>
      <c r="F830" s="3" t="s">
        <v>1434</v>
      </c>
      <c r="G830" s="3" t="s">
        <v>1435</v>
      </c>
      <c r="H830" s="4">
        <v>39858.231944444444</v>
      </c>
      <c r="I830" s="3">
        <v>48.866666700000003</v>
      </c>
      <c r="J830" s="3">
        <v>2.3333333000000001</v>
      </c>
      <c r="K830" s="5"/>
      <c r="L830" s="5">
        <f t="shared" si="24"/>
        <v>2009</v>
      </c>
      <c r="M830" s="5">
        <f t="shared" si="25"/>
        <v>39858</v>
      </c>
      <c r="N830" s="18">
        <v>0.22916666666666666</v>
      </c>
    </row>
    <row r="831" spans="1:14" x14ac:dyDescent="0.3">
      <c r="A831" s="6" t="s">
        <v>11</v>
      </c>
      <c r="B831" s="6">
        <v>100000</v>
      </c>
      <c r="C831" s="6" t="s">
        <v>12</v>
      </c>
      <c r="D831" s="6" t="s">
        <v>1463</v>
      </c>
      <c r="E831" s="6" t="s">
        <v>1464</v>
      </c>
      <c r="F831" s="6" t="s">
        <v>1452</v>
      </c>
      <c r="G831" s="6" t="s">
        <v>1435</v>
      </c>
      <c r="H831" s="7">
        <v>39860.209027777775</v>
      </c>
      <c r="I831" s="6">
        <v>45.9166667</v>
      </c>
      <c r="J831" s="6">
        <v>6.8666666999999997</v>
      </c>
      <c r="K831" s="8"/>
      <c r="L831" s="8">
        <f t="shared" si="24"/>
        <v>2009</v>
      </c>
      <c r="M831" s="8">
        <f t="shared" si="25"/>
        <v>39860</v>
      </c>
      <c r="N831" s="19">
        <v>0.19930555555555557</v>
      </c>
    </row>
    <row r="832" spans="1:14" x14ac:dyDescent="0.3">
      <c r="A832" s="3" t="s">
        <v>11</v>
      </c>
      <c r="B832" s="3">
        <v>100000</v>
      </c>
      <c r="C832" s="3" t="s">
        <v>12</v>
      </c>
      <c r="D832" s="3" t="s">
        <v>86</v>
      </c>
      <c r="E832" s="3" t="s">
        <v>1465</v>
      </c>
      <c r="F832" s="3" t="s">
        <v>1457</v>
      </c>
      <c r="G832" s="3" t="s">
        <v>1435</v>
      </c>
      <c r="H832" s="4">
        <v>39862.043749999997</v>
      </c>
      <c r="I832" s="3">
        <v>47.033333300000002</v>
      </c>
      <c r="J832" s="3">
        <v>5.7666667</v>
      </c>
      <c r="K832" s="5"/>
      <c r="L832" s="5">
        <f t="shared" si="24"/>
        <v>2009</v>
      </c>
      <c r="M832" s="5">
        <f t="shared" si="25"/>
        <v>39862</v>
      </c>
      <c r="N832" s="18">
        <v>0.53680555555555554</v>
      </c>
    </row>
    <row r="833" spans="1:14" x14ac:dyDescent="0.3">
      <c r="A833" s="6" t="s">
        <v>11</v>
      </c>
      <c r="B833" s="6">
        <v>100000</v>
      </c>
      <c r="C833" s="6" t="s">
        <v>12</v>
      </c>
      <c r="D833" s="6" t="s">
        <v>1466</v>
      </c>
      <c r="E833" s="6" t="s">
        <v>1467</v>
      </c>
      <c r="F833" s="6" t="s">
        <v>1442</v>
      </c>
      <c r="G833" s="6" t="s">
        <v>1435</v>
      </c>
      <c r="H833" s="7">
        <v>39862.359722222223</v>
      </c>
      <c r="I833" s="6">
        <v>43.533333300000002</v>
      </c>
      <c r="J833" s="6">
        <v>5.4333333000000001</v>
      </c>
      <c r="K833" s="8"/>
      <c r="L833" s="8">
        <f t="shared" si="24"/>
        <v>2009</v>
      </c>
      <c r="M833" s="8">
        <f t="shared" si="25"/>
        <v>39862</v>
      </c>
      <c r="N833" s="19">
        <v>0.40486111111111112</v>
      </c>
    </row>
    <row r="834" spans="1:14" x14ac:dyDescent="0.3">
      <c r="A834" s="3" t="s">
        <v>11</v>
      </c>
      <c r="B834" s="3">
        <v>100000</v>
      </c>
      <c r="C834" s="3" t="s">
        <v>12</v>
      </c>
      <c r="D834" s="3" t="s">
        <v>945</v>
      </c>
      <c r="E834" s="3" t="s">
        <v>1468</v>
      </c>
      <c r="F834" s="3" t="s">
        <v>1442</v>
      </c>
      <c r="G834" s="3" t="s">
        <v>1435</v>
      </c>
      <c r="H834" s="4">
        <v>39862.436111111114</v>
      </c>
      <c r="I834" s="3">
        <v>43.5833333</v>
      </c>
      <c r="J834" s="3">
        <v>7.1166666999999997</v>
      </c>
      <c r="K834" s="5"/>
      <c r="L834" s="5">
        <f t="shared" ref="L834:L897" si="26">YEAR(H834)</f>
        <v>2009</v>
      </c>
      <c r="M834" s="5">
        <f t="shared" ref="M834:M897" si="27">INT(H834)</f>
        <v>39862</v>
      </c>
      <c r="N834" s="18">
        <v>6.5972222222222224E-2</v>
      </c>
    </row>
    <row r="835" spans="1:14" x14ac:dyDescent="0.3">
      <c r="A835" s="6" t="s">
        <v>11</v>
      </c>
      <c r="B835" s="6">
        <v>100000</v>
      </c>
      <c r="C835" s="6" t="s">
        <v>12</v>
      </c>
      <c r="D835" s="6" t="s">
        <v>1469</v>
      </c>
      <c r="E835" s="6" t="s">
        <v>1470</v>
      </c>
      <c r="F835" s="6" t="s">
        <v>1471</v>
      </c>
      <c r="G835" s="6" t="s">
        <v>1435</v>
      </c>
      <c r="H835" s="7">
        <v>39863.006249999999</v>
      </c>
      <c r="I835" s="6">
        <v>48.5833333</v>
      </c>
      <c r="J835" s="6">
        <v>7.75</v>
      </c>
      <c r="K835" s="8"/>
      <c r="L835" s="5">
        <f t="shared" si="26"/>
        <v>2009</v>
      </c>
      <c r="M835" s="5">
        <f t="shared" si="27"/>
        <v>39863</v>
      </c>
      <c r="N835" s="18">
        <v>0.48680555555555555</v>
      </c>
    </row>
    <row r="836" spans="1:14" x14ac:dyDescent="0.3">
      <c r="A836" s="3" t="s">
        <v>11</v>
      </c>
      <c r="B836" s="3">
        <v>100000</v>
      </c>
      <c r="C836" s="3" t="s">
        <v>65</v>
      </c>
      <c r="D836" s="3" t="s">
        <v>1472</v>
      </c>
      <c r="E836" s="3" t="s">
        <v>1473</v>
      </c>
      <c r="F836" s="3" t="s">
        <v>1474</v>
      </c>
      <c r="G836" s="3" t="s">
        <v>1435</v>
      </c>
      <c r="H836" s="4">
        <v>39866.939583333333</v>
      </c>
      <c r="I836" s="3">
        <v>49.5</v>
      </c>
      <c r="J836" s="3">
        <v>6.1666667000000004</v>
      </c>
      <c r="K836" s="5"/>
      <c r="L836" s="8">
        <f t="shared" si="26"/>
        <v>2009</v>
      </c>
      <c r="M836" s="8">
        <f t="shared" si="27"/>
        <v>39866</v>
      </c>
      <c r="N836" s="19">
        <v>0.18194444444444444</v>
      </c>
    </row>
    <row r="837" spans="1:14" x14ac:dyDescent="0.3">
      <c r="A837" s="6" t="s">
        <v>21</v>
      </c>
      <c r="B837" s="6">
        <v>100000</v>
      </c>
      <c r="C837" s="6" t="s">
        <v>65</v>
      </c>
      <c r="D837" s="6" t="s">
        <v>1475</v>
      </c>
      <c r="E837" s="6" t="s">
        <v>1459</v>
      </c>
      <c r="F837" s="6" t="s">
        <v>1452</v>
      </c>
      <c r="G837" s="6" t="s">
        <v>1435</v>
      </c>
      <c r="H837" s="7">
        <v>39868.340277777781</v>
      </c>
      <c r="I837" s="6">
        <v>46.25</v>
      </c>
      <c r="J837" s="6">
        <v>6.1166666999999997</v>
      </c>
      <c r="K837" s="8"/>
      <c r="L837" s="5">
        <f t="shared" si="26"/>
        <v>2009</v>
      </c>
      <c r="M837" s="5">
        <f t="shared" si="27"/>
        <v>39868</v>
      </c>
      <c r="N837" s="18">
        <v>0.12708333333333333</v>
      </c>
    </row>
    <row r="838" spans="1:14" x14ac:dyDescent="0.3">
      <c r="A838" s="3" t="s">
        <v>11</v>
      </c>
      <c r="B838" s="3">
        <v>1200</v>
      </c>
      <c r="C838" s="3" t="s">
        <v>17</v>
      </c>
      <c r="D838" s="3" t="s">
        <v>1476</v>
      </c>
      <c r="E838" s="3" t="s">
        <v>1477</v>
      </c>
      <c r="F838" s="3" t="s">
        <v>1478</v>
      </c>
      <c r="G838" s="3" t="s">
        <v>1479</v>
      </c>
      <c r="H838" s="4">
        <v>39820.430555555555</v>
      </c>
      <c r="I838" s="3">
        <v>62.9</v>
      </c>
      <c r="J838" s="3">
        <v>27.683333300000001</v>
      </c>
      <c r="K838" s="5"/>
      <c r="L838" s="8">
        <f t="shared" si="26"/>
        <v>2009</v>
      </c>
      <c r="M838" s="8">
        <f t="shared" si="27"/>
        <v>39820</v>
      </c>
      <c r="N838" s="19">
        <v>4.9305555555555554E-2</v>
      </c>
    </row>
    <row r="839" spans="1:14" x14ac:dyDescent="0.3">
      <c r="A839" s="6" t="s">
        <v>11</v>
      </c>
      <c r="B839" s="6">
        <v>1200</v>
      </c>
      <c r="C839" s="6" t="s">
        <v>17</v>
      </c>
      <c r="D839" s="6" t="s">
        <v>1480</v>
      </c>
      <c r="E839" s="6" t="s">
        <v>1481</v>
      </c>
      <c r="F839" s="6" t="s">
        <v>1482</v>
      </c>
      <c r="G839" s="6" t="s">
        <v>1479</v>
      </c>
      <c r="H839" s="7">
        <v>39873.027083333334</v>
      </c>
      <c r="I839" s="6">
        <v>60.966666699999998</v>
      </c>
      <c r="J839" s="6">
        <v>25.6666667</v>
      </c>
      <c r="K839" s="8"/>
      <c r="L839" s="5">
        <f t="shared" si="26"/>
        <v>2009</v>
      </c>
      <c r="M839" s="5">
        <f t="shared" si="27"/>
        <v>39873</v>
      </c>
      <c r="N839" s="18">
        <v>0.47152777777777777</v>
      </c>
    </row>
    <row r="840" spans="1:14" x14ac:dyDescent="0.3">
      <c r="A840" s="3" t="s">
        <v>11</v>
      </c>
      <c r="B840" s="3">
        <v>1200</v>
      </c>
      <c r="C840" s="3" t="s">
        <v>65</v>
      </c>
      <c r="D840" s="3" t="s">
        <v>420</v>
      </c>
      <c r="E840" s="3" t="s">
        <v>1483</v>
      </c>
      <c r="F840" s="3" t="s">
        <v>1484</v>
      </c>
      <c r="G840" s="3" t="s">
        <v>1485</v>
      </c>
      <c r="H840" s="4">
        <v>39866.472916666666</v>
      </c>
      <c r="I840" s="3">
        <v>18.466666700000001</v>
      </c>
      <c r="J840" s="3">
        <v>-69.900000000000006</v>
      </c>
      <c r="K840" s="5"/>
      <c r="L840" s="8">
        <f t="shared" si="26"/>
        <v>2009</v>
      </c>
      <c r="M840" s="8">
        <f t="shared" si="27"/>
        <v>39866</v>
      </c>
      <c r="N840" s="19">
        <v>9.5138888888888884E-2</v>
      </c>
    </row>
    <row r="841" spans="1:14" x14ac:dyDescent="0.3">
      <c r="A841" s="6" t="s">
        <v>11</v>
      </c>
      <c r="B841" s="6">
        <v>110000</v>
      </c>
      <c r="C841" s="6" t="s">
        <v>12</v>
      </c>
      <c r="D841" s="6" t="s">
        <v>1486</v>
      </c>
      <c r="E841" s="6" t="s">
        <v>1487</v>
      </c>
      <c r="F841" s="6" t="s">
        <v>1488</v>
      </c>
      <c r="G841" s="6" t="s">
        <v>1489</v>
      </c>
      <c r="H841" s="7">
        <v>39822.468055555553</v>
      </c>
      <c r="I841" s="6">
        <v>56.033333300000002</v>
      </c>
      <c r="J841" s="6">
        <v>12.6166667</v>
      </c>
      <c r="K841" s="8"/>
      <c r="L841" s="5">
        <f t="shared" si="26"/>
        <v>2009</v>
      </c>
      <c r="M841" s="5">
        <f t="shared" si="27"/>
        <v>39822</v>
      </c>
      <c r="N841" s="18">
        <v>5.8333333333333334E-2</v>
      </c>
    </row>
    <row r="842" spans="1:14" x14ac:dyDescent="0.3">
      <c r="A842" s="3" t="s">
        <v>11</v>
      </c>
      <c r="B842" s="3">
        <v>110000</v>
      </c>
      <c r="C842" s="3" t="s">
        <v>17</v>
      </c>
      <c r="D842" s="3" t="s">
        <v>1490</v>
      </c>
      <c r="E842" s="3" t="s">
        <v>1491</v>
      </c>
      <c r="F842" s="3" t="s">
        <v>1491</v>
      </c>
      <c r="G842" s="3" t="s">
        <v>1489</v>
      </c>
      <c r="H842" s="4">
        <v>39823.558333333334</v>
      </c>
      <c r="I842" s="3">
        <v>55.6666667</v>
      </c>
      <c r="J842" s="3">
        <v>12.5833333</v>
      </c>
      <c r="K842" s="5"/>
      <c r="L842" s="5">
        <f t="shared" si="26"/>
        <v>2009</v>
      </c>
      <c r="M842" s="5">
        <f t="shared" si="27"/>
        <v>39823</v>
      </c>
      <c r="N842" s="18">
        <v>4.9305555555555554E-2</v>
      </c>
    </row>
    <row r="843" spans="1:14" x14ac:dyDescent="0.3">
      <c r="A843" s="6" t="s">
        <v>11</v>
      </c>
      <c r="B843" s="6">
        <v>110000</v>
      </c>
      <c r="C843" s="6" t="s">
        <v>12</v>
      </c>
      <c r="D843" s="6" t="s">
        <v>1492</v>
      </c>
      <c r="E843" s="6" t="s">
        <v>1493</v>
      </c>
      <c r="F843" s="6" t="s">
        <v>1494</v>
      </c>
      <c r="G843" s="6" t="s">
        <v>1489</v>
      </c>
      <c r="H843" s="7">
        <v>39827.170138888891</v>
      </c>
      <c r="I843" s="6">
        <v>54.8333333</v>
      </c>
      <c r="J843" s="6">
        <v>11.15</v>
      </c>
      <c r="K843" s="8"/>
      <c r="L843" s="8">
        <f t="shared" si="26"/>
        <v>2009</v>
      </c>
      <c r="M843" s="8">
        <f t="shared" si="27"/>
        <v>39827</v>
      </c>
      <c r="N843" s="19">
        <v>0.51249999999999996</v>
      </c>
    </row>
    <row r="844" spans="1:14" x14ac:dyDescent="0.3">
      <c r="A844" s="3" t="s">
        <v>11</v>
      </c>
      <c r="B844" s="3">
        <v>110000</v>
      </c>
      <c r="C844" s="3" t="s">
        <v>17</v>
      </c>
      <c r="D844" s="3" t="s">
        <v>1495</v>
      </c>
      <c r="E844" s="3" t="s">
        <v>1496</v>
      </c>
      <c r="F844" s="3" t="s">
        <v>1491</v>
      </c>
      <c r="G844" s="3" t="s">
        <v>1489</v>
      </c>
      <c r="H844" s="4">
        <v>39831.197222222225</v>
      </c>
      <c r="I844" s="3">
        <v>55.816666699999999</v>
      </c>
      <c r="J844" s="3">
        <v>12.466666699999999</v>
      </c>
      <c r="K844" s="5"/>
      <c r="L844" s="5">
        <f t="shared" si="26"/>
        <v>2009</v>
      </c>
      <c r="M844" s="5">
        <f t="shared" si="27"/>
        <v>39831</v>
      </c>
      <c r="N844" s="18">
        <v>7.7083333333333337E-2</v>
      </c>
    </row>
    <row r="845" spans="1:14" x14ac:dyDescent="0.3">
      <c r="A845" s="6" t="s">
        <v>11</v>
      </c>
      <c r="B845" s="6">
        <v>110000</v>
      </c>
      <c r="C845" s="6" t="s">
        <v>17</v>
      </c>
      <c r="D845" s="6" t="s">
        <v>1497</v>
      </c>
      <c r="E845" s="6" t="s">
        <v>1498</v>
      </c>
      <c r="F845" s="6" t="s">
        <v>1491</v>
      </c>
      <c r="G845" s="6" t="s">
        <v>1489</v>
      </c>
      <c r="H845" s="7">
        <v>39838.467361111114</v>
      </c>
      <c r="I845" s="6">
        <v>55.733333299999998</v>
      </c>
      <c r="J845" s="6">
        <v>12.5833333</v>
      </c>
      <c r="K845" s="8"/>
      <c r="L845" s="8">
        <f t="shared" si="26"/>
        <v>2009</v>
      </c>
      <c r="M845" s="8">
        <f t="shared" si="27"/>
        <v>39838</v>
      </c>
      <c r="N845" s="19">
        <v>0.33194444444444443</v>
      </c>
    </row>
    <row r="846" spans="1:14" x14ac:dyDescent="0.3">
      <c r="A846" s="3" t="s">
        <v>11</v>
      </c>
      <c r="B846" s="3">
        <v>110000</v>
      </c>
      <c r="C846" s="3" t="s">
        <v>12</v>
      </c>
      <c r="D846" s="3" t="s">
        <v>1499</v>
      </c>
      <c r="E846" s="3" t="s">
        <v>1500</v>
      </c>
      <c r="F846" s="3" t="s">
        <v>1488</v>
      </c>
      <c r="G846" s="3" t="s">
        <v>1489</v>
      </c>
      <c r="H846" s="4">
        <v>39838.973611111112</v>
      </c>
      <c r="I846" s="3">
        <v>55.884166700000002</v>
      </c>
      <c r="J846" s="3">
        <v>12.5419444</v>
      </c>
      <c r="K846" s="5"/>
      <c r="L846" s="5">
        <f t="shared" si="26"/>
        <v>2009</v>
      </c>
      <c r="M846" s="5">
        <f t="shared" si="27"/>
        <v>39838</v>
      </c>
      <c r="N846" s="18">
        <v>0.51944444444444449</v>
      </c>
    </row>
    <row r="847" spans="1:14" x14ac:dyDescent="0.3">
      <c r="A847" s="6" t="s">
        <v>11</v>
      </c>
      <c r="B847" s="6">
        <v>110000</v>
      </c>
      <c r="C847" s="6" t="s">
        <v>12</v>
      </c>
      <c r="D847" s="6" t="s">
        <v>1501</v>
      </c>
      <c r="E847" s="6" t="s">
        <v>1502</v>
      </c>
      <c r="F847" s="6" t="s">
        <v>1503</v>
      </c>
      <c r="G847" s="6" t="s">
        <v>1489</v>
      </c>
      <c r="H847" s="7">
        <v>39842.136111111111</v>
      </c>
      <c r="I847" s="6">
        <v>55.433333300000001</v>
      </c>
      <c r="J847" s="6">
        <v>11.566666700000001</v>
      </c>
      <c r="K847" s="8"/>
      <c r="L847" s="8">
        <f t="shared" si="26"/>
        <v>2009</v>
      </c>
      <c r="M847" s="8">
        <f t="shared" si="27"/>
        <v>39842</v>
      </c>
      <c r="N847" s="19">
        <v>0.45694444444444443</v>
      </c>
    </row>
    <row r="848" spans="1:14" x14ac:dyDescent="0.3">
      <c r="A848" s="3" t="s">
        <v>11</v>
      </c>
      <c r="B848" s="3">
        <v>110000</v>
      </c>
      <c r="C848" s="3" t="s">
        <v>17</v>
      </c>
      <c r="D848" s="3" t="s">
        <v>1490</v>
      </c>
      <c r="E848" s="3" t="s">
        <v>1504</v>
      </c>
      <c r="F848" s="3" t="s">
        <v>1491</v>
      </c>
      <c r="G848" s="3" t="s">
        <v>1489</v>
      </c>
      <c r="H848" s="4">
        <v>39849.369444444441</v>
      </c>
      <c r="I848" s="3">
        <v>55.766666700000002</v>
      </c>
      <c r="J848" s="3">
        <v>12.5166667</v>
      </c>
      <c r="K848" s="5"/>
      <c r="L848" s="5">
        <f t="shared" si="26"/>
        <v>2009</v>
      </c>
      <c r="M848" s="5">
        <f t="shared" si="27"/>
        <v>39849</v>
      </c>
      <c r="N848" s="18">
        <v>7.3611111111111113E-2</v>
      </c>
    </row>
    <row r="849" spans="1:14" x14ac:dyDescent="0.3">
      <c r="A849" s="6" t="s">
        <v>11</v>
      </c>
      <c r="B849" s="6">
        <v>110000</v>
      </c>
      <c r="C849" s="6" t="s">
        <v>12</v>
      </c>
      <c r="D849" s="6" t="s">
        <v>1505</v>
      </c>
      <c r="E849" s="6" t="s">
        <v>1493</v>
      </c>
      <c r="F849" s="6" t="s">
        <v>1494</v>
      </c>
      <c r="G849" s="6" t="s">
        <v>1489</v>
      </c>
      <c r="H849" s="7">
        <v>39851.089583333334</v>
      </c>
      <c r="I849" s="6">
        <v>54.8333333</v>
      </c>
      <c r="J849" s="6">
        <v>11.15</v>
      </c>
      <c r="K849" s="8"/>
      <c r="L849" s="5">
        <f t="shared" si="26"/>
        <v>2009</v>
      </c>
      <c r="M849" s="5">
        <f t="shared" si="27"/>
        <v>39851</v>
      </c>
      <c r="N849" s="18">
        <v>0.11666666666666667</v>
      </c>
    </row>
    <row r="850" spans="1:14" x14ac:dyDescent="0.3">
      <c r="A850" s="3" t="s">
        <v>11</v>
      </c>
      <c r="B850" s="3">
        <v>110000</v>
      </c>
      <c r="C850" s="3" t="s">
        <v>12</v>
      </c>
      <c r="D850" s="3" t="s">
        <v>820</v>
      </c>
      <c r="E850" s="3" t="s">
        <v>1506</v>
      </c>
      <c r="F850" s="3" t="s">
        <v>1507</v>
      </c>
      <c r="G850" s="3" t="s">
        <v>1489</v>
      </c>
      <c r="H850" s="4">
        <v>39851.286111111112</v>
      </c>
      <c r="I850" s="3">
        <v>55.6666667</v>
      </c>
      <c r="J850" s="3">
        <v>12.5833333</v>
      </c>
      <c r="K850" s="5"/>
      <c r="L850" s="8">
        <f t="shared" si="26"/>
        <v>2009</v>
      </c>
      <c r="M850" s="8">
        <f t="shared" si="27"/>
        <v>39851</v>
      </c>
      <c r="N850" s="19">
        <v>0.15</v>
      </c>
    </row>
    <row r="851" spans="1:14" x14ac:dyDescent="0.3">
      <c r="A851" s="6" t="s">
        <v>11</v>
      </c>
      <c r="B851" s="6">
        <v>110000</v>
      </c>
      <c r="C851" s="6" t="s">
        <v>12</v>
      </c>
      <c r="D851" s="6" t="s">
        <v>214</v>
      </c>
      <c r="E851" s="6" t="s">
        <v>1500</v>
      </c>
      <c r="F851" s="6" t="s">
        <v>1488</v>
      </c>
      <c r="G851" s="6" t="s">
        <v>1489</v>
      </c>
      <c r="H851" s="7">
        <v>39853.180555555555</v>
      </c>
      <c r="I851" s="6">
        <v>55.884166700000002</v>
      </c>
      <c r="J851" s="6">
        <v>12.5419444</v>
      </c>
      <c r="K851" s="8"/>
      <c r="L851" s="5">
        <f t="shared" si="26"/>
        <v>2009</v>
      </c>
      <c r="M851" s="5">
        <f t="shared" si="27"/>
        <v>39853</v>
      </c>
      <c r="N851" s="18">
        <v>0.25486111111111109</v>
      </c>
    </row>
    <row r="852" spans="1:14" x14ac:dyDescent="0.3">
      <c r="A852" s="3" t="s">
        <v>11</v>
      </c>
      <c r="B852" s="3">
        <v>110000</v>
      </c>
      <c r="C852" s="3" t="s">
        <v>12</v>
      </c>
      <c r="D852" s="3" t="s">
        <v>1508</v>
      </c>
      <c r="E852" s="3" t="s">
        <v>1509</v>
      </c>
      <c r="F852" s="3" t="s">
        <v>1491</v>
      </c>
      <c r="G852" s="3" t="s">
        <v>1489</v>
      </c>
      <c r="H852" s="4">
        <v>39854.515277777777</v>
      </c>
      <c r="I852" s="3">
        <v>55.766666700000002</v>
      </c>
      <c r="J852" s="3">
        <v>12.6</v>
      </c>
      <c r="K852" s="5"/>
      <c r="L852" s="8">
        <f t="shared" si="26"/>
        <v>2009</v>
      </c>
      <c r="M852" s="8">
        <f t="shared" si="27"/>
        <v>39854</v>
      </c>
      <c r="N852" s="19">
        <v>0.1986111111111111</v>
      </c>
    </row>
    <row r="853" spans="1:14" x14ac:dyDescent="0.3">
      <c r="A853" s="6" t="s">
        <v>11</v>
      </c>
      <c r="B853" s="6">
        <v>110000</v>
      </c>
      <c r="C853" s="6" t="s">
        <v>17</v>
      </c>
      <c r="D853" s="6" t="s">
        <v>235</v>
      </c>
      <c r="E853" s="6" t="s">
        <v>1510</v>
      </c>
      <c r="F853" s="6" t="s">
        <v>1491</v>
      </c>
      <c r="G853" s="6" t="s">
        <v>1489</v>
      </c>
      <c r="H853" s="7">
        <v>39855.932638888888</v>
      </c>
      <c r="I853" s="6">
        <v>55.616666700000003</v>
      </c>
      <c r="J853" s="6">
        <v>12.35</v>
      </c>
      <c r="K853" s="8"/>
      <c r="L853" s="5">
        <f t="shared" si="26"/>
        <v>2009</v>
      </c>
      <c r="M853" s="5">
        <f t="shared" si="27"/>
        <v>39855</v>
      </c>
      <c r="N853" s="18">
        <v>0.51180555555555551</v>
      </c>
    </row>
    <row r="854" spans="1:14" x14ac:dyDescent="0.3">
      <c r="A854" s="3" t="s">
        <v>11</v>
      </c>
      <c r="B854" s="3">
        <v>110000</v>
      </c>
      <c r="C854" s="3" t="s">
        <v>12</v>
      </c>
      <c r="D854" s="3" t="s">
        <v>1511</v>
      </c>
      <c r="E854" s="3" t="s">
        <v>1512</v>
      </c>
      <c r="F854" s="3" t="s">
        <v>1491</v>
      </c>
      <c r="G854" s="3" t="s">
        <v>1489</v>
      </c>
      <c r="H854" s="4">
        <v>39860.045138888891</v>
      </c>
      <c r="I854" s="3">
        <v>55.75</v>
      </c>
      <c r="J854" s="3">
        <v>12.5833333</v>
      </c>
      <c r="K854" s="5"/>
      <c r="L854" s="8">
        <f t="shared" si="26"/>
        <v>2009</v>
      </c>
      <c r="M854" s="8">
        <f t="shared" si="27"/>
        <v>39860</v>
      </c>
      <c r="N854" s="19">
        <v>0.53541666666666665</v>
      </c>
    </row>
    <row r="855" spans="1:14" x14ac:dyDescent="0.3">
      <c r="A855" s="6" t="s">
        <v>11</v>
      </c>
      <c r="B855" s="6">
        <v>110000</v>
      </c>
      <c r="C855" s="6" t="s">
        <v>12</v>
      </c>
      <c r="D855" s="6" t="s">
        <v>774</v>
      </c>
      <c r="E855" s="6" t="s">
        <v>1513</v>
      </c>
      <c r="F855" s="6" t="s">
        <v>1514</v>
      </c>
      <c r="G855" s="6" t="s">
        <v>1489</v>
      </c>
      <c r="H855" s="7">
        <v>39866.260416666664</v>
      </c>
      <c r="I855" s="6">
        <v>56.15</v>
      </c>
      <c r="J855" s="6">
        <v>9.8166667000000007</v>
      </c>
      <c r="K855" s="8"/>
      <c r="L855" s="5">
        <f t="shared" si="26"/>
        <v>2009</v>
      </c>
      <c r="M855" s="5">
        <f t="shared" si="27"/>
        <v>39866</v>
      </c>
      <c r="N855" s="18">
        <v>0.48888888888888887</v>
      </c>
    </row>
    <row r="856" spans="1:14" x14ac:dyDescent="0.3">
      <c r="A856" s="3" t="s">
        <v>11</v>
      </c>
      <c r="B856" s="3">
        <v>110000</v>
      </c>
      <c r="C856" s="3" t="s">
        <v>12</v>
      </c>
      <c r="D856" s="3" t="s">
        <v>383</v>
      </c>
      <c r="E856" s="3" t="s">
        <v>1515</v>
      </c>
      <c r="F856" s="3" t="s">
        <v>1516</v>
      </c>
      <c r="G856" s="3" t="s">
        <v>1517</v>
      </c>
      <c r="H856" s="4">
        <v>39863.038194444445</v>
      </c>
      <c r="I856" s="3">
        <v>50.133333299999997</v>
      </c>
      <c r="J856" s="3">
        <v>14.3833333</v>
      </c>
      <c r="K856" s="5"/>
      <c r="L856" s="5">
        <f t="shared" si="26"/>
        <v>2009</v>
      </c>
      <c r="M856" s="5">
        <f t="shared" si="27"/>
        <v>39863</v>
      </c>
      <c r="N856" s="18">
        <v>0.17430555555555555</v>
      </c>
    </row>
    <row r="857" spans="1:14" x14ac:dyDescent="0.3">
      <c r="A857" s="6" t="s">
        <v>21</v>
      </c>
      <c r="B857" s="6">
        <v>100000</v>
      </c>
      <c r="C857" s="6" t="s">
        <v>12</v>
      </c>
      <c r="D857" s="6" t="s">
        <v>1050</v>
      </c>
      <c r="E857" s="6" t="s">
        <v>1516</v>
      </c>
      <c r="F857" s="6" t="s">
        <v>1518</v>
      </c>
      <c r="G857" s="6" t="s">
        <v>1517</v>
      </c>
      <c r="H857" s="7">
        <v>39863.361805555556</v>
      </c>
      <c r="I857" s="6">
        <v>50.0833333</v>
      </c>
      <c r="J857" s="6">
        <v>14.466666699999999</v>
      </c>
      <c r="K857" s="8"/>
      <c r="L857" s="8">
        <f t="shared" si="26"/>
        <v>2009</v>
      </c>
      <c r="M857" s="8">
        <f t="shared" si="27"/>
        <v>39863</v>
      </c>
      <c r="N857" s="19">
        <v>0.35208333333333336</v>
      </c>
    </row>
    <row r="858" spans="1:14" x14ac:dyDescent="0.3">
      <c r="A858" s="3" t="s">
        <v>11</v>
      </c>
      <c r="B858" s="3">
        <v>110000</v>
      </c>
      <c r="C858" s="3" t="s">
        <v>12</v>
      </c>
      <c r="D858" s="3" t="s">
        <v>774</v>
      </c>
      <c r="E858" s="3" t="s">
        <v>1519</v>
      </c>
      <c r="F858" s="3" t="s">
        <v>1520</v>
      </c>
      <c r="G858" s="3" t="s">
        <v>1517</v>
      </c>
      <c r="H858" s="4">
        <v>39871.979166666664</v>
      </c>
      <c r="I858" s="3">
        <v>50.211666700000002</v>
      </c>
      <c r="J858" s="3">
        <v>15.844166700000001</v>
      </c>
      <c r="K858" s="5"/>
      <c r="L858" s="5">
        <f t="shared" si="26"/>
        <v>2009</v>
      </c>
      <c r="M858" s="5">
        <f t="shared" si="27"/>
        <v>39871</v>
      </c>
      <c r="N858" s="18">
        <v>0.21736111111111112</v>
      </c>
    </row>
    <row r="859" spans="1:14" x14ac:dyDescent="0.3">
      <c r="A859" s="6" t="s">
        <v>11</v>
      </c>
      <c r="B859" s="6">
        <v>1200</v>
      </c>
      <c r="C859" s="6" t="s">
        <v>65</v>
      </c>
      <c r="D859" s="6" t="s">
        <v>1521</v>
      </c>
      <c r="E859" s="6" t="s">
        <v>1522</v>
      </c>
      <c r="F859" s="6" t="s">
        <v>1523</v>
      </c>
      <c r="G859" s="6" t="s">
        <v>1524</v>
      </c>
      <c r="H859" s="7">
        <v>39869.238888888889</v>
      </c>
      <c r="I859" s="6">
        <v>10.033333300000001</v>
      </c>
      <c r="J859" s="6">
        <v>-84.15</v>
      </c>
      <c r="K859" s="8"/>
      <c r="L859" s="8">
        <f t="shared" si="26"/>
        <v>2009</v>
      </c>
      <c r="M859" s="8">
        <f t="shared" si="27"/>
        <v>39869</v>
      </c>
      <c r="N859" s="19">
        <v>0.28611111111111109</v>
      </c>
    </row>
    <row r="860" spans="1:14" x14ac:dyDescent="0.3">
      <c r="A860" s="3" t="s">
        <v>11</v>
      </c>
      <c r="B860" s="3">
        <v>1200</v>
      </c>
      <c r="C860" s="3" t="s">
        <v>12</v>
      </c>
      <c r="D860" s="3" t="s">
        <v>473</v>
      </c>
      <c r="E860" s="3" t="s">
        <v>1525</v>
      </c>
      <c r="F860" s="3" t="s">
        <v>1526</v>
      </c>
      <c r="G860" s="3" t="s">
        <v>1527</v>
      </c>
      <c r="H860" s="4">
        <v>39867.066666666666</v>
      </c>
      <c r="I860" s="3">
        <v>22.25</v>
      </c>
      <c r="J860" s="3">
        <v>112.7833333</v>
      </c>
      <c r="K860" s="5"/>
      <c r="L860" s="5">
        <f t="shared" si="26"/>
        <v>2009</v>
      </c>
      <c r="M860" s="5">
        <f t="shared" si="27"/>
        <v>39867</v>
      </c>
      <c r="N860" s="18">
        <v>0.40069444444444446</v>
      </c>
    </row>
    <row r="861" spans="1:14" x14ac:dyDescent="0.3">
      <c r="A861" s="6" t="s">
        <v>11</v>
      </c>
      <c r="B861" s="6">
        <v>1200</v>
      </c>
      <c r="C861" s="6" t="s">
        <v>17</v>
      </c>
      <c r="D861" s="6" t="s">
        <v>1528</v>
      </c>
      <c r="E861" s="6" t="s">
        <v>1529</v>
      </c>
      <c r="F861" s="6"/>
      <c r="G861" s="6" t="s">
        <v>1530</v>
      </c>
      <c r="H861" s="7">
        <v>39863.804861111108</v>
      </c>
      <c r="I861" s="6">
        <v>19.3</v>
      </c>
      <c r="J861" s="6">
        <v>-81.383333300000004</v>
      </c>
      <c r="K861" s="8"/>
      <c r="L861" s="8">
        <f t="shared" si="26"/>
        <v>2009</v>
      </c>
      <c r="M861" s="8">
        <f t="shared" si="27"/>
        <v>39863</v>
      </c>
      <c r="N861" s="19">
        <v>0.3347222222222222</v>
      </c>
    </row>
    <row r="862" spans="1:14" x14ac:dyDescent="0.3">
      <c r="A862" s="3" t="s">
        <v>11</v>
      </c>
      <c r="B862" s="3">
        <v>1200</v>
      </c>
      <c r="C862" s="3" t="s">
        <v>12</v>
      </c>
      <c r="D862" s="3" t="s">
        <v>171</v>
      </c>
      <c r="E862" s="3" t="s">
        <v>1531</v>
      </c>
      <c r="F862" s="3" t="s">
        <v>1532</v>
      </c>
      <c r="G862" s="3" t="s">
        <v>1533</v>
      </c>
      <c r="H862" s="4">
        <v>39818.808333333334</v>
      </c>
      <c r="I862" s="3">
        <v>45.4166667</v>
      </c>
      <c r="J862" s="3">
        <v>-75.7</v>
      </c>
      <c r="K862" s="5"/>
      <c r="L862" s="5">
        <f t="shared" si="26"/>
        <v>2009</v>
      </c>
      <c r="M862" s="5">
        <f t="shared" si="27"/>
        <v>39818</v>
      </c>
      <c r="N862" s="18">
        <v>0.48402777777777778</v>
      </c>
    </row>
    <row r="863" spans="1:14" x14ac:dyDescent="0.3">
      <c r="A863" s="6" t="s">
        <v>11</v>
      </c>
      <c r="B863" s="6">
        <v>1200</v>
      </c>
      <c r="C863" s="6" t="s">
        <v>12</v>
      </c>
      <c r="D863" s="6" t="s">
        <v>1534</v>
      </c>
      <c r="E863" s="6" t="s">
        <v>1535</v>
      </c>
      <c r="F863" s="6" t="s">
        <v>1536</v>
      </c>
      <c r="G863" s="6" t="s">
        <v>1533</v>
      </c>
      <c r="H863" s="7">
        <v>39824.813888888886</v>
      </c>
      <c r="I863" s="6">
        <v>49.25</v>
      </c>
      <c r="J863" s="6">
        <v>-122.5</v>
      </c>
      <c r="K863" s="8"/>
      <c r="L863" s="5">
        <f t="shared" si="26"/>
        <v>2009</v>
      </c>
      <c r="M863" s="5">
        <f t="shared" si="27"/>
        <v>39824</v>
      </c>
      <c r="N863" s="18">
        <v>0.40138888888888891</v>
      </c>
    </row>
    <row r="864" spans="1:14" x14ac:dyDescent="0.3">
      <c r="A864" s="3" t="s">
        <v>21</v>
      </c>
      <c r="B864" s="3">
        <v>100000</v>
      </c>
      <c r="C864" s="3" t="s">
        <v>65</v>
      </c>
      <c r="D864" s="3" t="s">
        <v>1537</v>
      </c>
      <c r="E864" s="3" t="s">
        <v>1538</v>
      </c>
      <c r="F864" s="3" t="s">
        <v>1539</v>
      </c>
      <c r="G864" s="3" t="s">
        <v>1533</v>
      </c>
      <c r="H864" s="4">
        <v>39824.878472222219</v>
      </c>
      <c r="I864" s="3">
        <v>53.2</v>
      </c>
      <c r="J864" s="3">
        <v>-105.75</v>
      </c>
      <c r="K864" s="5"/>
      <c r="L864" s="8">
        <f t="shared" si="26"/>
        <v>2009</v>
      </c>
      <c r="M864" s="8">
        <f t="shared" si="27"/>
        <v>39824</v>
      </c>
      <c r="N864" s="19">
        <v>0.36041666666666666</v>
      </c>
    </row>
    <row r="865" spans="1:14" x14ac:dyDescent="0.3">
      <c r="A865" s="6" t="s">
        <v>11</v>
      </c>
      <c r="B865" s="6">
        <v>1200</v>
      </c>
      <c r="C865" s="6" t="s">
        <v>12</v>
      </c>
      <c r="D865" s="6" t="s">
        <v>1540</v>
      </c>
      <c r="E865" s="6" t="s">
        <v>1541</v>
      </c>
      <c r="F865" s="6" t="s">
        <v>1542</v>
      </c>
      <c r="G865" s="6" t="s">
        <v>1533</v>
      </c>
      <c r="H865" s="7">
        <v>39825.51666666667</v>
      </c>
      <c r="I865" s="6">
        <v>52.266666700000002</v>
      </c>
      <c r="J865" s="6">
        <v>-113.8</v>
      </c>
      <c r="K865" s="8"/>
      <c r="L865" s="5">
        <f t="shared" si="26"/>
        <v>2009</v>
      </c>
      <c r="M865" s="5">
        <f t="shared" si="27"/>
        <v>39825</v>
      </c>
      <c r="N865" s="18">
        <v>0.34861111111111109</v>
      </c>
    </row>
    <row r="866" spans="1:14" x14ac:dyDescent="0.3">
      <c r="A866" s="3" t="s">
        <v>11</v>
      </c>
      <c r="B866" s="3">
        <v>1200</v>
      </c>
      <c r="C866" s="3" t="s">
        <v>12</v>
      </c>
      <c r="D866" s="3" t="s">
        <v>455</v>
      </c>
      <c r="E866" s="3" t="s">
        <v>1543</v>
      </c>
      <c r="F866" s="3" t="s">
        <v>1542</v>
      </c>
      <c r="G866" s="3" t="s">
        <v>1533</v>
      </c>
      <c r="H866" s="4">
        <v>39825.588194444441</v>
      </c>
      <c r="I866" s="3">
        <v>51.0833333</v>
      </c>
      <c r="J866" s="3">
        <v>-114.08333330000001</v>
      </c>
      <c r="K866" s="5"/>
      <c r="L866" s="8">
        <f t="shared" si="26"/>
        <v>2009</v>
      </c>
      <c r="M866" s="8">
        <f t="shared" si="27"/>
        <v>39825</v>
      </c>
      <c r="N866" s="19">
        <v>0.35555555555555557</v>
      </c>
    </row>
    <row r="867" spans="1:14" x14ac:dyDescent="0.3">
      <c r="A867" s="6" t="s">
        <v>11</v>
      </c>
      <c r="B867" s="6">
        <v>1200</v>
      </c>
      <c r="C867" s="6" t="s">
        <v>12</v>
      </c>
      <c r="D867" s="6" t="s">
        <v>1544</v>
      </c>
      <c r="E867" s="6" t="s">
        <v>1545</v>
      </c>
      <c r="F867" s="6" t="s">
        <v>1532</v>
      </c>
      <c r="G867" s="6" t="s">
        <v>1533</v>
      </c>
      <c r="H867" s="7">
        <v>39825.771527777775</v>
      </c>
      <c r="I867" s="6">
        <v>44.1666667</v>
      </c>
      <c r="J867" s="6">
        <v>-77.383333300000004</v>
      </c>
      <c r="K867" s="8"/>
      <c r="L867" s="5">
        <f t="shared" si="26"/>
        <v>2009</v>
      </c>
      <c r="M867" s="5">
        <f t="shared" si="27"/>
        <v>39825</v>
      </c>
      <c r="N867" s="18">
        <v>6.5277777777777782E-2</v>
      </c>
    </row>
    <row r="868" spans="1:14" x14ac:dyDescent="0.3">
      <c r="A868" s="3" t="s">
        <v>11</v>
      </c>
      <c r="B868" s="3">
        <v>1200</v>
      </c>
      <c r="C868" s="3" t="s">
        <v>12</v>
      </c>
      <c r="D868" s="3" t="s">
        <v>1546</v>
      </c>
      <c r="E868" s="3" t="s">
        <v>1547</v>
      </c>
      <c r="F868" s="3" t="s">
        <v>1536</v>
      </c>
      <c r="G868" s="3" t="s">
        <v>1533</v>
      </c>
      <c r="H868" s="4">
        <v>39825.792361111111</v>
      </c>
      <c r="I868" s="3">
        <v>49.683333300000001</v>
      </c>
      <c r="J868" s="3">
        <v>-124.9333333</v>
      </c>
      <c r="K868" s="5"/>
      <c r="L868" s="8">
        <f t="shared" si="26"/>
        <v>2009</v>
      </c>
      <c r="M868" s="8">
        <f t="shared" si="27"/>
        <v>39825</v>
      </c>
      <c r="N868" s="19">
        <v>0.29444444444444445</v>
      </c>
    </row>
    <row r="869" spans="1:14" x14ac:dyDescent="0.3">
      <c r="A869" s="6" t="s">
        <v>11</v>
      </c>
      <c r="B869" s="6">
        <v>1200</v>
      </c>
      <c r="C869" s="6" t="s">
        <v>12</v>
      </c>
      <c r="D869" s="6" t="s">
        <v>1548</v>
      </c>
      <c r="E869" s="6" t="s">
        <v>1543</v>
      </c>
      <c r="F869" s="6" t="s">
        <v>1542</v>
      </c>
      <c r="G869" s="6" t="s">
        <v>1533</v>
      </c>
      <c r="H869" s="7">
        <v>39826.882638888892</v>
      </c>
      <c r="I869" s="6">
        <v>51.0833333</v>
      </c>
      <c r="J869" s="6">
        <v>-114.08333330000001</v>
      </c>
      <c r="K869" s="8"/>
      <c r="L869" s="5">
        <f t="shared" si="26"/>
        <v>2009</v>
      </c>
      <c r="M869" s="5">
        <f t="shared" si="27"/>
        <v>39826</v>
      </c>
      <c r="N869" s="18">
        <v>0.3527777777777778</v>
      </c>
    </row>
    <row r="870" spans="1:14" x14ac:dyDescent="0.3">
      <c r="A870" s="3" t="s">
        <v>11</v>
      </c>
      <c r="B870" s="3">
        <v>1200</v>
      </c>
      <c r="C870" s="3" t="s">
        <v>17</v>
      </c>
      <c r="D870" s="3" t="s">
        <v>1549</v>
      </c>
      <c r="E870" s="3" t="s">
        <v>1550</v>
      </c>
      <c r="F870" s="3" t="s">
        <v>1536</v>
      </c>
      <c r="G870" s="3" t="s">
        <v>1533</v>
      </c>
      <c r="H870" s="4">
        <v>39826.959722222222</v>
      </c>
      <c r="I870" s="3">
        <v>49.25</v>
      </c>
      <c r="J870" s="3">
        <v>-123.1333333</v>
      </c>
      <c r="K870" s="5"/>
      <c r="L870" s="5">
        <f t="shared" si="26"/>
        <v>2009</v>
      </c>
      <c r="M870" s="5">
        <f t="shared" si="27"/>
        <v>39826</v>
      </c>
      <c r="N870" s="18">
        <v>0.14027777777777778</v>
      </c>
    </row>
    <row r="871" spans="1:14" x14ac:dyDescent="0.3">
      <c r="A871" s="6" t="s">
        <v>11</v>
      </c>
      <c r="B871" s="6">
        <v>1200</v>
      </c>
      <c r="C871" s="6" t="s">
        <v>12</v>
      </c>
      <c r="D871" s="6" t="s">
        <v>1551</v>
      </c>
      <c r="E871" s="6" t="s">
        <v>1552</v>
      </c>
      <c r="F871" s="6" t="s">
        <v>1532</v>
      </c>
      <c r="G871" s="6" t="s">
        <v>1533</v>
      </c>
      <c r="H871" s="7">
        <v>39827.54583333333</v>
      </c>
      <c r="I871" s="6">
        <v>44.15</v>
      </c>
      <c r="J871" s="6">
        <v>-79.866666699999996</v>
      </c>
      <c r="K871" s="8"/>
      <c r="L871" s="8">
        <f t="shared" si="26"/>
        <v>2009</v>
      </c>
      <c r="M871" s="8">
        <f t="shared" si="27"/>
        <v>39827</v>
      </c>
      <c r="N871" s="19">
        <v>0.32916666666666666</v>
      </c>
    </row>
    <row r="872" spans="1:14" x14ac:dyDescent="0.3">
      <c r="A872" s="3" t="s">
        <v>11</v>
      </c>
      <c r="B872" s="3">
        <v>90000</v>
      </c>
      <c r="C872" s="3" t="s">
        <v>12</v>
      </c>
      <c r="D872" s="3" t="s">
        <v>1553</v>
      </c>
      <c r="E872" s="3" t="s">
        <v>1550</v>
      </c>
      <c r="F872" s="3" t="s">
        <v>1536</v>
      </c>
      <c r="G872" s="3" t="s">
        <v>1533</v>
      </c>
      <c r="H872" s="4">
        <v>39827.868055555555</v>
      </c>
      <c r="I872" s="3">
        <v>49.25</v>
      </c>
      <c r="J872" s="3">
        <v>-123.1333333</v>
      </c>
      <c r="K872" s="5"/>
      <c r="L872" s="5">
        <f t="shared" si="26"/>
        <v>2009</v>
      </c>
      <c r="M872" s="5">
        <f t="shared" si="27"/>
        <v>39827</v>
      </c>
      <c r="N872" s="18">
        <v>0.3840277777777778</v>
      </c>
    </row>
    <row r="873" spans="1:14" x14ac:dyDescent="0.3">
      <c r="A873" s="6" t="s">
        <v>11</v>
      </c>
      <c r="B873" s="6">
        <v>200000</v>
      </c>
      <c r="C873" s="6" t="s">
        <v>12</v>
      </c>
      <c r="D873" s="6" t="s">
        <v>356</v>
      </c>
      <c r="E873" s="6" t="s">
        <v>1554</v>
      </c>
      <c r="F873" s="6" t="s">
        <v>1536</v>
      </c>
      <c r="G873" s="6" t="s">
        <v>1533</v>
      </c>
      <c r="H873" s="7">
        <v>39828.37222222222</v>
      </c>
      <c r="I873" s="6">
        <v>49.016666700000002</v>
      </c>
      <c r="J873" s="6">
        <v>-123.08333330000001</v>
      </c>
      <c r="K873" s="8"/>
      <c r="L873" s="8">
        <f t="shared" si="26"/>
        <v>2009</v>
      </c>
      <c r="M873" s="8">
        <f t="shared" si="27"/>
        <v>39828</v>
      </c>
      <c r="N873" s="19">
        <v>0.49166666666666664</v>
      </c>
    </row>
    <row r="874" spans="1:14" x14ac:dyDescent="0.3">
      <c r="A874" s="3" t="s">
        <v>11</v>
      </c>
      <c r="B874" s="3">
        <v>60000</v>
      </c>
      <c r="C874" s="3" t="s">
        <v>12</v>
      </c>
      <c r="D874" s="3" t="s">
        <v>176</v>
      </c>
      <c r="E874" s="3" t="s">
        <v>1555</v>
      </c>
      <c r="F874" s="3" t="s">
        <v>1542</v>
      </c>
      <c r="G874" s="3" t="s">
        <v>1533</v>
      </c>
      <c r="H874" s="4">
        <v>39828.416666666664</v>
      </c>
      <c r="I874" s="3">
        <v>50.716666699999998</v>
      </c>
      <c r="J874" s="3">
        <v>-113.9666667</v>
      </c>
      <c r="K874" s="5"/>
      <c r="L874" s="5">
        <f t="shared" si="26"/>
        <v>2009</v>
      </c>
      <c r="M874" s="5">
        <f t="shared" si="27"/>
        <v>39828</v>
      </c>
      <c r="N874" s="18">
        <v>0.30763888888888891</v>
      </c>
    </row>
    <row r="875" spans="1:14" x14ac:dyDescent="0.3">
      <c r="A875" s="6" t="s">
        <v>11</v>
      </c>
      <c r="B875" s="6">
        <v>1200</v>
      </c>
      <c r="C875" s="6" t="s">
        <v>12</v>
      </c>
      <c r="D875" s="6" t="s">
        <v>347</v>
      </c>
      <c r="E875" s="6" t="s">
        <v>1543</v>
      </c>
      <c r="F875" s="6" t="s">
        <v>1542</v>
      </c>
      <c r="G875" s="6" t="s">
        <v>1533</v>
      </c>
      <c r="H875" s="7">
        <v>39828.48541666667</v>
      </c>
      <c r="I875" s="6">
        <v>51.0833333</v>
      </c>
      <c r="J875" s="6">
        <v>-114.08333330000001</v>
      </c>
      <c r="K875" s="8"/>
      <c r="L875" s="8">
        <f t="shared" si="26"/>
        <v>2009</v>
      </c>
      <c r="M875" s="8">
        <f t="shared" si="27"/>
        <v>39828</v>
      </c>
      <c r="N875" s="19">
        <v>0.49722222222222223</v>
      </c>
    </row>
    <row r="876" spans="1:14" x14ac:dyDescent="0.3">
      <c r="A876" s="3" t="s">
        <v>11</v>
      </c>
      <c r="B876" s="3">
        <v>1200</v>
      </c>
      <c r="C876" s="3" t="s">
        <v>12</v>
      </c>
      <c r="D876" s="3" t="s">
        <v>627</v>
      </c>
      <c r="E876" s="3" t="s">
        <v>1556</v>
      </c>
      <c r="F876" s="3" t="s">
        <v>1532</v>
      </c>
      <c r="G876" s="3" t="s">
        <v>1533</v>
      </c>
      <c r="H876" s="4">
        <v>39828.492361111108</v>
      </c>
      <c r="I876" s="3">
        <v>45.3333333</v>
      </c>
      <c r="J876" s="3">
        <v>-75.900000000000006</v>
      </c>
      <c r="K876" s="5"/>
      <c r="L876" s="5">
        <f t="shared" si="26"/>
        <v>2009</v>
      </c>
      <c r="M876" s="5">
        <f t="shared" si="27"/>
        <v>39828</v>
      </c>
      <c r="N876" s="18">
        <v>0.49861111111111112</v>
      </c>
    </row>
    <row r="877" spans="1:14" x14ac:dyDescent="0.3">
      <c r="A877" s="6" t="s">
        <v>11</v>
      </c>
      <c r="B877" s="6">
        <v>90000</v>
      </c>
      <c r="C877" s="6" t="s">
        <v>17</v>
      </c>
      <c r="D877" s="6" t="s">
        <v>1557</v>
      </c>
      <c r="E877" s="6" t="s">
        <v>1558</v>
      </c>
      <c r="F877" s="6" t="s">
        <v>1559</v>
      </c>
      <c r="G877" s="6" t="s">
        <v>1533</v>
      </c>
      <c r="H877" s="7">
        <v>39829.328472222223</v>
      </c>
      <c r="I877" s="6">
        <v>45.4</v>
      </c>
      <c r="J877" s="6">
        <v>-73.933333300000001</v>
      </c>
      <c r="K877" s="8"/>
      <c r="L877" s="5">
        <f t="shared" si="26"/>
        <v>2009</v>
      </c>
      <c r="M877" s="5">
        <f t="shared" si="27"/>
        <v>39829</v>
      </c>
      <c r="N877" s="18">
        <v>0.53749999999999998</v>
      </c>
    </row>
    <row r="878" spans="1:14" x14ac:dyDescent="0.3">
      <c r="A878" s="3" t="s">
        <v>11</v>
      </c>
      <c r="B878" s="3">
        <v>200000</v>
      </c>
      <c r="C878" s="3" t="s">
        <v>65</v>
      </c>
      <c r="D878" s="3" t="s">
        <v>1560</v>
      </c>
      <c r="E878" s="3" t="s">
        <v>1561</v>
      </c>
      <c r="F878" s="3" t="s">
        <v>1562</v>
      </c>
      <c r="G878" s="3" t="s">
        <v>1533</v>
      </c>
      <c r="H878" s="4">
        <v>39831.678472222222</v>
      </c>
      <c r="I878" s="3">
        <v>62.45</v>
      </c>
      <c r="J878" s="3">
        <v>-114.35</v>
      </c>
      <c r="K878" s="5"/>
      <c r="L878" s="8">
        <f t="shared" si="26"/>
        <v>2009</v>
      </c>
      <c r="M878" s="8">
        <f t="shared" si="27"/>
        <v>39831</v>
      </c>
      <c r="N878" s="19">
        <v>0.49166666666666664</v>
      </c>
    </row>
    <row r="879" spans="1:14" x14ac:dyDescent="0.3">
      <c r="A879" s="6" t="s">
        <v>11</v>
      </c>
      <c r="B879" s="6">
        <v>60000</v>
      </c>
      <c r="C879" s="6" t="s">
        <v>17</v>
      </c>
      <c r="D879" s="6" t="s">
        <v>1090</v>
      </c>
      <c r="E879" s="6" t="s">
        <v>1563</v>
      </c>
      <c r="F879" s="6" t="s">
        <v>1564</v>
      </c>
      <c r="G879" s="6" t="s">
        <v>1533</v>
      </c>
      <c r="H879" s="7">
        <v>39831.803472222222</v>
      </c>
      <c r="I879" s="6">
        <v>49.883333299999997</v>
      </c>
      <c r="J879" s="6">
        <v>-97.166666699999993</v>
      </c>
      <c r="K879" s="8"/>
      <c r="L879" s="5">
        <f t="shared" si="26"/>
        <v>2009</v>
      </c>
      <c r="M879" s="5">
        <f t="shared" si="27"/>
        <v>39831</v>
      </c>
      <c r="N879" s="18">
        <v>0.37430555555555556</v>
      </c>
    </row>
    <row r="880" spans="1:14" x14ac:dyDescent="0.3">
      <c r="A880" s="3" t="s">
        <v>11</v>
      </c>
      <c r="B880" s="3">
        <v>1200</v>
      </c>
      <c r="C880" s="3" t="s">
        <v>65</v>
      </c>
      <c r="D880" s="3" t="s">
        <v>1565</v>
      </c>
      <c r="E880" s="3" t="s">
        <v>1566</v>
      </c>
      <c r="F880" s="3" t="s">
        <v>1559</v>
      </c>
      <c r="G880" s="3" t="s">
        <v>1533</v>
      </c>
      <c r="H880" s="4">
        <v>39832.331944444442</v>
      </c>
      <c r="I880" s="3">
        <v>45.5</v>
      </c>
      <c r="J880" s="3">
        <v>-73.583333300000007</v>
      </c>
      <c r="K880" s="5"/>
      <c r="L880" s="8">
        <f t="shared" si="26"/>
        <v>2009</v>
      </c>
      <c r="M880" s="8">
        <f t="shared" si="27"/>
        <v>39832</v>
      </c>
      <c r="N880" s="19">
        <v>0.53402777777777777</v>
      </c>
    </row>
    <row r="881" spans="1:14" x14ac:dyDescent="0.3">
      <c r="A881" s="6" t="s">
        <v>11</v>
      </c>
      <c r="B881" s="6">
        <v>1200</v>
      </c>
      <c r="C881" s="6" t="s">
        <v>12</v>
      </c>
      <c r="D881" s="6" t="s">
        <v>1567</v>
      </c>
      <c r="E881" s="6" t="s">
        <v>1568</v>
      </c>
      <c r="F881" s="6" t="s">
        <v>1559</v>
      </c>
      <c r="G881" s="6" t="s">
        <v>1533</v>
      </c>
      <c r="H881" s="7">
        <v>39833.609722222223</v>
      </c>
      <c r="I881" s="6">
        <v>45.6</v>
      </c>
      <c r="J881" s="6">
        <v>-73.616666699999996</v>
      </c>
      <c r="K881" s="8"/>
      <c r="L881" s="5">
        <f t="shared" si="26"/>
        <v>2009</v>
      </c>
      <c r="M881" s="5">
        <f t="shared" si="27"/>
        <v>39833</v>
      </c>
      <c r="N881" s="18">
        <v>0.2048611111111111</v>
      </c>
    </row>
    <row r="882" spans="1:14" x14ac:dyDescent="0.3">
      <c r="A882" s="3" t="s">
        <v>11</v>
      </c>
      <c r="B882" s="3">
        <v>90000</v>
      </c>
      <c r="C882" s="3" t="s">
        <v>12</v>
      </c>
      <c r="D882" s="3" t="s">
        <v>636</v>
      </c>
      <c r="E882" s="3" t="s">
        <v>1543</v>
      </c>
      <c r="F882" s="3" t="s">
        <v>1542</v>
      </c>
      <c r="G882" s="3" t="s">
        <v>1533</v>
      </c>
      <c r="H882" s="4">
        <v>39835.810416666667</v>
      </c>
      <c r="I882" s="3">
        <v>51.0833333</v>
      </c>
      <c r="J882" s="3">
        <v>-114.08333330000001</v>
      </c>
      <c r="K882" s="5"/>
      <c r="L882" s="8">
        <f t="shared" si="26"/>
        <v>2009</v>
      </c>
      <c r="M882" s="8">
        <f t="shared" si="27"/>
        <v>39835</v>
      </c>
      <c r="N882" s="19">
        <v>0.37638888888888888</v>
      </c>
    </row>
    <row r="883" spans="1:14" x14ac:dyDescent="0.3">
      <c r="A883" s="6" t="s">
        <v>11</v>
      </c>
      <c r="B883" s="6">
        <v>200000</v>
      </c>
      <c r="C883" s="6" t="s">
        <v>12</v>
      </c>
      <c r="D883" s="6" t="s">
        <v>455</v>
      </c>
      <c r="E883" s="6" t="s">
        <v>1569</v>
      </c>
      <c r="F883" s="6" t="s">
        <v>1536</v>
      </c>
      <c r="G883" s="6" t="s">
        <v>1533</v>
      </c>
      <c r="H883" s="7">
        <v>39838.809027777781</v>
      </c>
      <c r="I883" s="6">
        <v>49.9</v>
      </c>
      <c r="J883" s="6">
        <v>-119.4833333</v>
      </c>
      <c r="K883" s="8"/>
      <c r="L883" s="5">
        <f t="shared" si="26"/>
        <v>2009</v>
      </c>
      <c r="M883" s="5">
        <f t="shared" si="27"/>
        <v>39838</v>
      </c>
      <c r="N883" s="18">
        <v>0.34861111111111109</v>
      </c>
    </row>
    <row r="884" spans="1:14" x14ac:dyDescent="0.3">
      <c r="A884" s="3" t="s">
        <v>11</v>
      </c>
      <c r="B884" s="3">
        <v>60000</v>
      </c>
      <c r="C884" s="3" t="s">
        <v>17</v>
      </c>
      <c r="D884" s="3" t="s">
        <v>1570</v>
      </c>
      <c r="E884" s="3" t="s">
        <v>1571</v>
      </c>
      <c r="F884" s="3" t="s">
        <v>1542</v>
      </c>
      <c r="G884" s="3" t="s">
        <v>1533</v>
      </c>
      <c r="H884" s="4">
        <v>39839.303472222222</v>
      </c>
      <c r="I884" s="3">
        <v>51.7</v>
      </c>
      <c r="J884" s="3">
        <v>-113.2666667</v>
      </c>
      <c r="K884" s="5"/>
      <c r="L884" s="5">
        <f t="shared" si="26"/>
        <v>2009</v>
      </c>
      <c r="M884" s="5">
        <f t="shared" si="27"/>
        <v>39839</v>
      </c>
      <c r="N884" s="18">
        <v>9.6527777777777782E-2</v>
      </c>
    </row>
    <row r="885" spans="1:14" x14ac:dyDescent="0.3">
      <c r="A885" s="6" t="s">
        <v>11</v>
      </c>
      <c r="B885" s="6">
        <v>1200</v>
      </c>
      <c r="C885" s="6" t="s">
        <v>12</v>
      </c>
      <c r="D885" s="6" t="s">
        <v>388</v>
      </c>
      <c r="E885" s="6" t="s">
        <v>1550</v>
      </c>
      <c r="F885" s="6" t="s">
        <v>1536</v>
      </c>
      <c r="G885" s="6" t="s">
        <v>1533</v>
      </c>
      <c r="H885" s="7">
        <v>39839.425000000003</v>
      </c>
      <c r="I885" s="6">
        <v>49.25</v>
      </c>
      <c r="J885" s="6">
        <v>-123.1333333</v>
      </c>
      <c r="K885" s="8"/>
      <c r="L885" s="8">
        <f t="shared" si="26"/>
        <v>2009</v>
      </c>
      <c r="M885" s="8">
        <f t="shared" si="27"/>
        <v>39839</v>
      </c>
      <c r="N885" s="19">
        <v>0.43333333333333335</v>
      </c>
    </row>
    <row r="886" spans="1:14" x14ac:dyDescent="0.3">
      <c r="A886" s="3" t="s">
        <v>11</v>
      </c>
      <c r="B886" s="3">
        <v>1200</v>
      </c>
      <c r="C886" s="3" t="s">
        <v>17</v>
      </c>
      <c r="D886" s="3" t="s">
        <v>1572</v>
      </c>
      <c r="E886" s="3" t="s">
        <v>1543</v>
      </c>
      <c r="F886" s="3" t="s">
        <v>1542</v>
      </c>
      <c r="G886" s="3" t="s">
        <v>1533</v>
      </c>
      <c r="H886" s="4">
        <v>39839.724999999999</v>
      </c>
      <c r="I886" s="3">
        <v>51.0833333</v>
      </c>
      <c r="J886" s="3">
        <v>-114.08333330000001</v>
      </c>
      <c r="K886" s="5"/>
      <c r="L886" s="5">
        <f t="shared" si="26"/>
        <v>2009</v>
      </c>
      <c r="M886" s="5">
        <f t="shared" si="27"/>
        <v>39839</v>
      </c>
      <c r="N886" s="18">
        <v>0.41041666666666665</v>
      </c>
    </row>
    <row r="887" spans="1:14" x14ac:dyDescent="0.3">
      <c r="A887" s="6" t="s">
        <v>11</v>
      </c>
      <c r="B887" s="6">
        <v>90000</v>
      </c>
      <c r="C887" s="6" t="s">
        <v>17</v>
      </c>
      <c r="D887" s="6" t="s">
        <v>1573</v>
      </c>
      <c r="E887" s="6" t="s">
        <v>1543</v>
      </c>
      <c r="F887" s="6" t="s">
        <v>1542</v>
      </c>
      <c r="G887" s="6" t="s">
        <v>1533</v>
      </c>
      <c r="H887" s="7">
        <v>39840.601388888892</v>
      </c>
      <c r="I887" s="6">
        <v>51.0833333</v>
      </c>
      <c r="J887" s="6">
        <v>-114.08333330000001</v>
      </c>
      <c r="K887" s="8"/>
      <c r="L887" s="8">
        <f t="shared" si="26"/>
        <v>2009</v>
      </c>
      <c r="M887" s="8">
        <f t="shared" si="27"/>
        <v>39840</v>
      </c>
      <c r="N887" s="19">
        <v>0.42083333333333334</v>
      </c>
    </row>
    <row r="888" spans="1:14" x14ac:dyDescent="0.3">
      <c r="A888" s="3" t="s">
        <v>11</v>
      </c>
      <c r="B888" s="3">
        <v>200000</v>
      </c>
      <c r="C888" s="3" t="s">
        <v>65</v>
      </c>
      <c r="D888" s="3" t="s">
        <v>1574</v>
      </c>
      <c r="E888" s="3" t="s">
        <v>1575</v>
      </c>
      <c r="F888" s="3" t="s">
        <v>1532</v>
      </c>
      <c r="G888" s="3" t="s">
        <v>1533</v>
      </c>
      <c r="H888" s="4">
        <v>39840.624305555553</v>
      </c>
      <c r="I888" s="3">
        <v>43.6666667</v>
      </c>
      <c r="J888" s="3">
        <v>-79.416666699999993</v>
      </c>
      <c r="K888" s="5"/>
      <c r="L888" s="5">
        <f t="shared" si="26"/>
        <v>2009</v>
      </c>
      <c r="M888" s="5">
        <f t="shared" si="27"/>
        <v>39840</v>
      </c>
      <c r="N888" s="18">
        <v>0.30902777777777779</v>
      </c>
    </row>
    <row r="889" spans="1:14" x14ac:dyDescent="0.3">
      <c r="A889" s="6" t="s">
        <v>11</v>
      </c>
      <c r="B889" s="6">
        <v>60000</v>
      </c>
      <c r="C889" s="6" t="s">
        <v>12</v>
      </c>
      <c r="D889" s="6" t="s">
        <v>1576</v>
      </c>
      <c r="E889" s="6" t="s">
        <v>1577</v>
      </c>
      <c r="F889" s="6" t="s">
        <v>1532</v>
      </c>
      <c r="G889" s="6" t="s">
        <v>1533</v>
      </c>
      <c r="H889" s="7">
        <v>39840.828472222223</v>
      </c>
      <c r="I889" s="6">
        <v>50.066666699999999</v>
      </c>
      <c r="J889" s="6">
        <v>-91.75</v>
      </c>
      <c r="K889" s="8"/>
      <c r="L889" s="8">
        <f t="shared" si="26"/>
        <v>2009</v>
      </c>
      <c r="M889" s="8">
        <f t="shared" si="27"/>
        <v>39840</v>
      </c>
      <c r="N889" s="19">
        <v>0.35555555555555557</v>
      </c>
    </row>
    <row r="890" spans="1:14" x14ac:dyDescent="0.3">
      <c r="A890" s="3" t="s">
        <v>11</v>
      </c>
      <c r="B890" s="3">
        <v>1200</v>
      </c>
      <c r="C890" s="3" t="s">
        <v>12</v>
      </c>
      <c r="D890" s="3" t="s">
        <v>51</v>
      </c>
      <c r="E890" s="3" t="s">
        <v>1578</v>
      </c>
      <c r="F890" s="3" t="s">
        <v>1559</v>
      </c>
      <c r="G890" s="3" t="s">
        <v>1533</v>
      </c>
      <c r="H890" s="4">
        <v>39841.338888888888</v>
      </c>
      <c r="I890" s="3">
        <v>49.216666699999998</v>
      </c>
      <c r="J890" s="3">
        <v>-68.150000000000006</v>
      </c>
      <c r="K890" s="5"/>
      <c r="L890" s="5">
        <f t="shared" si="26"/>
        <v>2009</v>
      </c>
      <c r="M890" s="5">
        <f t="shared" si="27"/>
        <v>39841</v>
      </c>
      <c r="N890" s="18">
        <v>0.12986111111111112</v>
      </c>
    </row>
    <row r="891" spans="1:14" x14ac:dyDescent="0.3">
      <c r="A891" s="6" t="s">
        <v>11</v>
      </c>
      <c r="B891" s="6">
        <v>1200</v>
      </c>
      <c r="C891" s="6" t="s">
        <v>12</v>
      </c>
      <c r="D891" s="6" t="s">
        <v>1579</v>
      </c>
      <c r="E891" s="6" t="s">
        <v>1580</v>
      </c>
      <c r="F891" s="6" t="s">
        <v>1532</v>
      </c>
      <c r="G891" s="6" t="s">
        <v>1533</v>
      </c>
      <c r="H891" s="7">
        <v>39841.404861111114</v>
      </c>
      <c r="I891" s="6">
        <v>43.933333300000001</v>
      </c>
      <c r="J891" s="6">
        <v>-79.533333299999995</v>
      </c>
      <c r="K891" s="8"/>
      <c r="L891" s="5">
        <f t="shared" si="26"/>
        <v>2009</v>
      </c>
      <c r="M891" s="5">
        <f t="shared" si="27"/>
        <v>39841</v>
      </c>
      <c r="N891" s="18">
        <v>0.40902777777777777</v>
      </c>
    </row>
    <row r="892" spans="1:14" x14ac:dyDescent="0.3">
      <c r="A892" s="3" t="s">
        <v>11</v>
      </c>
      <c r="B892" s="3">
        <v>90000</v>
      </c>
      <c r="C892" s="3" t="s">
        <v>17</v>
      </c>
      <c r="D892" s="3" t="s">
        <v>636</v>
      </c>
      <c r="E892" s="3" t="s">
        <v>1550</v>
      </c>
      <c r="F892" s="3" t="s">
        <v>1536</v>
      </c>
      <c r="G892" s="3" t="s">
        <v>1533</v>
      </c>
      <c r="H892" s="4">
        <v>39841.553472222222</v>
      </c>
      <c r="I892" s="3">
        <v>49.25</v>
      </c>
      <c r="J892" s="3">
        <v>-123.1333333</v>
      </c>
      <c r="K892" s="5"/>
      <c r="L892" s="8">
        <f t="shared" si="26"/>
        <v>2009</v>
      </c>
      <c r="M892" s="8">
        <f t="shared" si="27"/>
        <v>39841</v>
      </c>
      <c r="N892" s="19">
        <v>0.41319444444444442</v>
      </c>
    </row>
    <row r="893" spans="1:14" x14ac:dyDescent="0.3">
      <c r="A893" s="6" t="s">
        <v>11</v>
      </c>
      <c r="B893" s="6">
        <v>200000</v>
      </c>
      <c r="C893" s="6" t="s">
        <v>12</v>
      </c>
      <c r="D893" s="6" t="s">
        <v>1348</v>
      </c>
      <c r="E893" s="6" t="s">
        <v>1581</v>
      </c>
      <c r="F893" s="6" t="s">
        <v>1532</v>
      </c>
      <c r="G893" s="6" t="s">
        <v>1533</v>
      </c>
      <c r="H893" s="7">
        <v>39844.881944444445</v>
      </c>
      <c r="I893" s="6">
        <v>43.1666667</v>
      </c>
      <c r="J893" s="6">
        <v>-79.233333299999998</v>
      </c>
      <c r="K893" s="8"/>
      <c r="L893" s="5">
        <f t="shared" si="26"/>
        <v>2009</v>
      </c>
      <c r="M893" s="5">
        <f t="shared" si="27"/>
        <v>39844</v>
      </c>
      <c r="N893" s="18">
        <v>0.21249999999999999</v>
      </c>
    </row>
    <row r="894" spans="1:14" x14ac:dyDescent="0.3">
      <c r="A894" s="3" t="s">
        <v>11</v>
      </c>
      <c r="B894" s="3">
        <v>60000</v>
      </c>
      <c r="C894" s="3" t="s">
        <v>65</v>
      </c>
      <c r="D894" s="3" t="s">
        <v>1582</v>
      </c>
      <c r="E894" s="3" t="s">
        <v>1531</v>
      </c>
      <c r="F894" s="3" t="s">
        <v>1532</v>
      </c>
      <c r="G894" s="3" t="s">
        <v>1533</v>
      </c>
      <c r="H894" s="4">
        <v>39845.786111111112</v>
      </c>
      <c r="I894" s="3">
        <v>45.4166667</v>
      </c>
      <c r="J894" s="3">
        <v>-75.7</v>
      </c>
      <c r="K894" s="5"/>
      <c r="L894" s="8">
        <f t="shared" si="26"/>
        <v>2009</v>
      </c>
      <c r="M894" s="8">
        <f t="shared" si="27"/>
        <v>39845</v>
      </c>
      <c r="N894" s="19">
        <v>0.33541666666666664</v>
      </c>
    </row>
    <row r="895" spans="1:14" x14ac:dyDescent="0.3">
      <c r="A895" s="6" t="s">
        <v>11</v>
      </c>
      <c r="B895" s="6">
        <v>1200</v>
      </c>
      <c r="C895" s="6" t="s">
        <v>17</v>
      </c>
      <c r="D895" s="6" t="s">
        <v>1583</v>
      </c>
      <c r="E895" s="6" t="s">
        <v>1543</v>
      </c>
      <c r="F895" s="6" t="s">
        <v>1542</v>
      </c>
      <c r="G895" s="6" t="s">
        <v>1533</v>
      </c>
      <c r="H895" s="7">
        <v>39846.784722222219</v>
      </c>
      <c r="I895" s="6">
        <v>51.0833333</v>
      </c>
      <c r="J895" s="6">
        <v>-114.08333330000001</v>
      </c>
      <c r="K895" s="8"/>
      <c r="L895" s="5">
        <f t="shared" si="26"/>
        <v>2009</v>
      </c>
      <c r="M895" s="5">
        <f t="shared" si="27"/>
        <v>39846</v>
      </c>
      <c r="N895" s="18">
        <v>0.38055555555555554</v>
      </c>
    </row>
    <row r="896" spans="1:14" x14ac:dyDescent="0.3">
      <c r="A896" s="3" t="s">
        <v>11</v>
      </c>
      <c r="B896" s="3">
        <v>1200</v>
      </c>
      <c r="C896" s="3" t="s">
        <v>17</v>
      </c>
      <c r="D896" s="3" t="s">
        <v>1584</v>
      </c>
      <c r="E896" s="3" t="s">
        <v>1585</v>
      </c>
      <c r="F896" s="3" t="s">
        <v>1532</v>
      </c>
      <c r="G896" s="3" t="s">
        <v>1533</v>
      </c>
      <c r="H896" s="4">
        <v>39847.154166666667</v>
      </c>
      <c r="I896" s="3">
        <v>43.85</v>
      </c>
      <c r="J896" s="3">
        <v>-79.016666700000002</v>
      </c>
      <c r="K896" s="5"/>
      <c r="L896" s="8">
        <f t="shared" si="26"/>
        <v>2009</v>
      </c>
      <c r="M896" s="8">
        <f t="shared" si="27"/>
        <v>39847</v>
      </c>
      <c r="N896" s="19">
        <v>0.39930555555555558</v>
      </c>
    </row>
    <row r="897" spans="1:14" x14ac:dyDescent="0.3">
      <c r="A897" s="6" t="s">
        <v>11</v>
      </c>
      <c r="B897" s="6">
        <v>90000</v>
      </c>
      <c r="C897" s="6" t="s">
        <v>12</v>
      </c>
      <c r="D897" s="6" t="s">
        <v>1586</v>
      </c>
      <c r="E897" s="6" t="s">
        <v>1587</v>
      </c>
      <c r="F897" s="6" t="s">
        <v>1532</v>
      </c>
      <c r="G897" s="6" t="s">
        <v>1533</v>
      </c>
      <c r="H897" s="7">
        <v>39847.275000000001</v>
      </c>
      <c r="I897" s="6">
        <v>46.3</v>
      </c>
      <c r="J897" s="6">
        <v>-79.45</v>
      </c>
      <c r="K897" s="8"/>
      <c r="L897" s="5">
        <f t="shared" si="26"/>
        <v>2009</v>
      </c>
      <c r="M897" s="5">
        <f t="shared" si="27"/>
        <v>39847</v>
      </c>
      <c r="N897" s="18">
        <v>0.30138888888888887</v>
      </c>
    </row>
    <row r="898" spans="1:14" x14ac:dyDescent="0.3">
      <c r="A898" s="3" t="s">
        <v>21</v>
      </c>
      <c r="B898" s="3">
        <v>100000</v>
      </c>
      <c r="C898" s="3" t="s">
        <v>65</v>
      </c>
      <c r="D898" s="3" t="s">
        <v>675</v>
      </c>
      <c r="E898" s="3" t="s">
        <v>1555</v>
      </c>
      <c r="F898" s="3" t="s">
        <v>1542</v>
      </c>
      <c r="G898" s="3" t="s">
        <v>1533</v>
      </c>
      <c r="H898" s="4">
        <v>39847.384027777778</v>
      </c>
      <c r="I898" s="3">
        <v>50.716666699999998</v>
      </c>
      <c r="J898" s="3">
        <v>-113.9666667</v>
      </c>
      <c r="K898" s="5"/>
      <c r="L898" s="5">
        <f t="shared" ref="L898:L961" si="28">YEAR(H898)</f>
        <v>2009</v>
      </c>
      <c r="M898" s="5">
        <f t="shared" ref="M898:M961" si="29">INT(H898)</f>
        <v>39847</v>
      </c>
      <c r="N898" s="18">
        <v>4.3749999999999997E-2</v>
      </c>
    </row>
    <row r="899" spans="1:14" x14ac:dyDescent="0.3">
      <c r="A899" s="6" t="s">
        <v>11</v>
      </c>
      <c r="B899" s="6">
        <v>60000</v>
      </c>
      <c r="C899" s="6" t="s">
        <v>65</v>
      </c>
      <c r="D899" s="6" t="s">
        <v>1588</v>
      </c>
      <c r="E899" s="6" t="s">
        <v>1550</v>
      </c>
      <c r="F899" s="6" t="s">
        <v>1536</v>
      </c>
      <c r="G899" s="6" t="s">
        <v>1533</v>
      </c>
      <c r="H899" s="7">
        <v>39847.515277777777</v>
      </c>
      <c r="I899" s="6">
        <v>49.25</v>
      </c>
      <c r="J899" s="6">
        <v>-123.1333333</v>
      </c>
      <c r="K899" s="8"/>
      <c r="L899" s="8">
        <f t="shared" si="28"/>
        <v>2009</v>
      </c>
      <c r="M899" s="8">
        <f t="shared" si="29"/>
        <v>39847</v>
      </c>
      <c r="N899" s="19">
        <v>0.34583333333333333</v>
      </c>
    </row>
    <row r="900" spans="1:14" x14ac:dyDescent="0.3">
      <c r="A900" s="3" t="s">
        <v>21</v>
      </c>
      <c r="B900" s="3">
        <v>100000</v>
      </c>
      <c r="C900" s="3" t="s">
        <v>12</v>
      </c>
      <c r="D900" s="3" t="s">
        <v>1589</v>
      </c>
      <c r="E900" s="3" t="s">
        <v>1575</v>
      </c>
      <c r="F900" s="3" t="s">
        <v>1532</v>
      </c>
      <c r="G900" s="3" t="s">
        <v>1533</v>
      </c>
      <c r="H900" s="4">
        <v>39847.820833333331</v>
      </c>
      <c r="I900" s="3">
        <v>43.6666667</v>
      </c>
      <c r="J900" s="3">
        <v>-79.416666699999993</v>
      </c>
      <c r="K900" s="5"/>
      <c r="L900" s="5">
        <f t="shared" si="28"/>
        <v>2009</v>
      </c>
      <c r="M900" s="5">
        <f t="shared" si="29"/>
        <v>39847</v>
      </c>
      <c r="N900" s="18">
        <v>0.4861111111111111</v>
      </c>
    </row>
    <row r="901" spans="1:14" x14ac:dyDescent="0.3">
      <c r="A901" s="6" t="s">
        <v>21</v>
      </c>
      <c r="B901" s="6">
        <v>100000</v>
      </c>
      <c r="C901" s="6" t="s">
        <v>65</v>
      </c>
      <c r="D901" s="6" t="s">
        <v>179</v>
      </c>
      <c r="E901" s="6" t="s">
        <v>1590</v>
      </c>
      <c r="F901" s="6" t="s">
        <v>1539</v>
      </c>
      <c r="G901" s="6" t="s">
        <v>1533</v>
      </c>
      <c r="H901" s="7">
        <v>39849.474999999999</v>
      </c>
      <c r="I901" s="6">
        <v>52.133333299999997</v>
      </c>
      <c r="J901" s="6">
        <v>-106.66666669999999</v>
      </c>
      <c r="K901" s="8"/>
      <c r="L901" s="8">
        <f t="shared" si="28"/>
        <v>2009</v>
      </c>
      <c r="M901" s="8">
        <f t="shared" si="29"/>
        <v>39849</v>
      </c>
      <c r="N901" s="19">
        <v>0.34444444444444444</v>
      </c>
    </row>
    <row r="902" spans="1:14" x14ac:dyDescent="0.3">
      <c r="A902" s="3" t="s">
        <v>11</v>
      </c>
      <c r="B902" s="3">
        <v>1200</v>
      </c>
      <c r="C902" s="3" t="s">
        <v>65</v>
      </c>
      <c r="D902" s="3" t="s">
        <v>1591</v>
      </c>
      <c r="E902" s="3" t="s">
        <v>1592</v>
      </c>
      <c r="F902" s="3" t="s">
        <v>1536</v>
      </c>
      <c r="G902" s="3" t="s">
        <v>1533</v>
      </c>
      <c r="H902" s="4">
        <v>39849.585416666669</v>
      </c>
      <c r="I902" s="3">
        <v>54.433333300000001</v>
      </c>
      <c r="J902" s="3">
        <v>-124.25</v>
      </c>
      <c r="K902" s="5"/>
      <c r="L902" s="5">
        <f t="shared" si="28"/>
        <v>2009</v>
      </c>
      <c r="M902" s="5">
        <f t="shared" si="29"/>
        <v>39849</v>
      </c>
      <c r="N902" s="18">
        <v>0.42569444444444443</v>
      </c>
    </row>
    <row r="903" spans="1:14" x14ac:dyDescent="0.3">
      <c r="A903" s="6" t="s">
        <v>11</v>
      </c>
      <c r="B903" s="6">
        <v>1200</v>
      </c>
      <c r="C903" s="6" t="s">
        <v>12</v>
      </c>
      <c r="D903" s="6" t="s">
        <v>473</v>
      </c>
      <c r="E903" s="6" t="s">
        <v>1593</v>
      </c>
      <c r="F903" s="6" t="s">
        <v>1532</v>
      </c>
      <c r="G903" s="6" t="s">
        <v>1533</v>
      </c>
      <c r="H903" s="7">
        <v>39853.412499999999</v>
      </c>
      <c r="I903" s="6">
        <v>43.25</v>
      </c>
      <c r="J903" s="6">
        <v>-79.833333300000007</v>
      </c>
      <c r="K903" s="8"/>
      <c r="L903" s="8">
        <f t="shared" si="28"/>
        <v>2009</v>
      </c>
      <c r="M903" s="8">
        <f t="shared" si="29"/>
        <v>39853</v>
      </c>
      <c r="N903" s="19">
        <v>7.0833333333333331E-2</v>
      </c>
    </row>
    <row r="904" spans="1:14" x14ac:dyDescent="0.3">
      <c r="A904" s="3" t="s">
        <v>21</v>
      </c>
      <c r="B904" s="3">
        <v>100000</v>
      </c>
      <c r="C904" s="3" t="s">
        <v>12</v>
      </c>
      <c r="D904" s="3" t="s">
        <v>1594</v>
      </c>
      <c r="E904" s="3" t="s">
        <v>1575</v>
      </c>
      <c r="F904" s="3" t="s">
        <v>1532</v>
      </c>
      <c r="G904" s="3" t="s">
        <v>1533</v>
      </c>
      <c r="H904" s="4">
        <v>39853.580555555556</v>
      </c>
      <c r="I904" s="3">
        <v>43.6666667</v>
      </c>
      <c r="J904" s="3">
        <v>-79.416666699999993</v>
      </c>
      <c r="K904" s="5"/>
      <c r="L904" s="5">
        <f t="shared" si="28"/>
        <v>2009</v>
      </c>
      <c r="M904" s="5">
        <f t="shared" si="29"/>
        <v>39853</v>
      </c>
      <c r="N904" s="18">
        <v>0.45694444444444443</v>
      </c>
    </row>
    <row r="905" spans="1:14" x14ac:dyDescent="0.3">
      <c r="A905" s="6" t="s">
        <v>21</v>
      </c>
      <c r="B905" s="6">
        <v>100000</v>
      </c>
      <c r="C905" s="6" t="s">
        <v>12</v>
      </c>
      <c r="D905" s="6" t="s">
        <v>1595</v>
      </c>
      <c r="E905" s="6" t="s">
        <v>1587</v>
      </c>
      <c r="F905" s="6" t="s">
        <v>1532</v>
      </c>
      <c r="G905" s="6" t="s">
        <v>1533</v>
      </c>
      <c r="H905" s="7">
        <v>39853.765277777777</v>
      </c>
      <c r="I905" s="6">
        <v>46.3</v>
      </c>
      <c r="J905" s="6">
        <v>-79.45</v>
      </c>
      <c r="K905" s="8"/>
      <c r="L905" s="5">
        <f t="shared" si="28"/>
        <v>2009</v>
      </c>
      <c r="M905" s="5">
        <f t="shared" si="29"/>
        <v>39853</v>
      </c>
      <c r="N905" s="18">
        <v>0.22708333333333333</v>
      </c>
    </row>
    <row r="906" spans="1:14" x14ac:dyDescent="0.3">
      <c r="A906" s="3" t="s">
        <v>11</v>
      </c>
      <c r="B906" s="3">
        <v>1200</v>
      </c>
      <c r="C906" s="3" t="s">
        <v>12</v>
      </c>
      <c r="D906" s="3" t="s">
        <v>1034</v>
      </c>
      <c r="E906" s="3" t="s">
        <v>1543</v>
      </c>
      <c r="F906" s="3" t="s">
        <v>1542</v>
      </c>
      <c r="G906" s="3" t="s">
        <v>1533</v>
      </c>
      <c r="H906" s="4">
        <v>39854.489583333336</v>
      </c>
      <c r="I906" s="3">
        <v>51.0833333</v>
      </c>
      <c r="J906" s="3">
        <v>-114.08333330000001</v>
      </c>
      <c r="K906" s="5"/>
      <c r="L906" s="8">
        <f t="shared" si="28"/>
        <v>2009</v>
      </c>
      <c r="M906" s="8">
        <f t="shared" si="29"/>
        <v>39854</v>
      </c>
      <c r="N906" s="19">
        <v>0.52847222222222223</v>
      </c>
    </row>
    <row r="907" spans="1:14" x14ac:dyDescent="0.3">
      <c r="A907" s="6" t="s">
        <v>21</v>
      </c>
      <c r="B907" s="6">
        <v>100000</v>
      </c>
      <c r="C907" s="6" t="s">
        <v>17</v>
      </c>
      <c r="D907" s="6" t="s">
        <v>66</v>
      </c>
      <c r="E907" s="6" t="s">
        <v>1550</v>
      </c>
      <c r="F907" s="6" t="s">
        <v>1536</v>
      </c>
      <c r="G907" s="6" t="s">
        <v>1533</v>
      </c>
      <c r="H907" s="7">
        <v>39854.506249999999</v>
      </c>
      <c r="I907" s="6">
        <v>49.25</v>
      </c>
      <c r="J907" s="6">
        <v>-123.1333333</v>
      </c>
      <c r="K907" s="8"/>
      <c r="L907" s="5">
        <f t="shared" si="28"/>
        <v>2009</v>
      </c>
      <c r="M907" s="5">
        <f t="shared" si="29"/>
        <v>39854</v>
      </c>
      <c r="N907" s="18">
        <v>0.53749999999999998</v>
      </c>
    </row>
    <row r="908" spans="1:14" x14ac:dyDescent="0.3">
      <c r="A908" s="3" t="s">
        <v>11</v>
      </c>
      <c r="B908" s="3">
        <v>1200</v>
      </c>
      <c r="C908" s="3" t="s">
        <v>17</v>
      </c>
      <c r="D908" s="3" t="s">
        <v>1596</v>
      </c>
      <c r="E908" s="3" t="s">
        <v>1597</v>
      </c>
      <c r="F908" s="3" t="s">
        <v>1532</v>
      </c>
      <c r="G908" s="3" t="s">
        <v>1533</v>
      </c>
      <c r="H908" s="4">
        <v>39854.924305555556</v>
      </c>
      <c r="I908" s="3">
        <v>44.6</v>
      </c>
      <c r="J908" s="3">
        <v>-79.416666699999993</v>
      </c>
      <c r="K908" s="5"/>
      <c r="L908" s="8">
        <f t="shared" si="28"/>
        <v>2009</v>
      </c>
      <c r="M908" s="8">
        <f t="shared" si="29"/>
        <v>39854</v>
      </c>
      <c r="N908" s="19">
        <v>0.53194444444444444</v>
      </c>
    </row>
    <row r="909" spans="1:14" x14ac:dyDescent="0.3">
      <c r="A909" s="6" t="s">
        <v>11</v>
      </c>
      <c r="B909" s="6">
        <v>1200</v>
      </c>
      <c r="C909" s="6" t="s">
        <v>12</v>
      </c>
      <c r="D909" s="6" t="s">
        <v>1598</v>
      </c>
      <c r="E909" s="6" t="s">
        <v>1599</v>
      </c>
      <c r="F909" s="6" t="s">
        <v>1532</v>
      </c>
      <c r="G909" s="6" t="s">
        <v>1533</v>
      </c>
      <c r="H909" s="7">
        <v>39855.364583333336</v>
      </c>
      <c r="I909" s="6">
        <v>44.316666699999999</v>
      </c>
      <c r="J909" s="6">
        <v>-80.099999999999994</v>
      </c>
      <c r="K909" s="8"/>
      <c r="L909" s="5">
        <f t="shared" si="28"/>
        <v>2009</v>
      </c>
      <c r="M909" s="5">
        <f t="shared" si="29"/>
        <v>39855</v>
      </c>
      <c r="N909" s="18">
        <v>0.41319444444444442</v>
      </c>
    </row>
    <row r="910" spans="1:14" x14ac:dyDescent="0.3">
      <c r="A910" s="3" t="s">
        <v>11</v>
      </c>
      <c r="B910" s="3">
        <v>1200</v>
      </c>
      <c r="C910" s="3" t="s">
        <v>65</v>
      </c>
      <c r="D910" s="3" t="s">
        <v>1600</v>
      </c>
      <c r="E910" s="3" t="s">
        <v>1601</v>
      </c>
      <c r="F910" s="3" t="s">
        <v>1542</v>
      </c>
      <c r="G910" s="3" t="s">
        <v>1533</v>
      </c>
      <c r="H910" s="4">
        <v>39855.601388888892</v>
      </c>
      <c r="I910" s="3">
        <v>53.55</v>
      </c>
      <c r="J910" s="3">
        <v>-113.5</v>
      </c>
      <c r="K910" s="5"/>
      <c r="L910" s="8">
        <f t="shared" si="28"/>
        <v>2009</v>
      </c>
      <c r="M910" s="8">
        <f t="shared" si="29"/>
        <v>39855</v>
      </c>
      <c r="N910" s="19">
        <v>0.3576388888888889</v>
      </c>
    </row>
    <row r="911" spans="1:14" x14ac:dyDescent="0.3">
      <c r="A911" s="6" t="s">
        <v>11</v>
      </c>
      <c r="B911" s="6">
        <v>1200</v>
      </c>
      <c r="C911" s="6" t="s">
        <v>65</v>
      </c>
      <c r="D911" s="6" t="s">
        <v>1602</v>
      </c>
      <c r="E911" s="6" t="s">
        <v>1569</v>
      </c>
      <c r="F911" s="6" t="s">
        <v>1536</v>
      </c>
      <c r="G911" s="6" t="s">
        <v>1533</v>
      </c>
      <c r="H911" s="7">
        <v>39855.84652777778</v>
      </c>
      <c r="I911" s="6">
        <v>49.9</v>
      </c>
      <c r="J911" s="6">
        <v>-119.4833333</v>
      </c>
      <c r="K911" s="8"/>
      <c r="L911" s="5">
        <f t="shared" si="28"/>
        <v>2009</v>
      </c>
      <c r="M911" s="5">
        <f t="shared" si="29"/>
        <v>39855</v>
      </c>
      <c r="N911" s="18">
        <v>0.35069444444444442</v>
      </c>
    </row>
    <row r="912" spans="1:14" x14ac:dyDescent="0.3">
      <c r="A912" s="3" t="s">
        <v>11</v>
      </c>
      <c r="B912" s="3">
        <v>1200</v>
      </c>
      <c r="C912" s="3" t="s">
        <v>12</v>
      </c>
      <c r="D912" s="3" t="s">
        <v>509</v>
      </c>
      <c r="E912" s="3" t="s">
        <v>1575</v>
      </c>
      <c r="F912" s="3" t="s">
        <v>1532</v>
      </c>
      <c r="G912" s="3" t="s">
        <v>1533</v>
      </c>
      <c r="H912" s="4">
        <v>39855.875694444447</v>
      </c>
      <c r="I912" s="3">
        <v>43.6666667</v>
      </c>
      <c r="J912" s="3">
        <v>-79.416666699999993</v>
      </c>
      <c r="K912" s="5"/>
      <c r="L912" s="5">
        <f t="shared" si="28"/>
        <v>2009</v>
      </c>
      <c r="M912" s="5">
        <f t="shared" si="29"/>
        <v>39855</v>
      </c>
      <c r="N912" s="18">
        <v>0.41180555555555554</v>
      </c>
    </row>
    <row r="913" spans="1:14" x14ac:dyDescent="0.3">
      <c r="A913" s="6" t="s">
        <v>11</v>
      </c>
      <c r="B913" s="6">
        <v>1200</v>
      </c>
      <c r="C913" s="6" t="s">
        <v>65</v>
      </c>
      <c r="D913" s="6" t="s">
        <v>593</v>
      </c>
      <c r="E913" s="6" t="s">
        <v>1566</v>
      </c>
      <c r="F913" s="6" t="s">
        <v>1559</v>
      </c>
      <c r="G913" s="6" t="s">
        <v>1533</v>
      </c>
      <c r="H913" s="7">
        <v>39857.345833333333</v>
      </c>
      <c r="I913" s="6">
        <v>45.5</v>
      </c>
      <c r="J913" s="6">
        <v>-73.583333300000007</v>
      </c>
      <c r="K913" s="8"/>
      <c r="L913" s="8">
        <f t="shared" si="28"/>
        <v>2009</v>
      </c>
      <c r="M913" s="8">
        <f t="shared" si="29"/>
        <v>39857</v>
      </c>
      <c r="N913" s="19">
        <v>0.49722222222222223</v>
      </c>
    </row>
    <row r="914" spans="1:14" x14ac:dyDescent="0.3">
      <c r="A914" s="3" t="s">
        <v>11</v>
      </c>
      <c r="B914" s="3">
        <v>1200</v>
      </c>
      <c r="C914" s="3" t="s">
        <v>12</v>
      </c>
      <c r="D914" s="3" t="s">
        <v>1603</v>
      </c>
      <c r="E914" s="3" t="s">
        <v>1604</v>
      </c>
      <c r="F914" s="3" t="s">
        <v>1536</v>
      </c>
      <c r="G914" s="3" t="s">
        <v>1533</v>
      </c>
      <c r="H914" s="4">
        <v>39858.925000000003</v>
      </c>
      <c r="I914" s="3">
        <v>49.316666699999999</v>
      </c>
      <c r="J914" s="3">
        <v>-123.0666667</v>
      </c>
      <c r="K914" s="5"/>
      <c r="L914" s="5">
        <f t="shared" si="28"/>
        <v>2009</v>
      </c>
      <c r="M914" s="5">
        <f t="shared" si="29"/>
        <v>39858</v>
      </c>
      <c r="N914" s="18">
        <v>0.37361111111111112</v>
      </c>
    </row>
    <row r="915" spans="1:14" x14ac:dyDescent="0.3">
      <c r="A915" s="6" t="s">
        <v>11</v>
      </c>
      <c r="B915" s="6">
        <v>1200</v>
      </c>
      <c r="C915" s="6" t="s">
        <v>65</v>
      </c>
      <c r="D915" s="6" t="s">
        <v>1605</v>
      </c>
      <c r="E915" s="6" t="s">
        <v>1606</v>
      </c>
      <c r="F915" s="6" t="s">
        <v>1536</v>
      </c>
      <c r="G915" s="6" t="s">
        <v>1533</v>
      </c>
      <c r="H915" s="7">
        <v>39859.573611111111</v>
      </c>
      <c r="I915" s="6">
        <v>49.25</v>
      </c>
      <c r="J915" s="6">
        <v>-122.95</v>
      </c>
      <c r="K915" s="8"/>
      <c r="L915" s="8">
        <f t="shared" si="28"/>
        <v>2009</v>
      </c>
      <c r="M915" s="8">
        <f t="shared" si="29"/>
        <v>39859</v>
      </c>
      <c r="N915" s="19">
        <v>0.44722222222222224</v>
      </c>
    </row>
    <row r="916" spans="1:14" x14ac:dyDescent="0.3">
      <c r="A916" s="3" t="s">
        <v>11</v>
      </c>
      <c r="B916" s="3">
        <v>1200</v>
      </c>
      <c r="C916" s="3" t="s">
        <v>12</v>
      </c>
      <c r="D916" s="3" t="s">
        <v>86</v>
      </c>
      <c r="E916" s="3" t="s">
        <v>1607</v>
      </c>
      <c r="F916" s="3" t="s">
        <v>1532</v>
      </c>
      <c r="G916" s="3" t="s">
        <v>1533</v>
      </c>
      <c r="H916" s="4">
        <v>39861.261805555558</v>
      </c>
      <c r="I916" s="3">
        <v>45.016666700000002</v>
      </c>
      <c r="J916" s="3">
        <v>-74.733333299999998</v>
      </c>
      <c r="K916" s="5"/>
      <c r="L916" s="5">
        <f t="shared" si="28"/>
        <v>2009</v>
      </c>
      <c r="M916" s="5">
        <f t="shared" si="29"/>
        <v>39861</v>
      </c>
      <c r="N916" s="18">
        <v>0.27986111111111112</v>
      </c>
    </row>
    <row r="917" spans="1:14" x14ac:dyDescent="0.3">
      <c r="A917" s="6" t="s">
        <v>11</v>
      </c>
      <c r="B917" s="6">
        <v>1200</v>
      </c>
      <c r="C917" s="6" t="s">
        <v>12</v>
      </c>
      <c r="D917" s="6" t="s">
        <v>668</v>
      </c>
      <c r="E917" s="6" t="s">
        <v>1608</v>
      </c>
      <c r="F917" s="6" t="s">
        <v>1532</v>
      </c>
      <c r="G917" s="6" t="s">
        <v>1533</v>
      </c>
      <c r="H917" s="7">
        <v>39861.277083333334</v>
      </c>
      <c r="I917" s="6">
        <v>43.966666699999998</v>
      </c>
      <c r="J917" s="6">
        <v>-80.733333299999998</v>
      </c>
      <c r="K917" s="8"/>
      <c r="L917" s="8">
        <f t="shared" si="28"/>
        <v>2009</v>
      </c>
      <c r="M917" s="8">
        <f t="shared" si="29"/>
        <v>39861</v>
      </c>
      <c r="N917" s="19">
        <v>0.44722222222222224</v>
      </c>
    </row>
    <row r="918" spans="1:14" x14ac:dyDescent="0.3">
      <c r="A918" s="3" t="s">
        <v>11</v>
      </c>
      <c r="B918" s="3">
        <v>1200</v>
      </c>
      <c r="C918" s="3" t="s">
        <v>12</v>
      </c>
      <c r="D918" s="3" t="s">
        <v>1609</v>
      </c>
      <c r="E918" s="3" t="s">
        <v>1610</v>
      </c>
      <c r="F918" s="3" t="s">
        <v>1559</v>
      </c>
      <c r="G918" s="3" t="s">
        <v>1533</v>
      </c>
      <c r="H918" s="4">
        <v>39861.388194444444</v>
      </c>
      <c r="I918" s="3">
        <v>45.533333300000002</v>
      </c>
      <c r="J918" s="3">
        <v>-73.716666700000005</v>
      </c>
      <c r="K918" s="5"/>
      <c r="L918" s="5">
        <f t="shared" si="28"/>
        <v>2009</v>
      </c>
      <c r="M918" s="5">
        <f t="shared" si="29"/>
        <v>39861</v>
      </c>
      <c r="N918" s="18">
        <v>0.53888888888888886</v>
      </c>
    </row>
    <row r="919" spans="1:14" x14ac:dyDescent="0.3">
      <c r="A919" s="6" t="s">
        <v>11</v>
      </c>
      <c r="B919" s="6">
        <v>1200</v>
      </c>
      <c r="C919" s="6" t="s">
        <v>12</v>
      </c>
      <c r="D919" s="6" t="s">
        <v>1611</v>
      </c>
      <c r="E919" s="6" t="s">
        <v>1612</v>
      </c>
      <c r="F919" s="6" t="s">
        <v>1559</v>
      </c>
      <c r="G919" s="6" t="s">
        <v>1533</v>
      </c>
      <c r="H919" s="7">
        <v>39861.523611111108</v>
      </c>
      <c r="I919" s="6">
        <v>45.633333299999997</v>
      </c>
      <c r="J919" s="6">
        <v>-73.849999999999994</v>
      </c>
      <c r="K919" s="8"/>
      <c r="L919" s="5">
        <f t="shared" si="28"/>
        <v>2009</v>
      </c>
      <c r="M919" s="5">
        <f t="shared" si="29"/>
        <v>39861</v>
      </c>
      <c r="N919" s="18">
        <v>0.38541666666666669</v>
      </c>
    </row>
    <row r="920" spans="1:14" x14ac:dyDescent="0.3">
      <c r="A920" s="3" t="s">
        <v>11</v>
      </c>
      <c r="B920" s="3">
        <v>1200</v>
      </c>
      <c r="C920" s="3" t="s">
        <v>12</v>
      </c>
      <c r="D920" s="3" t="s">
        <v>1613</v>
      </c>
      <c r="E920" s="3" t="s">
        <v>1543</v>
      </c>
      <c r="F920" s="3" t="s">
        <v>1542</v>
      </c>
      <c r="G920" s="3" t="s">
        <v>1533</v>
      </c>
      <c r="H920" s="4">
        <v>39861.636805555558</v>
      </c>
      <c r="I920" s="3">
        <v>51.0833333</v>
      </c>
      <c r="J920" s="3">
        <v>-114.08333330000001</v>
      </c>
      <c r="K920" s="5"/>
      <c r="L920" s="8">
        <f t="shared" si="28"/>
        <v>2009</v>
      </c>
      <c r="M920" s="8">
        <f t="shared" si="29"/>
        <v>39861</v>
      </c>
      <c r="N920" s="19">
        <v>0.43472222222222223</v>
      </c>
    </row>
    <row r="921" spans="1:14" x14ac:dyDescent="0.3">
      <c r="A921" s="6" t="s">
        <v>11</v>
      </c>
      <c r="B921" s="6">
        <v>1200</v>
      </c>
      <c r="C921" s="6" t="s">
        <v>12</v>
      </c>
      <c r="D921" s="6" t="s">
        <v>1614</v>
      </c>
      <c r="E921" s="6" t="s">
        <v>1615</v>
      </c>
      <c r="F921" s="6" t="s">
        <v>1532</v>
      </c>
      <c r="G921" s="6" t="s">
        <v>1533</v>
      </c>
      <c r="H921" s="7">
        <v>39861.755555555559</v>
      </c>
      <c r="I921" s="6">
        <v>43.55</v>
      </c>
      <c r="J921" s="6">
        <v>-80.25</v>
      </c>
      <c r="K921" s="8"/>
      <c r="L921" s="5">
        <f t="shared" si="28"/>
        <v>2009</v>
      </c>
      <c r="M921" s="5">
        <f t="shared" si="29"/>
        <v>39861</v>
      </c>
      <c r="N921" s="18">
        <v>0.30972222222222223</v>
      </c>
    </row>
    <row r="922" spans="1:14" x14ac:dyDescent="0.3">
      <c r="A922" s="3" t="s">
        <v>11</v>
      </c>
      <c r="B922" s="3">
        <v>1200</v>
      </c>
      <c r="C922" s="3" t="s">
        <v>12</v>
      </c>
      <c r="D922" s="3" t="s">
        <v>1447</v>
      </c>
      <c r="E922" s="3" t="s">
        <v>1601</v>
      </c>
      <c r="F922" s="3" t="s">
        <v>1542</v>
      </c>
      <c r="G922" s="3" t="s">
        <v>1533</v>
      </c>
      <c r="H922" s="4">
        <v>39862.404166666667</v>
      </c>
      <c r="I922" s="3">
        <v>53.55</v>
      </c>
      <c r="J922" s="3">
        <v>-113.5</v>
      </c>
      <c r="K922" s="5"/>
      <c r="L922" s="8">
        <f t="shared" si="28"/>
        <v>2009</v>
      </c>
      <c r="M922" s="8">
        <f t="shared" si="29"/>
        <v>39862</v>
      </c>
      <c r="N922" s="19">
        <v>0.37361111111111112</v>
      </c>
    </row>
    <row r="923" spans="1:14" x14ac:dyDescent="0.3">
      <c r="A923" s="6" t="s">
        <v>11</v>
      </c>
      <c r="B923" s="6">
        <v>1200</v>
      </c>
      <c r="C923" s="6" t="s">
        <v>17</v>
      </c>
      <c r="D923" s="6" t="s">
        <v>83</v>
      </c>
      <c r="E923" s="6" t="s">
        <v>1616</v>
      </c>
      <c r="F923" s="6" t="s">
        <v>1532</v>
      </c>
      <c r="G923" s="6" t="s">
        <v>1533</v>
      </c>
      <c r="H923" s="7">
        <v>39862.78402777778</v>
      </c>
      <c r="I923" s="6">
        <v>42.8333333</v>
      </c>
      <c r="J923" s="6">
        <v>-80.3</v>
      </c>
      <c r="K923" s="8"/>
      <c r="L923" s="5">
        <f t="shared" si="28"/>
        <v>2009</v>
      </c>
      <c r="M923" s="5">
        <f t="shared" si="29"/>
        <v>39862</v>
      </c>
      <c r="N923" s="18">
        <v>0.42638888888888887</v>
      </c>
    </row>
    <row r="924" spans="1:14" x14ac:dyDescent="0.3">
      <c r="A924" s="3" t="s">
        <v>11</v>
      </c>
      <c r="B924" s="3">
        <v>1200</v>
      </c>
      <c r="C924" s="3" t="s">
        <v>12</v>
      </c>
      <c r="D924" s="3" t="s">
        <v>1617</v>
      </c>
      <c r="E924" s="3" t="s">
        <v>1320</v>
      </c>
      <c r="F924" s="3" t="s">
        <v>1532</v>
      </c>
      <c r="G924" s="3" t="s">
        <v>1533</v>
      </c>
      <c r="H924" s="4">
        <v>39864.352083333331</v>
      </c>
      <c r="I924" s="3">
        <v>42.933333300000001</v>
      </c>
      <c r="J924" s="3">
        <v>-80.283333299999995</v>
      </c>
      <c r="K924" s="5"/>
      <c r="L924" s="8">
        <f t="shared" si="28"/>
        <v>2009</v>
      </c>
      <c r="M924" s="8">
        <f t="shared" si="29"/>
        <v>39864</v>
      </c>
      <c r="N924" s="19">
        <v>5.9722222222222225E-2</v>
      </c>
    </row>
    <row r="925" spans="1:14" x14ac:dyDescent="0.3">
      <c r="A925" s="6" t="s">
        <v>11</v>
      </c>
      <c r="B925" s="6">
        <v>1200</v>
      </c>
      <c r="C925" s="6" t="s">
        <v>65</v>
      </c>
      <c r="D925" s="6" t="s">
        <v>261</v>
      </c>
      <c r="E925" s="6" t="s">
        <v>1550</v>
      </c>
      <c r="F925" s="6" t="s">
        <v>1536</v>
      </c>
      <c r="G925" s="6" t="s">
        <v>1533</v>
      </c>
      <c r="H925" s="7">
        <v>39864.532638888886</v>
      </c>
      <c r="I925" s="6">
        <v>49.25</v>
      </c>
      <c r="J925" s="6">
        <v>-123.1333333</v>
      </c>
      <c r="K925" s="8"/>
      <c r="L925" s="5">
        <f t="shared" si="28"/>
        <v>2009</v>
      </c>
      <c r="M925" s="5">
        <f t="shared" si="29"/>
        <v>39864</v>
      </c>
      <c r="N925" s="18">
        <v>0.17222222222222222</v>
      </c>
    </row>
    <row r="926" spans="1:14" x14ac:dyDescent="0.3">
      <c r="A926" s="3" t="s">
        <v>21</v>
      </c>
      <c r="B926" s="3">
        <v>100000</v>
      </c>
      <c r="C926" s="3" t="s">
        <v>17</v>
      </c>
      <c r="D926" s="3" t="s">
        <v>1618</v>
      </c>
      <c r="E926" s="3" t="s">
        <v>1619</v>
      </c>
      <c r="F926" s="3" t="s">
        <v>1536</v>
      </c>
      <c r="G926" s="3" t="s">
        <v>1533</v>
      </c>
      <c r="H926" s="4">
        <v>39864.90625</v>
      </c>
      <c r="I926" s="3">
        <v>49.883333299999997</v>
      </c>
      <c r="J926" s="3">
        <v>-124.55</v>
      </c>
      <c r="K926" s="5"/>
      <c r="L926" s="5">
        <f t="shared" si="28"/>
        <v>2009</v>
      </c>
      <c r="M926" s="5">
        <f t="shared" si="29"/>
        <v>39864</v>
      </c>
      <c r="N926" s="18">
        <v>0.42916666666666664</v>
      </c>
    </row>
    <row r="927" spans="1:14" x14ac:dyDescent="0.3">
      <c r="A927" s="6" t="s">
        <v>11</v>
      </c>
      <c r="B927" s="6">
        <v>1200</v>
      </c>
      <c r="C927" s="6" t="s">
        <v>12</v>
      </c>
      <c r="D927" s="6" t="s">
        <v>1620</v>
      </c>
      <c r="E927" s="6" t="s">
        <v>1550</v>
      </c>
      <c r="F927" s="6" t="s">
        <v>1536</v>
      </c>
      <c r="G927" s="6" t="s">
        <v>1533</v>
      </c>
      <c r="H927" s="7">
        <v>39865.855555555558</v>
      </c>
      <c r="I927" s="6">
        <v>49.25</v>
      </c>
      <c r="J927" s="6">
        <v>-123.1333333</v>
      </c>
      <c r="K927" s="8"/>
      <c r="L927" s="8">
        <f t="shared" si="28"/>
        <v>2009</v>
      </c>
      <c r="M927" s="8">
        <f t="shared" si="29"/>
        <v>39865</v>
      </c>
      <c r="N927" s="19">
        <v>0.40277777777777779</v>
      </c>
    </row>
    <row r="928" spans="1:14" x14ac:dyDescent="0.3">
      <c r="A928" s="3" t="s">
        <v>11</v>
      </c>
      <c r="B928" s="3">
        <v>1200</v>
      </c>
      <c r="C928" s="3" t="s">
        <v>17</v>
      </c>
      <c r="D928" s="3" t="s">
        <v>1621</v>
      </c>
      <c r="E928" s="3" t="s">
        <v>1531</v>
      </c>
      <c r="F928" s="3" t="s">
        <v>1532</v>
      </c>
      <c r="G928" s="3" t="s">
        <v>1533</v>
      </c>
      <c r="H928" s="4">
        <v>39866.67083333333</v>
      </c>
      <c r="I928" s="3">
        <v>45.4166667</v>
      </c>
      <c r="J928" s="3">
        <v>-75.7</v>
      </c>
      <c r="K928" s="5"/>
      <c r="L928" s="5">
        <f t="shared" si="28"/>
        <v>2009</v>
      </c>
      <c r="M928" s="5">
        <f t="shared" si="29"/>
        <v>39866</v>
      </c>
      <c r="N928" s="18">
        <v>0.30416666666666664</v>
      </c>
    </row>
    <row r="929" spans="1:14" x14ac:dyDescent="0.3">
      <c r="A929" s="6" t="s">
        <v>21</v>
      </c>
      <c r="B929" s="6">
        <v>3600</v>
      </c>
      <c r="C929" s="6" t="s">
        <v>17</v>
      </c>
      <c r="D929" s="6" t="s">
        <v>84</v>
      </c>
      <c r="E929" s="6" t="s">
        <v>1622</v>
      </c>
      <c r="F929" s="6" t="s">
        <v>1536</v>
      </c>
      <c r="G929" s="6" t="s">
        <v>1533</v>
      </c>
      <c r="H929" s="7">
        <v>39867.371527777781</v>
      </c>
      <c r="I929" s="6">
        <v>49.133333299999997</v>
      </c>
      <c r="J929" s="6">
        <v>-122.3</v>
      </c>
      <c r="K929" s="8"/>
      <c r="L929" s="8">
        <f t="shared" si="28"/>
        <v>2009</v>
      </c>
      <c r="M929" s="8">
        <f t="shared" si="29"/>
        <v>39867</v>
      </c>
      <c r="N929" s="19">
        <v>0.36041666666666666</v>
      </c>
    </row>
    <row r="930" spans="1:14" x14ac:dyDescent="0.3">
      <c r="A930" s="3" t="s">
        <v>21</v>
      </c>
      <c r="B930" s="3">
        <v>200000</v>
      </c>
      <c r="C930" s="3" t="s">
        <v>12</v>
      </c>
      <c r="D930" s="3" t="s">
        <v>627</v>
      </c>
      <c r="E930" s="3" t="s">
        <v>1575</v>
      </c>
      <c r="F930" s="3" t="s">
        <v>1532</v>
      </c>
      <c r="G930" s="3" t="s">
        <v>1533</v>
      </c>
      <c r="H930" s="4">
        <v>39867.815972222219</v>
      </c>
      <c r="I930" s="3">
        <v>43.6666667</v>
      </c>
      <c r="J930" s="3">
        <v>-79.416666699999993</v>
      </c>
      <c r="K930" s="5"/>
      <c r="L930" s="5">
        <f t="shared" si="28"/>
        <v>2009</v>
      </c>
      <c r="M930" s="5">
        <f t="shared" si="29"/>
        <v>39867</v>
      </c>
      <c r="N930" s="18">
        <v>0.22430555555555556</v>
      </c>
    </row>
    <row r="931" spans="1:14" x14ac:dyDescent="0.3">
      <c r="A931" s="6" t="s">
        <v>11</v>
      </c>
      <c r="B931" s="6">
        <v>1200</v>
      </c>
      <c r="C931" s="6" t="s">
        <v>17</v>
      </c>
      <c r="D931" s="6" t="s">
        <v>1623</v>
      </c>
      <c r="E931" s="6" t="s">
        <v>1601</v>
      </c>
      <c r="F931" s="6" t="s">
        <v>1542</v>
      </c>
      <c r="G931" s="6" t="s">
        <v>1533</v>
      </c>
      <c r="H931" s="7">
        <v>39868.505555555559</v>
      </c>
      <c r="I931" s="6">
        <v>53.55</v>
      </c>
      <c r="J931" s="6">
        <v>-113.5</v>
      </c>
      <c r="K931" s="8"/>
      <c r="L931" s="8">
        <f t="shared" si="28"/>
        <v>2009</v>
      </c>
      <c r="M931" s="8">
        <f t="shared" si="29"/>
        <v>39868</v>
      </c>
      <c r="N931" s="19">
        <v>0.43888888888888888</v>
      </c>
    </row>
    <row r="932" spans="1:14" x14ac:dyDescent="0.3">
      <c r="A932" s="3" t="s">
        <v>11</v>
      </c>
      <c r="B932" s="3">
        <v>1200</v>
      </c>
      <c r="C932" s="3" t="s">
        <v>65</v>
      </c>
      <c r="D932" s="3" t="s">
        <v>235</v>
      </c>
      <c r="E932" s="3" t="s">
        <v>1543</v>
      </c>
      <c r="F932" s="3" t="s">
        <v>1542</v>
      </c>
      <c r="G932" s="3" t="s">
        <v>1533</v>
      </c>
      <c r="H932" s="4">
        <v>39868.736805555556</v>
      </c>
      <c r="I932" s="3">
        <v>51.0833333</v>
      </c>
      <c r="J932" s="3">
        <v>-114.08333330000001</v>
      </c>
      <c r="K932" s="5"/>
      <c r="L932" s="5">
        <f t="shared" si="28"/>
        <v>2009</v>
      </c>
      <c r="M932" s="5">
        <f t="shared" si="29"/>
        <v>39868</v>
      </c>
      <c r="N932" s="18">
        <v>0.50208333333333333</v>
      </c>
    </row>
    <row r="933" spans="1:14" x14ac:dyDescent="0.3">
      <c r="A933" s="6" t="s">
        <v>11</v>
      </c>
      <c r="B933" s="6">
        <v>1200</v>
      </c>
      <c r="C933" s="6" t="s">
        <v>12</v>
      </c>
      <c r="D933" s="6" t="s">
        <v>420</v>
      </c>
      <c r="E933" s="6" t="s">
        <v>551</v>
      </c>
      <c r="F933" s="6" t="s">
        <v>1559</v>
      </c>
      <c r="G933" s="6" t="s">
        <v>1533</v>
      </c>
      <c r="H933" s="7">
        <v>39869.636111111111</v>
      </c>
      <c r="I933" s="6">
        <v>45.95</v>
      </c>
      <c r="J933" s="6">
        <v>-71.983333299999998</v>
      </c>
      <c r="K933" s="8"/>
      <c r="L933" s="5">
        <f t="shared" si="28"/>
        <v>2009</v>
      </c>
      <c r="M933" s="5">
        <f t="shared" si="29"/>
        <v>39869</v>
      </c>
      <c r="N933" s="18">
        <v>5.9722222222222225E-2</v>
      </c>
    </row>
    <row r="934" spans="1:14" x14ac:dyDescent="0.3">
      <c r="A934" s="3" t="s">
        <v>21</v>
      </c>
      <c r="B934" s="3">
        <v>200000</v>
      </c>
      <c r="C934" s="3" t="s">
        <v>12</v>
      </c>
      <c r="D934" s="3" t="s">
        <v>51</v>
      </c>
      <c r="E934" s="3" t="s">
        <v>1531</v>
      </c>
      <c r="F934" s="3" t="s">
        <v>1532</v>
      </c>
      <c r="G934" s="3" t="s">
        <v>1533</v>
      </c>
      <c r="H934" s="4">
        <v>39869.71875</v>
      </c>
      <c r="I934" s="3">
        <v>45.4166667</v>
      </c>
      <c r="J934" s="3">
        <v>-75.7</v>
      </c>
      <c r="K934" s="5"/>
      <c r="L934" s="8">
        <f t="shared" si="28"/>
        <v>2009</v>
      </c>
      <c r="M934" s="8">
        <f t="shared" si="29"/>
        <v>39869</v>
      </c>
      <c r="N934" s="19">
        <v>0.16597222222222222</v>
      </c>
    </row>
    <row r="935" spans="1:14" x14ac:dyDescent="0.3">
      <c r="A935" s="6" t="s">
        <v>21</v>
      </c>
      <c r="B935" s="6">
        <v>200000</v>
      </c>
      <c r="C935" s="6" t="s">
        <v>17</v>
      </c>
      <c r="D935" s="6" t="s">
        <v>386</v>
      </c>
      <c r="E935" s="6" t="s">
        <v>1575</v>
      </c>
      <c r="F935" s="6" t="s">
        <v>1532</v>
      </c>
      <c r="G935" s="6" t="s">
        <v>1533</v>
      </c>
      <c r="H935" s="7">
        <v>39870.47152777778</v>
      </c>
      <c r="I935" s="6">
        <v>43.6666667</v>
      </c>
      <c r="J935" s="6">
        <v>-79.416666699999993</v>
      </c>
      <c r="K935" s="8"/>
      <c r="L935" s="5">
        <f t="shared" si="28"/>
        <v>2009</v>
      </c>
      <c r="M935" s="5">
        <f t="shared" si="29"/>
        <v>39870</v>
      </c>
      <c r="N935" s="18">
        <v>5.486111111111111E-2</v>
      </c>
    </row>
    <row r="936" spans="1:14" x14ac:dyDescent="0.3">
      <c r="A936" s="3" t="s">
        <v>21</v>
      </c>
      <c r="B936" s="3">
        <v>200000</v>
      </c>
      <c r="C936" s="3" t="s">
        <v>17</v>
      </c>
      <c r="D936" s="3" t="s">
        <v>1624</v>
      </c>
      <c r="E936" s="3" t="s">
        <v>1625</v>
      </c>
      <c r="F936" s="3" t="s">
        <v>1626</v>
      </c>
      <c r="G936" s="3" t="s">
        <v>1533</v>
      </c>
      <c r="H936" s="4">
        <v>39870.54583333333</v>
      </c>
      <c r="I936" s="3">
        <v>60.183333300000001</v>
      </c>
      <c r="J936" s="3">
        <v>-134.71666669999999</v>
      </c>
      <c r="K936" s="5"/>
      <c r="L936" s="8">
        <f t="shared" si="28"/>
        <v>2009</v>
      </c>
      <c r="M936" s="8">
        <f t="shared" si="29"/>
        <v>39870</v>
      </c>
      <c r="N936" s="19">
        <v>0.37361111111111112</v>
      </c>
    </row>
    <row r="937" spans="1:14" x14ac:dyDescent="0.3">
      <c r="A937" s="6" t="s">
        <v>21</v>
      </c>
      <c r="B937" s="6">
        <v>200000</v>
      </c>
      <c r="C937" s="6" t="s">
        <v>12</v>
      </c>
      <c r="D937" s="6" t="s">
        <v>1627</v>
      </c>
      <c r="E937" s="6" t="s">
        <v>1543</v>
      </c>
      <c r="F937" s="6" t="s">
        <v>1542</v>
      </c>
      <c r="G937" s="6" t="s">
        <v>1533</v>
      </c>
      <c r="H937" s="7">
        <v>39870.561111111114</v>
      </c>
      <c r="I937" s="6">
        <v>51.0833333</v>
      </c>
      <c r="J937" s="6">
        <v>-114.08333330000001</v>
      </c>
      <c r="K937" s="8"/>
      <c r="L937" s="5">
        <f t="shared" si="28"/>
        <v>2009</v>
      </c>
      <c r="M937" s="5">
        <f t="shared" si="29"/>
        <v>39870</v>
      </c>
      <c r="N937" s="18">
        <v>0.4201388888888889</v>
      </c>
    </row>
    <row r="938" spans="1:14" x14ac:dyDescent="0.3">
      <c r="A938" s="3" t="s">
        <v>11</v>
      </c>
      <c r="B938" s="3">
        <v>1200</v>
      </c>
      <c r="C938" s="3" t="s">
        <v>17</v>
      </c>
      <c r="D938" s="3" t="s">
        <v>1628</v>
      </c>
      <c r="E938" s="3" t="s">
        <v>1629</v>
      </c>
      <c r="F938" s="3" t="s">
        <v>1630</v>
      </c>
      <c r="G938" s="3" t="s">
        <v>1631</v>
      </c>
      <c r="H938" s="4">
        <v>39850.179861111108</v>
      </c>
      <c r="I938" s="3">
        <v>42.35</v>
      </c>
      <c r="J938" s="3">
        <v>25.6666667</v>
      </c>
      <c r="K938" s="5"/>
      <c r="L938" s="8">
        <f t="shared" si="28"/>
        <v>2009</v>
      </c>
      <c r="M938" s="8">
        <f t="shared" si="29"/>
        <v>39850</v>
      </c>
      <c r="N938" s="19">
        <v>0.13819444444444445</v>
      </c>
    </row>
    <row r="939" spans="1:14" x14ac:dyDescent="0.3">
      <c r="A939" s="6" t="s">
        <v>11</v>
      </c>
      <c r="B939" s="6">
        <v>1200</v>
      </c>
      <c r="C939" s="6" t="s">
        <v>17</v>
      </c>
      <c r="D939" s="6" t="s">
        <v>1632</v>
      </c>
      <c r="E939" s="6" t="s">
        <v>1633</v>
      </c>
      <c r="F939" s="6" t="s">
        <v>1634</v>
      </c>
      <c r="G939" s="6" t="s">
        <v>1635</v>
      </c>
      <c r="H939" s="7">
        <v>39844.279166666667</v>
      </c>
      <c r="I939" s="6">
        <v>-3.7166667000000002</v>
      </c>
      <c r="J939" s="6">
        <v>-38.5</v>
      </c>
      <c r="K939" s="8"/>
      <c r="L939" s="5">
        <f t="shared" si="28"/>
        <v>2009</v>
      </c>
      <c r="M939" s="5">
        <f t="shared" si="29"/>
        <v>39844</v>
      </c>
      <c r="N939" s="18">
        <v>0.46458333333333335</v>
      </c>
    </row>
    <row r="940" spans="1:14" x14ac:dyDescent="0.3">
      <c r="A940" s="3" t="s">
        <v>64</v>
      </c>
      <c r="B940" s="3">
        <v>200000</v>
      </c>
      <c r="C940" s="3" t="s">
        <v>17</v>
      </c>
      <c r="D940" s="3" t="s">
        <v>1221</v>
      </c>
      <c r="E940" s="3" t="s">
        <v>1636</v>
      </c>
      <c r="F940" s="3" t="s">
        <v>1637</v>
      </c>
      <c r="G940" s="3" t="s">
        <v>1635</v>
      </c>
      <c r="H940" s="4">
        <v>39846.245833333334</v>
      </c>
      <c r="I940" s="3">
        <v>-22.9</v>
      </c>
      <c r="J940" s="3">
        <v>-47.0833333</v>
      </c>
      <c r="K940" s="5"/>
      <c r="L940" s="5">
        <f t="shared" si="28"/>
        <v>2009</v>
      </c>
      <c r="M940" s="5">
        <f t="shared" si="29"/>
        <v>39846</v>
      </c>
      <c r="N940" s="18">
        <v>0.43888888888888888</v>
      </c>
    </row>
    <row r="941" spans="1:14" x14ac:dyDescent="0.3">
      <c r="A941" s="6" t="s">
        <v>11</v>
      </c>
      <c r="B941" s="6">
        <v>1200</v>
      </c>
      <c r="C941" s="6" t="s">
        <v>12</v>
      </c>
      <c r="D941" s="6" t="s">
        <v>1609</v>
      </c>
      <c r="E941" s="6" t="s">
        <v>1638</v>
      </c>
      <c r="F941" s="6" t="s">
        <v>1639</v>
      </c>
      <c r="G941" s="6" t="s">
        <v>1635</v>
      </c>
      <c r="H941" s="7">
        <v>39861.336805555555</v>
      </c>
      <c r="I941" s="6">
        <v>-30.033333299999999</v>
      </c>
      <c r="J941" s="6">
        <v>-51.2</v>
      </c>
      <c r="K941" s="8"/>
      <c r="L941" s="8">
        <f t="shared" si="28"/>
        <v>2009</v>
      </c>
      <c r="M941" s="8">
        <f t="shared" si="29"/>
        <v>39861</v>
      </c>
      <c r="N941" s="19">
        <v>0.43472222222222223</v>
      </c>
    </row>
    <row r="942" spans="1:14" x14ac:dyDescent="0.3">
      <c r="A942" s="3" t="s">
        <v>11</v>
      </c>
      <c r="B942" s="3">
        <v>1200</v>
      </c>
      <c r="C942" s="3" t="s">
        <v>17</v>
      </c>
      <c r="D942" s="3" t="s">
        <v>1640</v>
      </c>
      <c r="E942" s="3" t="s">
        <v>1641</v>
      </c>
      <c r="F942" s="3" t="s">
        <v>1642</v>
      </c>
      <c r="G942" s="3" t="s">
        <v>1635</v>
      </c>
      <c r="H942" s="4">
        <v>39866.6</v>
      </c>
      <c r="I942" s="3">
        <v>-19.6666667</v>
      </c>
      <c r="J942" s="3">
        <v>-43.9166667</v>
      </c>
      <c r="K942" s="5"/>
      <c r="L942" s="5">
        <f t="shared" si="28"/>
        <v>2009</v>
      </c>
      <c r="M942" s="5">
        <f t="shared" si="29"/>
        <v>39866</v>
      </c>
      <c r="N942" s="18">
        <v>0.32222222222222224</v>
      </c>
    </row>
    <row r="943" spans="1:14" x14ac:dyDescent="0.3">
      <c r="A943" s="6" t="s">
        <v>11</v>
      </c>
      <c r="B943" s="6">
        <v>1200</v>
      </c>
      <c r="C943" s="6" t="s">
        <v>65</v>
      </c>
      <c r="D943" s="6" t="s">
        <v>1643</v>
      </c>
      <c r="E943" s="6" t="s">
        <v>1644</v>
      </c>
      <c r="F943" s="6" t="s">
        <v>1645</v>
      </c>
      <c r="G943" s="6" t="s">
        <v>1635</v>
      </c>
      <c r="H943" s="7">
        <v>39868.42291666667</v>
      </c>
      <c r="I943" s="6">
        <v>-26.118055600000002</v>
      </c>
      <c r="J943" s="6">
        <v>-49.801666699999998</v>
      </c>
      <c r="K943" s="8"/>
      <c r="L943" s="8">
        <f t="shared" si="28"/>
        <v>2009</v>
      </c>
      <c r="M943" s="8">
        <f t="shared" si="29"/>
        <v>39868</v>
      </c>
      <c r="N943" s="19">
        <v>0.24652777777777779</v>
      </c>
    </row>
    <row r="944" spans="1:14" x14ac:dyDescent="0.3">
      <c r="A944" s="3" t="s">
        <v>11</v>
      </c>
      <c r="B944" s="3">
        <v>1200</v>
      </c>
      <c r="C944" s="3" t="s">
        <v>12</v>
      </c>
      <c r="D944" s="3" t="s">
        <v>675</v>
      </c>
      <c r="E944" s="3" t="s">
        <v>1593</v>
      </c>
      <c r="F944" s="3" t="s">
        <v>1593</v>
      </c>
      <c r="G944" s="3" t="s">
        <v>1646</v>
      </c>
      <c r="H944" s="4">
        <v>39869.680555555555</v>
      </c>
      <c r="I944" s="3">
        <v>32.294166699999998</v>
      </c>
      <c r="J944" s="3">
        <v>-64.783888899999994</v>
      </c>
      <c r="K944" s="5"/>
      <c r="L944" s="5">
        <f t="shared" si="28"/>
        <v>2009</v>
      </c>
      <c r="M944" s="5">
        <f t="shared" si="29"/>
        <v>39869</v>
      </c>
      <c r="N944" s="18">
        <v>0.30069444444444443</v>
      </c>
    </row>
    <row r="945" spans="1:14" x14ac:dyDescent="0.3">
      <c r="A945" s="6" t="s">
        <v>11</v>
      </c>
      <c r="B945" s="6">
        <v>1200</v>
      </c>
      <c r="C945" s="6" t="s">
        <v>12</v>
      </c>
      <c r="D945" s="6" t="s">
        <v>541</v>
      </c>
      <c r="E945" s="6" t="s">
        <v>1647</v>
      </c>
      <c r="F945" s="6" t="s">
        <v>1648</v>
      </c>
      <c r="G945" s="6" t="s">
        <v>1649</v>
      </c>
      <c r="H945" s="7">
        <v>39824.568749999999</v>
      </c>
      <c r="I945" s="6">
        <v>50.8333333</v>
      </c>
      <c r="J945" s="6">
        <v>4.3333332999999996</v>
      </c>
      <c r="K945" s="8"/>
      <c r="L945" s="8">
        <f t="shared" si="28"/>
        <v>2009</v>
      </c>
      <c r="M945" s="8">
        <f t="shared" si="29"/>
        <v>39824</v>
      </c>
      <c r="N945" s="19">
        <v>9.5138888888888884E-2</v>
      </c>
    </row>
    <row r="946" spans="1:14" x14ac:dyDescent="0.3">
      <c r="A946" s="3" t="s">
        <v>11</v>
      </c>
      <c r="B946" s="3">
        <v>1200</v>
      </c>
      <c r="C946" s="3" t="s">
        <v>65</v>
      </c>
      <c r="D946" s="3" t="s">
        <v>1650</v>
      </c>
      <c r="E946" s="3" t="s">
        <v>1651</v>
      </c>
      <c r="F946" s="3" t="s">
        <v>1648</v>
      </c>
      <c r="G946" s="3" t="s">
        <v>1649</v>
      </c>
      <c r="H946" s="4">
        <v>39829.370833333334</v>
      </c>
      <c r="I946" s="3">
        <v>50.8333333</v>
      </c>
      <c r="J946" s="3">
        <v>4.3333332999999996</v>
      </c>
      <c r="K946" s="5"/>
      <c r="L946" s="5">
        <f t="shared" si="28"/>
        <v>2009</v>
      </c>
      <c r="M946" s="5">
        <f t="shared" si="29"/>
        <v>39829</v>
      </c>
      <c r="N946" s="18">
        <v>0.30486111111111114</v>
      </c>
    </row>
    <row r="947" spans="1:14" x14ac:dyDescent="0.3">
      <c r="A947" s="6" t="s">
        <v>11</v>
      </c>
      <c r="B947" s="6">
        <v>1200</v>
      </c>
      <c r="C947" s="6" t="s">
        <v>12</v>
      </c>
      <c r="D947" s="6" t="s">
        <v>1652</v>
      </c>
      <c r="E947" s="6" t="s">
        <v>1653</v>
      </c>
      <c r="F947" s="6" t="s">
        <v>1653</v>
      </c>
      <c r="G947" s="6" t="s">
        <v>1649</v>
      </c>
      <c r="H947" s="7">
        <v>39846.239583333336</v>
      </c>
      <c r="I947" s="6">
        <v>51.216666699999998</v>
      </c>
      <c r="J947" s="6">
        <v>4.4166667000000004</v>
      </c>
      <c r="K947" s="8"/>
      <c r="L947" s="5">
        <f t="shared" si="28"/>
        <v>2009</v>
      </c>
      <c r="M947" s="5">
        <f t="shared" si="29"/>
        <v>39846</v>
      </c>
      <c r="N947" s="18">
        <v>0.21736111111111112</v>
      </c>
    </row>
    <row r="948" spans="1:14" x14ac:dyDescent="0.3">
      <c r="A948" s="3" t="s">
        <v>21</v>
      </c>
      <c r="B948" s="3">
        <v>200000</v>
      </c>
      <c r="C948" s="3" t="s">
        <v>12</v>
      </c>
      <c r="D948" s="3" t="s">
        <v>1654</v>
      </c>
      <c r="E948" s="3" t="s">
        <v>1647</v>
      </c>
      <c r="F948" s="3" t="s">
        <v>1648</v>
      </c>
      <c r="G948" s="3" t="s">
        <v>1649</v>
      </c>
      <c r="H948" s="4">
        <v>39852.61041666667</v>
      </c>
      <c r="I948" s="3">
        <v>50.8333333</v>
      </c>
      <c r="J948" s="3">
        <v>4.3333332999999996</v>
      </c>
      <c r="K948" s="5"/>
      <c r="L948" s="8">
        <f t="shared" si="28"/>
        <v>2009</v>
      </c>
      <c r="M948" s="8">
        <f t="shared" si="29"/>
        <v>39852</v>
      </c>
      <c r="N948" s="19">
        <v>7.2222222222222215E-2</v>
      </c>
    </row>
    <row r="949" spans="1:14" x14ac:dyDescent="0.3">
      <c r="A949" s="6" t="s">
        <v>11</v>
      </c>
      <c r="B949" s="6">
        <v>1200</v>
      </c>
      <c r="C949" s="6" t="s">
        <v>12</v>
      </c>
      <c r="D949" s="6" t="s">
        <v>1655</v>
      </c>
      <c r="E949" s="6" t="s">
        <v>1651</v>
      </c>
      <c r="F949" s="6" t="s">
        <v>1648</v>
      </c>
      <c r="G949" s="6" t="s">
        <v>1649</v>
      </c>
      <c r="H949" s="7">
        <v>39857.277083333334</v>
      </c>
      <c r="I949" s="6">
        <v>50.8333333</v>
      </c>
      <c r="J949" s="6">
        <v>4.3333332999999996</v>
      </c>
      <c r="K949" s="8"/>
      <c r="L949" s="5">
        <f t="shared" si="28"/>
        <v>2009</v>
      </c>
      <c r="M949" s="5">
        <f t="shared" si="29"/>
        <v>39857</v>
      </c>
      <c r="N949" s="18">
        <v>0.49583333333333335</v>
      </c>
    </row>
    <row r="950" spans="1:14" x14ac:dyDescent="0.3">
      <c r="A950" s="3" t="s">
        <v>11</v>
      </c>
      <c r="B950" s="3">
        <v>1200</v>
      </c>
      <c r="C950" s="3" t="s">
        <v>65</v>
      </c>
      <c r="D950" s="3" t="s">
        <v>534</v>
      </c>
      <c r="E950" s="3" t="s">
        <v>1651</v>
      </c>
      <c r="F950" s="3" t="s">
        <v>1648</v>
      </c>
      <c r="G950" s="3" t="s">
        <v>1649</v>
      </c>
      <c r="H950" s="4">
        <v>39862.104166666664</v>
      </c>
      <c r="I950" s="3">
        <v>50.8333333</v>
      </c>
      <c r="J950" s="3">
        <v>4.3333332999999996</v>
      </c>
      <c r="K950" s="5"/>
      <c r="L950" s="8">
        <f t="shared" si="28"/>
        <v>2009</v>
      </c>
      <c r="M950" s="8">
        <f t="shared" si="29"/>
        <v>39862</v>
      </c>
      <c r="N950" s="19">
        <v>0.28472222222222221</v>
      </c>
    </row>
    <row r="951" spans="1:14" x14ac:dyDescent="0.3">
      <c r="A951" s="6" t="s">
        <v>11</v>
      </c>
      <c r="B951" s="6">
        <v>1200</v>
      </c>
      <c r="C951" s="6" t="s">
        <v>17</v>
      </c>
      <c r="D951" s="6" t="s">
        <v>455</v>
      </c>
      <c r="E951" s="6" t="s">
        <v>1647</v>
      </c>
      <c r="F951" s="6" t="s">
        <v>1648</v>
      </c>
      <c r="G951" s="6" t="s">
        <v>1649</v>
      </c>
      <c r="H951" s="7">
        <v>39865.450694444444</v>
      </c>
      <c r="I951" s="6">
        <v>50.8333333</v>
      </c>
      <c r="J951" s="6">
        <v>4.3333332999999996</v>
      </c>
      <c r="K951" s="8"/>
      <c r="L951" s="5">
        <f t="shared" si="28"/>
        <v>2009</v>
      </c>
      <c r="M951" s="5">
        <f t="shared" si="29"/>
        <v>39865</v>
      </c>
      <c r="N951" s="18">
        <v>8.8888888888888892E-2</v>
      </c>
    </row>
    <row r="952" spans="1:14" x14ac:dyDescent="0.3">
      <c r="A952" s="3" t="s">
        <v>11</v>
      </c>
      <c r="B952" s="3">
        <v>1200</v>
      </c>
      <c r="C952" s="3" t="s">
        <v>12</v>
      </c>
      <c r="D952" s="3" t="s">
        <v>1656</v>
      </c>
      <c r="E952" s="3" t="s">
        <v>1657</v>
      </c>
      <c r="F952" s="3" t="s">
        <v>1658</v>
      </c>
      <c r="G952" s="3" t="s">
        <v>1649</v>
      </c>
      <c r="H952" s="4">
        <v>39868.355555555558</v>
      </c>
      <c r="I952" s="3">
        <v>50.466666699999998</v>
      </c>
      <c r="J952" s="3">
        <v>4.1833333000000001</v>
      </c>
      <c r="K952" s="5"/>
      <c r="L952" s="8">
        <f t="shared" si="28"/>
        <v>2009</v>
      </c>
      <c r="M952" s="8">
        <f t="shared" si="29"/>
        <v>39868</v>
      </c>
      <c r="N952" s="19">
        <v>0.27152777777777776</v>
      </c>
    </row>
    <row r="953" spans="1:14" x14ac:dyDescent="0.3">
      <c r="A953" s="6" t="s">
        <v>11</v>
      </c>
      <c r="B953" s="6">
        <v>1200</v>
      </c>
      <c r="C953" s="6" t="s">
        <v>12</v>
      </c>
      <c r="D953" s="6" t="s">
        <v>1659</v>
      </c>
      <c r="E953" s="6" t="s">
        <v>1660</v>
      </c>
      <c r="F953" s="6" t="s">
        <v>1661</v>
      </c>
      <c r="G953" s="6" t="s">
        <v>1662</v>
      </c>
      <c r="H953" s="7">
        <v>39828.198611111111</v>
      </c>
      <c r="I953" s="6">
        <v>26.217222199999998</v>
      </c>
      <c r="J953" s="6">
        <v>50.540555599999998</v>
      </c>
      <c r="K953" s="8"/>
      <c r="L953" s="5">
        <f t="shared" si="28"/>
        <v>2009</v>
      </c>
      <c r="M953" s="5">
        <f t="shared" si="29"/>
        <v>39828</v>
      </c>
      <c r="N953" s="18">
        <v>0.27777777777777779</v>
      </c>
    </row>
    <row r="954" spans="1:14" x14ac:dyDescent="0.3">
      <c r="A954" s="3" t="s">
        <v>11</v>
      </c>
      <c r="B954" s="3">
        <v>1200</v>
      </c>
      <c r="C954" s="3" t="s">
        <v>12</v>
      </c>
      <c r="D954" s="3" t="s">
        <v>90</v>
      </c>
      <c r="E954" s="3" t="s">
        <v>224</v>
      </c>
      <c r="F954" s="3" t="s">
        <v>224</v>
      </c>
      <c r="G954" s="3" t="s">
        <v>1663</v>
      </c>
      <c r="H954" s="4">
        <v>39837.23541666667</v>
      </c>
      <c r="I954" s="3">
        <v>48.2</v>
      </c>
      <c r="J954" s="3">
        <v>16.3666667</v>
      </c>
      <c r="K954" s="5"/>
      <c r="L954" s="5">
        <f t="shared" si="28"/>
        <v>2009</v>
      </c>
      <c r="M954" s="5">
        <f t="shared" si="29"/>
        <v>39837</v>
      </c>
      <c r="N954" s="18">
        <v>7.7083333333333337E-2</v>
      </c>
    </row>
    <row r="955" spans="1:14" x14ac:dyDescent="0.3">
      <c r="A955" s="6" t="s">
        <v>11</v>
      </c>
      <c r="B955" s="6">
        <v>1200</v>
      </c>
      <c r="C955" s="6" t="s">
        <v>17</v>
      </c>
      <c r="D955" s="6" t="s">
        <v>1664</v>
      </c>
      <c r="E955" s="6" t="s">
        <v>1665</v>
      </c>
      <c r="F955" s="6" t="s">
        <v>224</v>
      </c>
      <c r="G955" s="6" t="s">
        <v>1663</v>
      </c>
      <c r="H955" s="7">
        <v>39838.598611111112</v>
      </c>
      <c r="I955" s="6">
        <v>48.25</v>
      </c>
      <c r="J955" s="6">
        <v>16.3</v>
      </c>
      <c r="K955" s="8"/>
      <c r="L955" s="8">
        <f t="shared" si="28"/>
        <v>2009</v>
      </c>
      <c r="M955" s="8">
        <f t="shared" si="29"/>
        <v>39838</v>
      </c>
      <c r="N955" s="19">
        <v>0.34791666666666665</v>
      </c>
    </row>
    <row r="956" spans="1:14" x14ac:dyDescent="0.3">
      <c r="A956" s="3" t="s">
        <v>11</v>
      </c>
      <c r="B956" s="3">
        <v>1200</v>
      </c>
      <c r="C956" s="3" t="s">
        <v>17</v>
      </c>
      <c r="D956" s="3" t="s">
        <v>1666</v>
      </c>
      <c r="E956" s="3" t="s">
        <v>1665</v>
      </c>
      <c r="F956" s="3" t="s">
        <v>224</v>
      </c>
      <c r="G956" s="3" t="s">
        <v>1663</v>
      </c>
      <c r="H956" s="4">
        <v>39838.598611111112</v>
      </c>
      <c r="I956" s="3">
        <v>48.25</v>
      </c>
      <c r="J956" s="3">
        <v>16.3</v>
      </c>
      <c r="K956" s="5"/>
      <c r="L956" s="5">
        <f t="shared" si="28"/>
        <v>2009</v>
      </c>
      <c r="M956" s="5">
        <f t="shared" si="29"/>
        <v>39838</v>
      </c>
      <c r="N956" s="18">
        <v>0.35069444444444442</v>
      </c>
    </row>
    <row r="957" spans="1:14" x14ac:dyDescent="0.3">
      <c r="A957" s="6" t="s">
        <v>11</v>
      </c>
      <c r="B957" s="6">
        <v>1200</v>
      </c>
      <c r="C957" s="6" t="s">
        <v>12</v>
      </c>
      <c r="D957" s="6" t="s">
        <v>915</v>
      </c>
      <c r="E957" s="6" t="s">
        <v>1667</v>
      </c>
      <c r="F957" s="6" t="s">
        <v>1668</v>
      </c>
      <c r="G957" s="6" t="s">
        <v>1663</v>
      </c>
      <c r="H957" s="7">
        <v>39850.025694444441</v>
      </c>
      <c r="I957" s="6">
        <v>48.15</v>
      </c>
      <c r="J957" s="6">
        <v>15.9166667</v>
      </c>
      <c r="K957" s="8"/>
      <c r="L957" s="8">
        <f t="shared" si="28"/>
        <v>2009</v>
      </c>
      <c r="M957" s="8">
        <f t="shared" si="29"/>
        <v>39850</v>
      </c>
      <c r="N957" s="19">
        <v>0.21527777777777779</v>
      </c>
    </row>
    <row r="958" spans="1:14" x14ac:dyDescent="0.3">
      <c r="A958" s="3" t="s">
        <v>11</v>
      </c>
      <c r="B958" s="3">
        <v>1200</v>
      </c>
      <c r="C958" s="3" t="s">
        <v>17</v>
      </c>
      <c r="D958" s="3" t="s">
        <v>1669</v>
      </c>
      <c r="E958" s="3" t="s">
        <v>1670</v>
      </c>
      <c r="F958" s="3" t="s">
        <v>1668</v>
      </c>
      <c r="G958" s="3" t="s">
        <v>1663</v>
      </c>
      <c r="H958" s="4">
        <v>39855.138194444444</v>
      </c>
      <c r="I958" s="3">
        <v>48.3</v>
      </c>
      <c r="J958" s="3">
        <v>16.316666699999999</v>
      </c>
      <c r="K958" s="5"/>
      <c r="L958" s="5">
        <f t="shared" si="28"/>
        <v>2009</v>
      </c>
      <c r="M958" s="5">
        <f t="shared" si="29"/>
        <v>39855</v>
      </c>
      <c r="N958" s="18">
        <v>0.10694444444444444</v>
      </c>
    </row>
    <row r="959" spans="1:14" x14ac:dyDescent="0.3">
      <c r="A959" s="6" t="s">
        <v>21</v>
      </c>
      <c r="B959" s="6">
        <v>200000</v>
      </c>
      <c r="C959" s="6" t="s">
        <v>17</v>
      </c>
      <c r="D959" s="6" t="s">
        <v>1355</v>
      </c>
      <c r="E959" s="6" t="s">
        <v>1671</v>
      </c>
      <c r="F959" s="6" t="s">
        <v>1672</v>
      </c>
      <c r="G959" s="6" t="s">
        <v>1663</v>
      </c>
      <c r="H959" s="7">
        <v>39871.234027777777</v>
      </c>
      <c r="I959" s="6">
        <v>47.65</v>
      </c>
      <c r="J959" s="6">
        <v>12.316666700000001</v>
      </c>
      <c r="K959" s="8"/>
      <c r="L959" s="8">
        <f t="shared" si="28"/>
        <v>2009</v>
      </c>
      <c r="M959" s="8">
        <f t="shared" si="29"/>
        <v>39871</v>
      </c>
      <c r="N959" s="19">
        <v>0.49444444444444446</v>
      </c>
    </row>
    <row r="960" spans="1:14" x14ac:dyDescent="0.3">
      <c r="A960" s="3" t="s">
        <v>11</v>
      </c>
      <c r="B960" s="3">
        <v>1200</v>
      </c>
      <c r="C960" s="3" t="s">
        <v>12</v>
      </c>
      <c r="D960" s="3" t="s">
        <v>1673</v>
      </c>
      <c r="E960" s="3" t="s">
        <v>1674</v>
      </c>
      <c r="F960" s="3" t="s">
        <v>224</v>
      </c>
      <c r="G960" s="3" t="s">
        <v>1663</v>
      </c>
      <c r="H960" s="4">
        <v>39873.102777777778</v>
      </c>
      <c r="I960" s="3">
        <v>48.216666699999998</v>
      </c>
      <c r="J960" s="3">
        <v>16.3666667</v>
      </c>
      <c r="K960" s="5"/>
      <c r="L960" s="5">
        <f t="shared" si="28"/>
        <v>2009</v>
      </c>
      <c r="M960" s="5">
        <f t="shared" si="29"/>
        <v>39873</v>
      </c>
      <c r="N960" s="18">
        <v>5.7638888888888892E-2</v>
      </c>
    </row>
    <row r="961" spans="1:14" x14ac:dyDescent="0.3">
      <c r="A961" s="6" t="s">
        <v>11</v>
      </c>
      <c r="B961" s="6">
        <v>1200</v>
      </c>
      <c r="C961" s="6" t="s">
        <v>12</v>
      </c>
      <c r="D961" s="6" t="s">
        <v>1675</v>
      </c>
      <c r="E961" s="6" t="s">
        <v>1676</v>
      </c>
      <c r="F961" s="6" t="s">
        <v>1677</v>
      </c>
      <c r="G961" s="6" t="s">
        <v>1678</v>
      </c>
      <c r="H961" s="7">
        <v>39816.598611111112</v>
      </c>
      <c r="I961" s="6">
        <v>-36.133333299999997</v>
      </c>
      <c r="J961" s="6">
        <v>144.75</v>
      </c>
      <c r="K961" s="8"/>
      <c r="L961" s="5">
        <f t="shared" si="28"/>
        <v>2009</v>
      </c>
      <c r="M961" s="5">
        <f t="shared" si="29"/>
        <v>39816</v>
      </c>
      <c r="N961" s="18">
        <v>0.11388888888888889</v>
      </c>
    </row>
    <row r="962" spans="1:14" x14ac:dyDescent="0.3">
      <c r="A962" s="3" t="s">
        <v>21</v>
      </c>
      <c r="B962" s="3">
        <v>200000</v>
      </c>
      <c r="C962" s="3" t="s">
        <v>12</v>
      </c>
      <c r="D962" s="3" t="s">
        <v>1447</v>
      </c>
      <c r="E962" s="3" t="s">
        <v>1679</v>
      </c>
      <c r="F962" s="3" t="s">
        <v>1680</v>
      </c>
      <c r="G962" s="3" t="s">
        <v>1678</v>
      </c>
      <c r="H962" s="4">
        <v>39821.748611111114</v>
      </c>
      <c r="I962" s="3">
        <v>-27.1666667</v>
      </c>
      <c r="J962" s="3">
        <v>152.94999999999999</v>
      </c>
      <c r="K962" s="5"/>
      <c r="L962" s="8">
        <f t="shared" ref="L962:L999" si="30">YEAR(H962)</f>
        <v>2009</v>
      </c>
      <c r="M962" s="8">
        <f t="shared" ref="M962:M999" si="31">INT(H962)</f>
        <v>39821</v>
      </c>
      <c r="N962" s="19">
        <v>0.33333333333333331</v>
      </c>
    </row>
    <row r="963" spans="1:14" x14ac:dyDescent="0.3">
      <c r="A963" s="6" t="s">
        <v>11</v>
      </c>
      <c r="B963" s="6">
        <v>1200</v>
      </c>
      <c r="C963" s="6" t="s">
        <v>17</v>
      </c>
      <c r="D963" s="6" t="s">
        <v>218</v>
      </c>
      <c r="E963" s="6" t="s">
        <v>1681</v>
      </c>
      <c r="F963" s="6" t="s">
        <v>1677</v>
      </c>
      <c r="G963" s="6" t="s">
        <v>1678</v>
      </c>
      <c r="H963" s="7">
        <v>39823.768750000003</v>
      </c>
      <c r="I963" s="6">
        <v>-37.816666699999999</v>
      </c>
      <c r="J963" s="6">
        <v>144.96666669999999</v>
      </c>
      <c r="K963" s="8"/>
      <c r="L963" s="5">
        <f t="shared" si="30"/>
        <v>2009</v>
      </c>
      <c r="M963" s="5">
        <f t="shared" si="31"/>
        <v>39823</v>
      </c>
      <c r="N963" s="18">
        <v>5.5555555555555552E-2</v>
      </c>
    </row>
    <row r="964" spans="1:14" x14ac:dyDescent="0.3">
      <c r="A964" s="3" t="s">
        <v>11</v>
      </c>
      <c r="B964" s="3">
        <v>1200</v>
      </c>
      <c r="C964" s="3" t="s">
        <v>12</v>
      </c>
      <c r="D964" s="3" t="s">
        <v>820</v>
      </c>
      <c r="E964" s="3" t="s">
        <v>1682</v>
      </c>
      <c r="F964" s="3" t="s">
        <v>1680</v>
      </c>
      <c r="G964" s="3" t="s">
        <v>1678</v>
      </c>
      <c r="H964" s="4">
        <v>39824.09097222222</v>
      </c>
      <c r="I964" s="3">
        <v>-28</v>
      </c>
      <c r="J964" s="3">
        <v>153.43333329999999</v>
      </c>
      <c r="K964" s="5"/>
      <c r="L964" s="8">
        <f t="shared" si="30"/>
        <v>2009</v>
      </c>
      <c r="M964" s="8">
        <f t="shared" si="31"/>
        <v>39824</v>
      </c>
      <c r="N964" s="19">
        <v>8.611111111111111E-2</v>
      </c>
    </row>
    <row r="965" spans="1:14" x14ac:dyDescent="0.3">
      <c r="A965" s="6" t="s">
        <v>11</v>
      </c>
      <c r="B965" s="6">
        <v>1200</v>
      </c>
      <c r="C965" s="6" t="s">
        <v>12</v>
      </c>
      <c r="D965" s="6" t="s">
        <v>1683</v>
      </c>
      <c r="E965" s="6" t="s">
        <v>1684</v>
      </c>
      <c r="F965" s="6" t="s">
        <v>1680</v>
      </c>
      <c r="G965" s="6" t="s">
        <v>1678</v>
      </c>
      <c r="H965" s="7">
        <v>39828.745833333334</v>
      </c>
      <c r="I965" s="6">
        <v>-27.5</v>
      </c>
      <c r="J965" s="6">
        <v>153.0166667</v>
      </c>
      <c r="K965" s="8"/>
      <c r="L965" s="5">
        <f t="shared" si="30"/>
        <v>2009</v>
      </c>
      <c r="M965" s="5">
        <f t="shared" si="31"/>
        <v>39828</v>
      </c>
      <c r="N965" s="18">
        <v>6.7361111111111108E-2</v>
      </c>
    </row>
    <row r="966" spans="1:14" x14ac:dyDescent="0.3">
      <c r="A966" s="3" t="s">
        <v>11</v>
      </c>
      <c r="B966" s="3">
        <v>1200</v>
      </c>
      <c r="C966" s="3" t="s">
        <v>65</v>
      </c>
      <c r="D966" s="3" t="s">
        <v>1685</v>
      </c>
      <c r="E966" s="3" t="s">
        <v>1686</v>
      </c>
      <c r="F966" s="3" t="s">
        <v>1687</v>
      </c>
      <c r="G966" s="3" t="s">
        <v>1678</v>
      </c>
      <c r="H966" s="4">
        <v>39833.047222222223</v>
      </c>
      <c r="I966" s="3">
        <v>-32.950000000000003</v>
      </c>
      <c r="J966" s="3">
        <v>151.66666670000001</v>
      </c>
      <c r="K966" s="5"/>
      <c r="L966" s="8">
        <f t="shared" si="30"/>
        <v>2009</v>
      </c>
      <c r="M966" s="8">
        <f t="shared" si="31"/>
        <v>39833</v>
      </c>
      <c r="N966" s="19">
        <v>6.805555555555555E-2</v>
      </c>
    </row>
    <row r="967" spans="1:14" x14ac:dyDescent="0.3">
      <c r="A967" s="6" t="s">
        <v>11</v>
      </c>
      <c r="B967" s="6">
        <v>1200</v>
      </c>
      <c r="C967" s="6" t="s">
        <v>12</v>
      </c>
      <c r="D967" s="6" t="s">
        <v>675</v>
      </c>
      <c r="E967" s="6" t="s">
        <v>1688</v>
      </c>
      <c r="F967" s="6" t="s">
        <v>1680</v>
      </c>
      <c r="G967" s="6" t="s">
        <v>1678</v>
      </c>
      <c r="H967" s="7">
        <v>39833.549305555556</v>
      </c>
      <c r="I967" s="6">
        <v>-24.816666699999999</v>
      </c>
      <c r="J967" s="6">
        <v>152.41666670000001</v>
      </c>
      <c r="K967" s="8"/>
      <c r="L967" s="5">
        <f t="shared" si="30"/>
        <v>2009</v>
      </c>
      <c r="M967" s="5">
        <f t="shared" si="31"/>
        <v>39833</v>
      </c>
      <c r="N967" s="18">
        <v>0.16041666666666668</v>
      </c>
    </row>
    <row r="968" spans="1:14" x14ac:dyDescent="0.3">
      <c r="A968" s="3" t="s">
        <v>11</v>
      </c>
      <c r="B968" s="3">
        <v>1200</v>
      </c>
      <c r="C968" s="3" t="s">
        <v>12</v>
      </c>
      <c r="D968" s="3" t="s">
        <v>1689</v>
      </c>
      <c r="E968" s="3" t="s">
        <v>1690</v>
      </c>
      <c r="F968" s="3" t="s">
        <v>1687</v>
      </c>
      <c r="G968" s="3" t="s">
        <v>1678</v>
      </c>
      <c r="H968" s="4">
        <v>39834.020138888889</v>
      </c>
      <c r="I968" s="3">
        <v>-33.883333299999997</v>
      </c>
      <c r="J968" s="3">
        <v>151.21666669999999</v>
      </c>
      <c r="K968" s="5"/>
      <c r="L968" s="5">
        <f t="shared" si="30"/>
        <v>2009</v>
      </c>
      <c r="M968" s="5">
        <f t="shared" si="31"/>
        <v>39834</v>
      </c>
      <c r="N968" s="18">
        <v>0.11874999999999999</v>
      </c>
    </row>
    <row r="969" spans="1:14" x14ac:dyDescent="0.3">
      <c r="A969" s="6" t="s">
        <v>11</v>
      </c>
      <c r="B969" s="6">
        <v>1200</v>
      </c>
      <c r="C969" s="6" t="s">
        <v>12</v>
      </c>
      <c r="D969" s="6" t="s">
        <v>675</v>
      </c>
      <c r="E969" s="6" t="s">
        <v>1691</v>
      </c>
      <c r="F969" s="6" t="s">
        <v>1687</v>
      </c>
      <c r="G969" s="6" t="s">
        <v>1678</v>
      </c>
      <c r="H969" s="7">
        <v>39834.075694444444</v>
      </c>
      <c r="I969" s="6">
        <v>-34.433333300000001</v>
      </c>
      <c r="J969" s="6">
        <v>150.8833333</v>
      </c>
      <c r="K969" s="8"/>
      <c r="L969" s="8">
        <f t="shared" si="30"/>
        <v>2009</v>
      </c>
      <c r="M969" s="8">
        <f t="shared" si="31"/>
        <v>39834</v>
      </c>
      <c r="N969" s="19">
        <v>0.27500000000000002</v>
      </c>
    </row>
    <row r="970" spans="1:14" x14ac:dyDescent="0.3">
      <c r="A970" s="3" t="s">
        <v>11</v>
      </c>
      <c r="B970" s="3">
        <v>1200</v>
      </c>
      <c r="C970" s="3" t="s">
        <v>17</v>
      </c>
      <c r="D970" s="3" t="s">
        <v>1692</v>
      </c>
      <c r="E970" s="3" t="s">
        <v>1693</v>
      </c>
      <c r="F970" s="3" t="s">
        <v>1680</v>
      </c>
      <c r="G970" s="3" t="s">
        <v>1678</v>
      </c>
      <c r="H970" s="4">
        <v>39834.692361111112</v>
      </c>
      <c r="I970" s="3">
        <v>-27.8833333</v>
      </c>
      <c r="J970" s="3">
        <v>153.30000000000001</v>
      </c>
      <c r="K970" s="5"/>
      <c r="L970" s="5">
        <f t="shared" si="30"/>
        <v>2009</v>
      </c>
      <c r="M970" s="5">
        <f t="shared" si="31"/>
        <v>39834</v>
      </c>
      <c r="N970" s="18">
        <v>0.10277777777777777</v>
      </c>
    </row>
    <row r="971" spans="1:14" x14ac:dyDescent="0.3">
      <c r="A971" s="6" t="s">
        <v>21</v>
      </c>
      <c r="B971" s="6">
        <v>200000</v>
      </c>
      <c r="C971" s="6" t="s">
        <v>12</v>
      </c>
      <c r="D971" s="6" t="s">
        <v>1694</v>
      </c>
      <c r="E971" s="6" t="s">
        <v>1695</v>
      </c>
      <c r="F971" s="6" t="s">
        <v>1687</v>
      </c>
      <c r="G971" s="6" t="s">
        <v>1678</v>
      </c>
      <c r="H971" s="7">
        <v>39834.939583333333</v>
      </c>
      <c r="I971" s="6">
        <v>-33.6666667</v>
      </c>
      <c r="J971" s="6">
        <v>151.30000000000001</v>
      </c>
      <c r="K971" s="8"/>
      <c r="L971" s="8">
        <f t="shared" si="30"/>
        <v>2009</v>
      </c>
      <c r="M971" s="8">
        <f t="shared" si="31"/>
        <v>39834</v>
      </c>
      <c r="N971" s="19">
        <v>0.43194444444444446</v>
      </c>
    </row>
    <row r="972" spans="1:14" x14ac:dyDescent="0.3">
      <c r="A972" s="3" t="s">
        <v>11</v>
      </c>
      <c r="B972" s="3">
        <v>1200</v>
      </c>
      <c r="C972" s="3" t="s">
        <v>17</v>
      </c>
      <c r="D972" s="3" t="s">
        <v>1696</v>
      </c>
      <c r="E972" s="3" t="s">
        <v>1690</v>
      </c>
      <c r="F972" s="3" t="s">
        <v>1687</v>
      </c>
      <c r="G972" s="3" t="s">
        <v>1678</v>
      </c>
      <c r="H972" s="4">
        <v>39840.845833333333</v>
      </c>
      <c r="I972" s="3">
        <v>-33.883333299999997</v>
      </c>
      <c r="J972" s="3">
        <v>151.21666669999999</v>
      </c>
      <c r="K972" s="5"/>
      <c r="L972" s="5">
        <f t="shared" si="30"/>
        <v>2009</v>
      </c>
      <c r="M972" s="5">
        <f t="shared" si="31"/>
        <v>39840</v>
      </c>
      <c r="N972" s="18">
        <v>0.41875000000000001</v>
      </c>
    </row>
    <row r="973" spans="1:14" x14ac:dyDescent="0.3">
      <c r="A973" s="6" t="s">
        <v>11</v>
      </c>
      <c r="B973" s="6">
        <v>1200</v>
      </c>
      <c r="C973" s="6" t="s">
        <v>12</v>
      </c>
      <c r="D973" s="6" t="s">
        <v>404</v>
      </c>
      <c r="E973" s="6" t="s">
        <v>1697</v>
      </c>
      <c r="F973" s="6" t="s">
        <v>1680</v>
      </c>
      <c r="G973" s="6" t="s">
        <v>1678</v>
      </c>
      <c r="H973" s="7">
        <v>39840.994444444441</v>
      </c>
      <c r="I973" s="6">
        <v>-27.983333300000002</v>
      </c>
      <c r="J973" s="6">
        <v>153.33333329999999</v>
      </c>
      <c r="K973" s="8"/>
      <c r="L973" s="8">
        <f t="shared" si="30"/>
        <v>2009</v>
      </c>
      <c r="M973" s="8">
        <f t="shared" si="31"/>
        <v>39840</v>
      </c>
      <c r="N973" s="19">
        <v>0.15694444444444444</v>
      </c>
    </row>
    <row r="974" spans="1:14" x14ac:dyDescent="0.3">
      <c r="A974" s="3" t="s">
        <v>11</v>
      </c>
      <c r="B974" s="3">
        <v>1200</v>
      </c>
      <c r="C974" s="3" t="s">
        <v>17</v>
      </c>
      <c r="D974" s="3" t="s">
        <v>83</v>
      </c>
      <c r="E974" s="3" t="s">
        <v>1698</v>
      </c>
      <c r="F974" s="3" t="s">
        <v>1677</v>
      </c>
      <c r="G974" s="3" t="s">
        <v>1678</v>
      </c>
      <c r="H974" s="4">
        <v>39844.236111111109</v>
      </c>
      <c r="I974" s="3">
        <v>-37.8333333</v>
      </c>
      <c r="J974" s="3">
        <v>144.96666669999999</v>
      </c>
      <c r="K974" s="5"/>
      <c r="L974" s="5">
        <f t="shared" si="30"/>
        <v>2009</v>
      </c>
      <c r="M974" s="5">
        <f t="shared" si="31"/>
        <v>39844</v>
      </c>
      <c r="N974" s="18">
        <v>0.33958333333333335</v>
      </c>
    </row>
    <row r="975" spans="1:14" x14ac:dyDescent="0.3">
      <c r="A975" s="6" t="s">
        <v>11</v>
      </c>
      <c r="B975" s="6">
        <v>1200</v>
      </c>
      <c r="C975" s="6" t="s">
        <v>12</v>
      </c>
      <c r="D975" s="6" t="s">
        <v>1699</v>
      </c>
      <c r="E975" s="6" t="s">
        <v>551</v>
      </c>
      <c r="F975" s="6" t="s">
        <v>1680</v>
      </c>
      <c r="G975" s="6" t="s">
        <v>1678</v>
      </c>
      <c r="H975" s="7">
        <v>39846.259027777778</v>
      </c>
      <c r="I975" s="6">
        <v>-28.233333300000002</v>
      </c>
      <c r="J975" s="6">
        <v>152.0166667</v>
      </c>
      <c r="K975" s="8"/>
      <c r="L975" s="5">
        <f t="shared" si="30"/>
        <v>2009</v>
      </c>
      <c r="M975" s="5">
        <f t="shared" si="31"/>
        <v>39846</v>
      </c>
      <c r="N975" s="18">
        <v>0.23125000000000001</v>
      </c>
    </row>
    <row r="976" spans="1:14" x14ac:dyDescent="0.3">
      <c r="A976" s="3" t="s">
        <v>11</v>
      </c>
      <c r="B976" s="3">
        <v>1200</v>
      </c>
      <c r="C976" s="3" t="s">
        <v>12</v>
      </c>
      <c r="D976" s="3" t="s">
        <v>145</v>
      </c>
      <c r="E976" s="3" t="s">
        <v>1700</v>
      </c>
      <c r="F976" s="3" t="s">
        <v>1687</v>
      </c>
      <c r="G976" s="3" t="s">
        <v>1678</v>
      </c>
      <c r="H976" s="4">
        <v>39849.947222222225</v>
      </c>
      <c r="I976" s="3">
        <v>-33.816666699999999</v>
      </c>
      <c r="J976" s="3">
        <v>151</v>
      </c>
      <c r="K976" s="5"/>
      <c r="L976" s="8">
        <f t="shared" si="30"/>
        <v>2009</v>
      </c>
      <c r="M976" s="8">
        <f t="shared" si="31"/>
        <v>39849</v>
      </c>
      <c r="N976" s="19">
        <v>0.2076388888888889</v>
      </c>
    </row>
    <row r="977" spans="1:14" x14ac:dyDescent="0.3">
      <c r="A977" s="6" t="s">
        <v>21</v>
      </c>
      <c r="B977" s="6">
        <v>200000</v>
      </c>
      <c r="C977" s="6" t="s">
        <v>12</v>
      </c>
      <c r="D977" s="6" t="s">
        <v>1701</v>
      </c>
      <c r="E977" s="6" t="s">
        <v>1702</v>
      </c>
      <c r="F977" s="6" t="s">
        <v>1677</v>
      </c>
      <c r="G977" s="6" t="s">
        <v>1678</v>
      </c>
      <c r="H977" s="7">
        <v>39850.835416666669</v>
      </c>
      <c r="I977" s="6">
        <v>-37.483333299999998</v>
      </c>
      <c r="J977" s="6">
        <v>144.58333329999999</v>
      </c>
      <c r="K977" s="8"/>
      <c r="L977" s="5">
        <f t="shared" si="30"/>
        <v>2009</v>
      </c>
      <c r="M977" s="5">
        <f t="shared" si="31"/>
        <v>39850</v>
      </c>
      <c r="N977" s="18">
        <v>0.44722222222222224</v>
      </c>
    </row>
    <row r="978" spans="1:14" x14ac:dyDescent="0.3">
      <c r="A978" s="3" t="s">
        <v>11</v>
      </c>
      <c r="B978" s="3">
        <v>1200</v>
      </c>
      <c r="C978" s="3" t="s">
        <v>17</v>
      </c>
      <c r="D978" s="3" t="s">
        <v>607</v>
      </c>
      <c r="E978" s="3" t="s">
        <v>1703</v>
      </c>
      <c r="F978" s="3" t="s">
        <v>1687</v>
      </c>
      <c r="G978" s="3" t="s">
        <v>1678</v>
      </c>
      <c r="H978" s="4">
        <v>39851.75277777778</v>
      </c>
      <c r="I978" s="3">
        <v>-34.283333300000002</v>
      </c>
      <c r="J978" s="3">
        <v>146.03333330000001</v>
      </c>
      <c r="K978" s="5"/>
      <c r="L978" s="8">
        <f t="shared" si="30"/>
        <v>2009</v>
      </c>
      <c r="M978" s="8">
        <f t="shared" si="31"/>
        <v>39851</v>
      </c>
      <c r="N978" s="19">
        <v>0.34583333333333333</v>
      </c>
    </row>
    <row r="979" spans="1:14" x14ac:dyDescent="0.3">
      <c r="A979" s="6" t="s">
        <v>11</v>
      </c>
      <c r="B979" s="6">
        <v>1200</v>
      </c>
      <c r="C979" s="6" t="s">
        <v>12</v>
      </c>
      <c r="D979" s="6" t="s">
        <v>283</v>
      </c>
      <c r="E979" s="6" t="s">
        <v>1704</v>
      </c>
      <c r="F979" s="6" t="s">
        <v>1687</v>
      </c>
      <c r="G979" s="6" t="s">
        <v>1678</v>
      </c>
      <c r="H979" s="7">
        <v>39853.771527777775</v>
      </c>
      <c r="I979" s="6">
        <v>-33.783333300000002</v>
      </c>
      <c r="J979" s="6">
        <v>151.16666670000001</v>
      </c>
      <c r="K979" s="8"/>
      <c r="L979" s="5">
        <f t="shared" si="30"/>
        <v>2009</v>
      </c>
      <c r="M979" s="5">
        <f t="shared" si="31"/>
        <v>39853</v>
      </c>
      <c r="N979" s="18">
        <v>0.4861111111111111</v>
      </c>
    </row>
    <row r="980" spans="1:14" x14ac:dyDescent="0.3">
      <c r="A980" s="3" t="s">
        <v>11</v>
      </c>
      <c r="B980" s="3">
        <v>1200</v>
      </c>
      <c r="C980" s="3" t="s">
        <v>12</v>
      </c>
      <c r="D980" s="3" t="s">
        <v>1705</v>
      </c>
      <c r="E980" s="3" t="s">
        <v>1681</v>
      </c>
      <c r="F980" s="3" t="s">
        <v>1677</v>
      </c>
      <c r="G980" s="3" t="s">
        <v>1678</v>
      </c>
      <c r="H980" s="4">
        <v>39854.091666666667</v>
      </c>
      <c r="I980" s="3">
        <v>-37.816666699999999</v>
      </c>
      <c r="J980" s="3">
        <v>144.96666669999999</v>
      </c>
      <c r="K980" s="5"/>
      <c r="L980" s="8">
        <f t="shared" si="30"/>
        <v>2009</v>
      </c>
      <c r="M980" s="8">
        <f t="shared" si="31"/>
        <v>39854</v>
      </c>
      <c r="N980" s="19">
        <v>0.27083333333333331</v>
      </c>
    </row>
    <row r="981" spans="1:14" x14ac:dyDescent="0.3">
      <c r="A981" s="6" t="s">
        <v>11</v>
      </c>
      <c r="B981" s="6">
        <v>1200</v>
      </c>
      <c r="C981" s="6" t="s">
        <v>12</v>
      </c>
      <c r="D981" s="6" t="s">
        <v>291</v>
      </c>
      <c r="E981" s="6" t="s">
        <v>1681</v>
      </c>
      <c r="F981" s="6" t="s">
        <v>1677</v>
      </c>
      <c r="G981" s="6" t="s">
        <v>1678</v>
      </c>
      <c r="H981" s="7">
        <v>39855.086805555555</v>
      </c>
      <c r="I981" s="6">
        <v>-37.816666699999999</v>
      </c>
      <c r="J981" s="6">
        <v>144.96666669999999</v>
      </c>
      <c r="K981" s="8"/>
      <c r="L981" s="5">
        <f t="shared" si="30"/>
        <v>2009</v>
      </c>
      <c r="M981" s="5">
        <f t="shared" si="31"/>
        <v>39855</v>
      </c>
      <c r="N981" s="18">
        <v>0.27430555555555558</v>
      </c>
    </row>
    <row r="982" spans="1:14" x14ac:dyDescent="0.3">
      <c r="A982" s="3" t="s">
        <v>11</v>
      </c>
      <c r="B982" s="3">
        <v>1200</v>
      </c>
      <c r="C982" s="3" t="s">
        <v>65</v>
      </c>
      <c r="D982" s="3" t="s">
        <v>1706</v>
      </c>
      <c r="E982" s="3" t="s">
        <v>1707</v>
      </c>
      <c r="F982" s="3" t="s">
        <v>1687</v>
      </c>
      <c r="G982" s="3" t="s">
        <v>1678</v>
      </c>
      <c r="H982" s="4">
        <v>39855.131249999999</v>
      </c>
      <c r="I982" s="3">
        <v>-33.866666700000003</v>
      </c>
      <c r="J982" s="3">
        <v>151.28333330000001</v>
      </c>
      <c r="K982" s="5"/>
      <c r="L982" s="5">
        <f t="shared" si="30"/>
        <v>2009</v>
      </c>
      <c r="M982" s="5">
        <f t="shared" si="31"/>
        <v>39855</v>
      </c>
      <c r="N982" s="18">
        <v>0.46458333333333335</v>
      </c>
    </row>
    <row r="983" spans="1:14" x14ac:dyDescent="0.3">
      <c r="A983" s="6" t="s">
        <v>11</v>
      </c>
      <c r="B983" s="6">
        <v>1200</v>
      </c>
      <c r="C983" s="6" t="s">
        <v>12</v>
      </c>
      <c r="D983" s="6" t="s">
        <v>960</v>
      </c>
      <c r="E983" s="6" t="s">
        <v>1708</v>
      </c>
      <c r="F983" s="6" t="s">
        <v>1709</v>
      </c>
      <c r="G983" s="6" t="s">
        <v>1678</v>
      </c>
      <c r="H983" s="7">
        <v>39855.628472222219</v>
      </c>
      <c r="I983" s="6">
        <v>-34.616666700000003</v>
      </c>
      <c r="J983" s="6">
        <v>138.8833333</v>
      </c>
      <c r="K983" s="8"/>
      <c r="L983" s="8">
        <f t="shared" si="30"/>
        <v>2009</v>
      </c>
      <c r="M983" s="8">
        <f t="shared" si="31"/>
        <v>39855</v>
      </c>
      <c r="N983" s="19">
        <v>0.1423611111111111</v>
      </c>
    </row>
    <row r="984" spans="1:14" x14ac:dyDescent="0.3">
      <c r="A984" s="3" t="s">
        <v>11</v>
      </c>
      <c r="B984" s="3">
        <v>1200</v>
      </c>
      <c r="C984" s="3" t="s">
        <v>12</v>
      </c>
      <c r="D984" s="3" t="s">
        <v>51</v>
      </c>
      <c r="E984" s="3" t="s">
        <v>887</v>
      </c>
      <c r="F984" s="3" t="s">
        <v>1710</v>
      </c>
      <c r="G984" s="3" t="s">
        <v>1678</v>
      </c>
      <c r="H984" s="4">
        <v>39856.156944444447</v>
      </c>
      <c r="I984" s="3">
        <v>-31.933333300000001</v>
      </c>
      <c r="J984" s="3">
        <v>115.83333330000001</v>
      </c>
      <c r="K984" s="5"/>
      <c r="L984" s="5">
        <f t="shared" si="30"/>
        <v>2009</v>
      </c>
      <c r="M984" s="5">
        <f t="shared" si="31"/>
        <v>39856</v>
      </c>
      <c r="N984" s="18">
        <v>0.4826388888888889</v>
      </c>
    </row>
    <row r="985" spans="1:14" x14ac:dyDescent="0.3">
      <c r="A985" s="6" t="s">
        <v>11</v>
      </c>
      <c r="B985" s="6">
        <v>1200</v>
      </c>
      <c r="C985" s="6" t="s">
        <v>17</v>
      </c>
      <c r="D985" s="6" t="s">
        <v>1573</v>
      </c>
      <c r="E985" s="6" t="s">
        <v>1711</v>
      </c>
      <c r="F985" s="6" t="s">
        <v>1677</v>
      </c>
      <c r="G985" s="6" t="s">
        <v>1678</v>
      </c>
      <c r="H985" s="7">
        <v>39856.623611111114</v>
      </c>
      <c r="I985" s="6">
        <v>-38.4166667</v>
      </c>
      <c r="J985" s="6">
        <v>144.16666670000001</v>
      </c>
      <c r="K985" s="8"/>
      <c r="L985" s="8">
        <f t="shared" si="30"/>
        <v>2009</v>
      </c>
      <c r="M985" s="8">
        <f t="shared" si="31"/>
        <v>39856</v>
      </c>
      <c r="N985" s="19">
        <v>0.40277777777777779</v>
      </c>
    </row>
    <row r="986" spans="1:14" x14ac:dyDescent="0.3">
      <c r="A986" s="3" t="s">
        <v>11</v>
      </c>
      <c r="B986" s="3">
        <v>1200</v>
      </c>
      <c r="C986" s="3" t="s">
        <v>12</v>
      </c>
      <c r="D986" s="3" t="s">
        <v>761</v>
      </c>
      <c r="E986" s="3" t="s">
        <v>1712</v>
      </c>
      <c r="F986" s="3" t="s">
        <v>1710</v>
      </c>
      <c r="G986" s="3" t="s">
        <v>1678</v>
      </c>
      <c r="H986" s="4">
        <v>39857.159722222219</v>
      </c>
      <c r="I986" s="3">
        <v>-31.933333300000001</v>
      </c>
      <c r="J986" s="3">
        <v>115.83333330000001</v>
      </c>
      <c r="K986" s="5"/>
      <c r="L986" s="5">
        <f t="shared" si="30"/>
        <v>2009</v>
      </c>
      <c r="M986" s="5">
        <f t="shared" si="31"/>
        <v>39857</v>
      </c>
      <c r="N986" s="18">
        <v>0.10555555555555556</v>
      </c>
    </row>
    <row r="987" spans="1:14" x14ac:dyDescent="0.3">
      <c r="A987" s="6" t="s">
        <v>11</v>
      </c>
      <c r="B987" s="6">
        <v>1200</v>
      </c>
      <c r="C987" s="6" t="s">
        <v>12</v>
      </c>
      <c r="D987" s="6" t="s">
        <v>1713</v>
      </c>
      <c r="E987" s="6" t="s">
        <v>1681</v>
      </c>
      <c r="F987" s="6" t="s">
        <v>1677</v>
      </c>
      <c r="G987" s="6" t="s">
        <v>1678</v>
      </c>
      <c r="H987" s="7">
        <v>39857.644444444442</v>
      </c>
      <c r="I987" s="6">
        <v>-37.816666699999999</v>
      </c>
      <c r="J987" s="6">
        <v>144.96666669999999</v>
      </c>
      <c r="K987" s="8"/>
      <c r="L987" s="8">
        <f t="shared" si="30"/>
        <v>2009</v>
      </c>
      <c r="M987" s="8">
        <f t="shared" si="31"/>
        <v>39857</v>
      </c>
      <c r="N987" s="19">
        <v>0.21805555555555556</v>
      </c>
    </row>
    <row r="988" spans="1:14" x14ac:dyDescent="0.3">
      <c r="A988" s="3" t="s">
        <v>21</v>
      </c>
      <c r="B988" s="3">
        <v>200000</v>
      </c>
      <c r="C988" s="3" t="s">
        <v>12</v>
      </c>
      <c r="D988" s="3" t="s">
        <v>1714</v>
      </c>
      <c r="E988" s="3" t="s">
        <v>1715</v>
      </c>
      <c r="F988" s="3" t="s">
        <v>1716</v>
      </c>
      <c r="G988" s="3" t="s">
        <v>1678</v>
      </c>
      <c r="H988" s="4">
        <v>39858.84097222222</v>
      </c>
      <c r="I988" s="3">
        <v>-41.465000000000003</v>
      </c>
      <c r="J988" s="3">
        <v>148.2572222</v>
      </c>
      <c r="K988" s="5"/>
      <c r="L988" s="5">
        <f t="shared" si="30"/>
        <v>2009</v>
      </c>
      <c r="M988" s="5">
        <f t="shared" si="31"/>
        <v>39858</v>
      </c>
      <c r="N988" s="18">
        <v>9.5138888888888884E-2</v>
      </c>
    </row>
    <row r="989" spans="1:14" x14ac:dyDescent="0.3">
      <c r="A989" s="6" t="s">
        <v>11</v>
      </c>
      <c r="B989" s="6">
        <v>1200</v>
      </c>
      <c r="C989" s="6" t="s">
        <v>17</v>
      </c>
      <c r="D989" s="6" t="s">
        <v>1717</v>
      </c>
      <c r="E989" s="6" t="s">
        <v>1718</v>
      </c>
      <c r="F989" s="6" t="s">
        <v>1710</v>
      </c>
      <c r="G989" s="6" t="s">
        <v>1678</v>
      </c>
      <c r="H989" s="7">
        <v>39859.093055555553</v>
      </c>
      <c r="I989" s="6">
        <v>-32.283333300000002</v>
      </c>
      <c r="J989" s="6">
        <v>115.7166667</v>
      </c>
      <c r="K989" s="8"/>
      <c r="L989" s="5">
        <f t="shared" si="30"/>
        <v>2009</v>
      </c>
      <c r="M989" s="5">
        <f t="shared" si="31"/>
        <v>39859</v>
      </c>
      <c r="N989" s="18">
        <v>0.23194444444444445</v>
      </c>
    </row>
    <row r="990" spans="1:14" x14ac:dyDescent="0.3">
      <c r="A990" s="3" t="s">
        <v>11</v>
      </c>
      <c r="B990" s="3">
        <v>1200</v>
      </c>
      <c r="C990" s="3" t="s">
        <v>65</v>
      </c>
      <c r="D990" s="3" t="s">
        <v>1719</v>
      </c>
      <c r="E990" s="3" t="s">
        <v>1681</v>
      </c>
      <c r="F990" s="3" t="s">
        <v>1677</v>
      </c>
      <c r="G990" s="3" t="s">
        <v>1678</v>
      </c>
      <c r="H990" s="4">
        <v>39861.055555555555</v>
      </c>
      <c r="I990" s="3">
        <v>-37.816666699999999</v>
      </c>
      <c r="J990" s="3">
        <v>144.96666669999999</v>
      </c>
      <c r="K990" s="5"/>
      <c r="L990" s="8">
        <f t="shared" si="30"/>
        <v>2009</v>
      </c>
      <c r="M990" s="8">
        <f t="shared" si="31"/>
        <v>39861</v>
      </c>
      <c r="N990" s="19">
        <v>7.7777777777777779E-2</v>
      </c>
    </row>
    <row r="991" spans="1:14" x14ac:dyDescent="0.3">
      <c r="A991" s="6" t="s">
        <v>21</v>
      </c>
      <c r="B991" s="6">
        <v>200000</v>
      </c>
      <c r="C991" s="6" t="s">
        <v>17</v>
      </c>
      <c r="D991" s="6" t="s">
        <v>1720</v>
      </c>
      <c r="E991" s="6" t="s">
        <v>1721</v>
      </c>
      <c r="F991" s="6" t="s">
        <v>1710</v>
      </c>
      <c r="G991" s="6" t="s">
        <v>1678</v>
      </c>
      <c r="H991" s="7">
        <v>39861.813194444447</v>
      </c>
      <c r="I991" s="6">
        <v>-33.3333333</v>
      </c>
      <c r="J991" s="6">
        <v>115.6333333</v>
      </c>
      <c r="K991" s="8"/>
      <c r="L991" s="5">
        <f t="shared" si="30"/>
        <v>2009</v>
      </c>
      <c r="M991" s="5">
        <f t="shared" si="31"/>
        <v>39861</v>
      </c>
      <c r="N991" s="18">
        <v>0.50208333333333333</v>
      </c>
    </row>
    <row r="992" spans="1:14" x14ac:dyDescent="0.3">
      <c r="A992" s="3" t="s">
        <v>11</v>
      </c>
      <c r="B992" s="3">
        <v>1200</v>
      </c>
      <c r="C992" s="3" t="s">
        <v>17</v>
      </c>
      <c r="D992" s="3" t="s">
        <v>691</v>
      </c>
      <c r="E992" s="3" t="s">
        <v>1722</v>
      </c>
      <c r="F992" s="3" t="s">
        <v>1680</v>
      </c>
      <c r="G992" s="3" t="s">
        <v>1678</v>
      </c>
      <c r="H992" s="4">
        <v>39862.963194444441</v>
      </c>
      <c r="I992" s="3">
        <v>-27.483333300000002</v>
      </c>
      <c r="J992" s="3">
        <v>153.21666669999999</v>
      </c>
      <c r="K992" s="5"/>
      <c r="L992" s="8">
        <f t="shared" si="30"/>
        <v>2009</v>
      </c>
      <c r="M992" s="8">
        <f t="shared" si="31"/>
        <v>39862</v>
      </c>
      <c r="N992" s="19">
        <v>7.9166666666666663E-2</v>
      </c>
    </row>
    <row r="993" spans="1:14" x14ac:dyDescent="0.3">
      <c r="A993" s="6" t="s">
        <v>11</v>
      </c>
      <c r="B993" s="6">
        <v>1200</v>
      </c>
      <c r="C993" s="6" t="s">
        <v>12</v>
      </c>
      <c r="D993" s="6" t="s">
        <v>314</v>
      </c>
      <c r="E993" s="6" t="s">
        <v>1684</v>
      </c>
      <c r="F993" s="6" t="s">
        <v>1680</v>
      </c>
      <c r="G993" s="6" t="s">
        <v>1678</v>
      </c>
      <c r="H993" s="7">
        <v>39862.966666666667</v>
      </c>
      <c r="I993" s="6">
        <v>-27.5</v>
      </c>
      <c r="J993" s="6">
        <v>153.0166667</v>
      </c>
      <c r="K993" s="8"/>
      <c r="L993" s="5">
        <f t="shared" si="30"/>
        <v>2009</v>
      </c>
      <c r="M993" s="5">
        <f t="shared" si="31"/>
        <v>39862</v>
      </c>
      <c r="N993" s="18">
        <v>0.39930555555555558</v>
      </c>
    </row>
    <row r="994" spans="1:14" x14ac:dyDescent="0.3">
      <c r="A994" s="3" t="s">
        <v>11</v>
      </c>
      <c r="B994" s="3">
        <v>1200</v>
      </c>
      <c r="C994" s="3" t="s">
        <v>12</v>
      </c>
      <c r="D994" s="3" t="s">
        <v>1723</v>
      </c>
      <c r="E994" s="3" t="s">
        <v>887</v>
      </c>
      <c r="F994" s="3" t="s">
        <v>1710</v>
      </c>
      <c r="G994" s="3" t="s">
        <v>1678</v>
      </c>
      <c r="H994" s="4">
        <v>39868.669444444444</v>
      </c>
      <c r="I994" s="3">
        <v>-31.933333300000001</v>
      </c>
      <c r="J994" s="3">
        <v>115.83333330000001</v>
      </c>
      <c r="K994" s="5"/>
      <c r="L994" s="8">
        <f t="shared" si="30"/>
        <v>2009</v>
      </c>
      <c r="M994" s="8">
        <f t="shared" si="31"/>
        <v>39868</v>
      </c>
      <c r="N994" s="19">
        <v>0.11180555555555556</v>
      </c>
    </row>
    <row r="995" spans="1:14" x14ac:dyDescent="0.3">
      <c r="A995" s="6" t="s">
        <v>21</v>
      </c>
      <c r="B995" s="6">
        <v>200000</v>
      </c>
      <c r="C995" s="6" t="s">
        <v>65</v>
      </c>
      <c r="D995" s="6" t="s">
        <v>1724</v>
      </c>
      <c r="E995" s="6" t="s">
        <v>887</v>
      </c>
      <c r="F995" s="6" t="s">
        <v>1710</v>
      </c>
      <c r="G995" s="6" t="s">
        <v>1678</v>
      </c>
      <c r="H995" s="7">
        <v>39871.779861111114</v>
      </c>
      <c r="I995" s="6">
        <v>-31.933333300000001</v>
      </c>
      <c r="J995" s="6">
        <v>115.83333330000001</v>
      </c>
      <c r="K995" s="8"/>
      <c r="L995" s="5">
        <f t="shared" si="30"/>
        <v>2009</v>
      </c>
      <c r="M995" s="5">
        <f t="shared" si="31"/>
        <v>39871</v>
      </c>
      <c r="N995" s="18">
        <v>0.22500000000000001</v>
      </c>
    </row>
    <row r="996" spans="1:14" x14ac:dyDescent="0.3">
      <c r="A996" s="3" t="s">
        <v>11</v>
      </c>
      <c r="B996" s="3">
        <v>1200</v>
      </c>
      <c r="C996" s="3" t="s">
        <v>17</v>
      </c>
      <c r="D996" s="3" t="s">
        <v>1725</v>
      </c>
      <c r="E996" s="3" t="s">
        <v>1726</v>
      </c>
      <c r="F996" s="3" t="s">
        <v>1680</v>
      </c>
      <c r="G996" s="3" t="s">
        <v>1678</v>
      </c>
      <c r="H996" s="4">
        <v>39872.583333333336</v>
      </c>
      <c r="I996" s="3">
        <v>-28.05</v>
      </c>
      <c r="J996" s="3">
        <v>153.35</v>
      </c>
      <c r="K996" s="5"/>
      <c r="L996" s="5">
        <f t="shared" si="30"/>
        <v>2009</v>
      </c>
      <c r="M996" s="5">
        <f t="shared" si="31"/>
        <v>39872</v>
      </c>
      <c r="N996" s="18">
        <v>0.28958333333333336</v>
      </c>
    </row>
    <row r="997" spans="1:14" x14ac:dyDescent="0.3">
      <c r="A997" s="6" t="s">
        <v>21</v>
      </c>
      <c r="B997" s="6">
        <v>200000</v>
      </c>
      <c r="C997" s="6" t="s">
        <v>17</v>
      </c>
      <c r="D997" s="6" t="s">
        <v>1727</v>
      </c>
      <c r="E997" s="6" t="s">
        <v>1728</v>
      </c>
      <c r="F997" s="6" t="s">
        <v>1687</v>
      </c>
      <c r="G997" s="6" t="s">
        <v>1678</v>
      </c>
      <c r="H997" s="7">
        <v>39872.93472222222</v>
      </c>
      <c r="I997" s="6">
        <v>-33.633333299999997</v>
      </c>
      <c r="J997" s="6">
        <v>151.33333329999999</v>
      </c>
      <c r="K997" s="8"/>
      <c r="L997" s="8">
        <f t="shared" si="30"/>
        <v>2009</v>
      </c>
      <c r="M997" s="8">
        <f t="shared" si="31"/>
        <v>39872</v>
      </c>
      <c r="N997" s="19">
        <v>0.52916666666666667</v>
      </c>
    </row>
    <row r="998" spans="1:14" x14ac:dyDescent="0.3">
      <c r="A998" s="3" t="s">
        <v>21</v>
      </c>
      <c r="B998" s="3">
        <v>200000</v>
      </c>
      <c r="C998" s="3" t="s">
        <v>17</v>
      </c>
      <c r="D998" s="3" t="s">
        <v>1729</v>
      </c>
      <c r="E998" s="3" t="s">
        <v>1690</v>
      </c>
      <c r="F998" s="3" t="s">
        <v>1687</v>
      </c>
      <c r="G998" s="3" t="s">
        <v>1678</v>
      </c>
      <c r="H998" s="4">
        <v>39873.009722222225</v>
      </c>
      <c r="I998" s="3">
        <v>-33.883333299999997</v>
      </c>
      <c r="J998" s="3">
        <v>151.21666669999999</v>
      </c>
      <c r="K998" s="5"/>
      <c r="L998" s="5">
        <f t="shared" si="30"/>
        <v>2009</v>
      </c>
      <c r="M998" s="5">
        <f t="shared" si="31"/>
        <v>39873</v>
      </c>
      <c r="N998" s="18">
        <v>0.32500000000000001</v>
      </c>
    </row>
    <row r="999" spans="1:14" x14ac:dyDescent="0.3">
      <c r="A999" s="6" t="s">
        <v>11</v>
      </c>
      <c r="B999" s="6">
        <v>1200</v>
      </c>
      <c r="C999" s="6" t="s">
        <v>65</v>
      </c>
      <c r="D999" s="6" t="s">
        <v>1730</v>
      </c>
      <c r="E999" s="6" t="s">
        <v>1731</v>
      </c>
      <c r="F999" s="6" t="s">
        <v>1732</v>
      </c>
      <c r="G999" s="6" t="s">
        <v>1733</v>
      </c>
      <c r="H999" s="7">
        <v>39854.276388888888</v>
      </c>
      <c r="I999" s="6">
        <v>-37.15</v>
      </c>
      <c r="J999" s="6">
        <v>-58.483333299999998</v>
      </c>
      <c r="K999" s="8"/>
      <c r="L999" s="8">
        <f t="shared" si="30"/>
        <v>2009</v>
      </c>
      <c r="M999" s="8">
        <f t="shared" si="31"/>
        <v>39854</v>
      </c>
      <c r="N999" s="19">
        <v>0.24791666666666667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552CD-5BB0-41AE-A73E-8D9097D41BAC}">
  <sheetPr codeName="Sheet2"/>
  <dimension ref="A2:B5"/>
  <sheetViews>
    <sheetView topLeftCell="A4" workbookViewId="0">
      <selection activeCell="B19" sqref="B19"/>
    </sheetView>
  </sheetViews>
  <sheetFormatPr defaultRowHeight="14.4" x14ac:dyDescent="0.3"/>
  <cols>
    <col min="1" max="1" width="12.5546875" bestFit="1" customWidth="1"/>
    <col min="2" max="2" width="16" bestFit="1" customWidth="1"/>
    <col min="3" max="3" width="15.5546875" bestFit="1" customWidth="1"/>
    <col min="4" max="4" width="11.6640625" bestFit="1" customWidth="1"/>
    <col min="5" max="6" width="12.6640625" bestFit="1" customWidth="1"/>
  </cols>
  <sheetData>
    <row r="2" spans="1:2" x14ac:dyDescent="0.3">
      <c r="A2" t="s">
        <v>1745</v>
      </c>
    </row>
    <row r="3" spans="1:2" x14ac:dyDescent="0.3">
      <c r="A3" s="13" t="s">
        <v>1736</v>
      </c>
    </row>
    <row r="4" spans="1:2" x14ac:dyDescent="0.3">
      <c r="A4" t="s">
        <v>1738</v>
      </c>
      <c r="B4">
        <f>COUNTA(A4:A5)</f>
        <v>2</v>
      </c>
    </row>
    <row r="5" spans="1:2" x14ac:dyDescent="0.3">
      <c r="A5" t="s">
        <v>1739</v>
      </c>
      <c r="B5" t="str">
        <f>IF(B4=1,"Displayed Sales at "&amp;A4, "Sales for all time Ranges")</f>
        <v>Sales for all time Ranges</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345886-3E44-41D8-9DCD-60B151913CF2}">
  <dimension ref="A2:H104"/>
  <sheetViews>
    <sheetView topLeftCell="A82" zoomScaleNormal="100" workbookViewId="0">
      <selection activeCell="B86" sqref="B86"/>
    </sheetView>
  </sheetViews>
  <sheetFormatPr defaultRowHeight="14.4" x14ac:dyDescent="0.3"/>
  <cols>
    <col min="1" max="1" width="15" bestFit="1" customWidth="1"/>
    <col min="2" max="2" width="10.77734375" bestFit="1" customWidth="1"/>
    <col min="3" max="3" width="8" bestFit="1" customWidth="1"/>
    <col min="4" max="4" width="11.77734375" bestFit="1" customWidth="1"/>
    <col min="5" max="5" width="12.5546875" bestFit="1" customWidth="1"/>
    <col min="6" max="6" width="11.6640625" bestFit="1" customWidth="1"/>
    <col min="7" max="7" width="12.6640625" customWidth="1"/>
    <col min="8" max="8" width="17.88671875" customWidth="1"/>
  </cols>
  <sheetData>
    <row r="2" spans="1:8" x14ac:dyDescent="0.3">
      <c r="A2" s="25" t="s">
        <v>1762</v>
      </c>
    </row>
    <row r="3" spans="1:8" x14ac:dyDescent="0.3">
      <c r="A3" s="13" t="s">
        <v>1740</v>
      </c>
      <c r="B3" t="s">
        <v>1746</v>
      </c>
      <c r="C3" t="s">
        <v>1747</v>
      </c>
      <c r="D3" t="s">
        <v>1750</v>
      </c>
      <c r="E3" t="s">
        <v>1748</v>
      </c>
    </row>
    <row r="4" spans="1:8" x14ac:dyDescent="0.3">
      <c r="A4" s="14" t="s">
        <v>65</v>
      </c>
      <c r="B4" s="29">
        <v>147</v>
      </c>
      <c r="C4" s="21">
        <v>0.13540420114576704</v>
      </c>
      <c r="D4" s="20">
        <v>2659000</v>
      </c>
      <c r="E4" s="20">
        <v>18088.43537414966</v>
      </c>
    </row>
    <row r="5" spans="1:8" x14ac:dyDescent="0.3">
      <c r="A5" s="14" t="s">
        <v>17</v>
      </c>
      <c r="B5" s="29">
        <v>303</v>
      </c>
      <c r="C5" s="21">
        <v>0.31346912794398474</v>
      </c>
      <c r="D5" s="20">
        <v>6155750</v>
      </c>
      <c r="E5" s="20">
        <v>20316.006600660065</v>
      </c>
    </row>
    <row r="6" spans="1:8" x14ac:dyDescent="0.3">
      <c r="A6" s="14" t="s">
        <v>12</v>
      </c>
      <c r="B6" s="29">
        <v>548</v>
      </c>
      <c r="C6" s="21">
        <v>0.55112667091024825</v>
      </c>
      <c r="D6" s="20">
        <v>10822750</v>
      </c>
      <c r="E6" s="20">
        <v>19749.543795620437</v>
      </c>
    </row>
    <row r="7" spans="1:8" x14ac:dyDescent="0.3">
      <c r="A7" s="14" t="s">
        <v>1741</v>
      </c>
      <c r="B7" s="29">
        <v>998</v>
      </c>
      <c r="C7" s="21">
        <v>1</v>
      </c>
      <c r="D7" s="29">
        <v>19637500</v>
      </c>
      <c r="E7" s="29">
        <v>19676.85370741483</v>
      </c>
    </row>
    <row r="14" spans="1:8" x14ac:dyDescent="0.3">
      <c r="A14" s="13" t="s">
        <v>1756</v>
      </c>
      <c r="E14" s="24" t="s">
        <v>1749</v>
      </c>
      <c r="F14" s="24" t="str">
        <f>B3</f>
        <v>Transaction</v>
      </c>
      <c r="G14" s="24" t="str">
        <f>D3</f>
        <v xml:space="preserve">Sales </v>
      </c>
      <c r="H14" s="24" t="str">
        <f>E3</f>
        <v>Average Sales</v>
      </c>
    </row>
    <row r="15" spans="1:8" x14ac:dyDescent="0.3">
      <c r="A15" s="14" t="s">
        <v>65</v>
      </c>
      <c r="B15">
        <f>COUNTA(A15:A17)</f>
        <v>3</v>
      </c>
      <c r="D15" t="str">
        <f>A15</f>
        <v>Amex</v>
      </c>
      <c r="E15" s="22">
        <f>IF(B15,VLOOKUP(D15,A4:C6,3,FALSE),100%)</f>
        <v>0.13540420114576704</v>
      </c>
      <c r="F15">
        <f>IF(B15,VLOOKUP(D15,A4:E6,2,FALSE),B7)</f>
        <v>147</v>
      </c>
      <c r="G15" s="20">
        <f>IF(B15,VLOOKUP(D15,A4:F6,4,FALSE),D7)</f>
        <v>2659000</v>
      </c>
      <c r="H15" s="20">
        <f>IF(B15,VLOOKUP(D15,A4:E6,5,FALSE),E7)</f>
        <v>18088.43537414966</v>
      </c>
    </row>
    <row r="16" spans="1:8" x14ac:dyDescent="0.3">
      <c r="A16" s="14" t="s">
        <v>17</v>
      </c>
    </row>
    <row r="17" spans="1:6" x14ac:dyDescent="0.3">
      <c r="A17" s="14" t="s">
        <v>12</v>
      </c>
    </row>
    <row r="18" spans="1:6" x14ac:dyDescent="0.3">
      <c r="A18" s="14" t="s">
        <v>1741</v>
      </c>
    </row>
    <row r="20" spans="1:6" x14ac:dyDescent="0.3">
      <c r="A20" s="25" t="s">
        <v>1761</v>
      </c>
    </row>
    <row r="22" spans="1:6" x14ac:dyDescent="0.3">
      <c r="A22" t="s">
        <v>1751</v>
      </c>
      <c r="B22" t="str">
        <f>TEXT(E15,"0.0%")&amp;" of " &amp;" 100% "</f>
        <v xml:space="preserve">13.5% of  100% </v>
      </c>
      <c r="E22" s="26" t="s">
        <v>65</v>
      </c>
      <c r="F22" s="27" t="s">
        <v>1754</v>
      </c>
    </row>
    <row r="23" spans="1:6" x14ac:dyDescent="0.3">
      <c r="A23" t="s">
        <v>1752</v>
      </c>
      <c r="B23" s="23" t="str">
        <f>IF(B15,B22,E15)</f>
        <v xml:space="preserve">13.5% of  100% </v>
      </c>
      <c r="E23" s="26" t="s">
        <v>17</v>
      </c>
      <c r="F23" s="27" t="s">
        <v>17</v>
      </c>
    </row>
    <row r="24" spans="1:6" x14ac:dyDescent="0.3">
      <c r="E24" s="26" t="s">
        <v>12</v>
      </c>
      <c r="F24" s="27" t="s">
        <v>1755</v>
      </c>
    </row>
    <row r="25" spans="1:6" x14ac:dyDescent="0.3">
      <c r="D25" s="24" t="s">
        <v>1753</v>
      </c>
      <c r="E25" t="str">
        <f>IF(B15,VLOOKUP(D15,E22:F24,2,0),"All cards")</f>
        <v xml:space="preserve">American express </v>
      </c>
    </row>
    <row r="52" spans="2:5" x14ac:dyDescent="0.3">
      <c r="B52" s="20"/>
      <c r="E52" s="20"/>
    </row>
    <row r="76" spans="6:6" x14ac:dyDescent="0.3">
      <c r="F76" t="s">
        <v>1757</v>
      </c>
    </row>
    <row r="77" spans="6:6" x14ac:dyDescent="0.3">
      <c r="F77" s="20">
        <v>19637500</v>
      </c>
    </row>
    <row r="79" spans="6:6" x14ac:dyDescent="0.3">
      <c r="F79" s="20">
        <f>GETPIVOTDATA("Sales",$F$76)</f>
        <v>19637500</v>
      </c>
    </row>
    <row r="82" spans="1:2" x14ac:dyDescent="0.3">
      <c r="A82" s="13" t="s">
        <v>1740</v>
      </c>
      <c r="B82" t="s">
        <v>1757</v>
      </c>
    </row>
    <row r="83" spans="1:2" x14ac:dyDescent="0.3">
      <c r="A83" s="28">
        <v>1</v>
      </c>
      <c r="B83" s="29">
        <v>3108900</v>
      </c>
    </row>
    <row r="84" spans="1:2" x14ac:dyDescent="0.3">
      <c r="A84" s="28">
        <v>2</v>
      </c>
      <c r="B84" s="29">
        <v>3157650</v>
      </c>
    </row>
    <row r="85" spans="1:2" x14ac:dyDescent="0.3">
      <c r="A85" s="28">
        <v>3</v>
      </c>
      <c r="B85" s="29">
        <v>2583500</v>
      </c>
    </row>
    <row r="86" spans="1:2" x14ac:dyDescent="0.3">
      <c r="A86" s="28">
        <v>4</v>
      </c>
      <c r="B86" s="29">
        <v>2945400</v>
      </c>
    </row>
    <row r="87" spans="1:2" x14ac:dyDescent="0.3">
      <c r="A87" s="28">
        <v>5</v>
      </c>
      <c r="B87" s="29">
        <v>3370600</v>
      </c>
    </row>
    <row r="88" spans="1:2" x14ac:dyDescent="0.3">
      <c r="A88" s="28">
        <v>6</v>
      </c>
      <c r="B88" s="29">
        <v>2351450</v>
      </c>
    </row>
    <row r="89" spans="1:2" x14ac:dyDescent="0.3">
      <c r="A89" s="28">
        <v>7</v>
      </c>
      <c r="B89" s="29">
        <v>2120000</v>
      </c>
    </row>
    <row r="90" spans="1:2" x14ac:dyDescent="0.3">
      <c r="A90" s="28" t="s">
        <v>1741</v>
      </c>
      <c r="B90" s="29">
        <v>19637500</v>
      </c>
    </row>
    <row r="100" spans="2:3" x14ac:dyDescent="0.3">
      <c r="B100" s="13" t="s">
        <v>1740</v>
      </c>
      <c r="C100" t="s">
        <v>1757</v>
      </c>
    </row>
    <row r="101" spans="2:3" x14ac:dyDescent="0.3">
      <c r="B101" s="14" t="s">
        <v>11</v>
      </c>
      <c r="C101" s="20">
        <v>7991000</v>
      </c>
    </row>
    <row r="102" spans="2:3" x14ac:dyDescent="0.3">
      <c r="B102" s="14" t="s">
        <v>21</v>
      </c>
      <c r="C102" s="20">
        <v>10665600</v>
      </c>
    </row>
    <row r="103" spans="2:3" x14ac:dyDescent="0.3">
      <c r="B103" s="14" t="s">
        <v>64</v>
      </c>
      <c r="C103" s="20">
        <v>980900</v>
      </c>
    </row>
    <row r="104" spans="2:3" x14ac:dyDescent="0.3">
      <c r="B104" s="14" t="s">
        <v>1741</v>
      </c>
      <c r="C104" s="29">
        <v>19637500</v>
      </c>
    </row>
  </sheetData>
  <pageMargins left="0.7" right="0.7" top="0.75" bottom="0.75" header="0.3" footer="0.3"/>
  <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7A5B5-9BFB-493B-9E15-04476EF51D46}">
  <dimension ref="A2:F16"/>
  <sheetViews>
    <sheetView topLeftCell="A7" workbookViewId="0">
      <selection activeCell="J20" sqref="J20"/>
    </sheetView>
  </sheetViews>
  <sheetFormatPr defaultRowHeight="14.4" x14ac:dyDescent="0.3"/>
  <cols>
    <col min="1" max="1" width="10.77734375" bestFit="1" customWidth="1"/>
    <col min="2" max="2" width="11.6640625" bestFit="1" customWidth="1"/>
    <col min="5" max="5" width="46.5546875" customWidth="1"/>
  </cols>
  <sheetData>
    <row r="2" spans="1:6" x14ac:dyDescent="0.3">
      <c r="A2" t="s">
        <v>1769</v>
      </c>
    </row>
    <row r="3" spans="1:6" x14ac:dyDescent="0.3">
      <c r="A3" s="13" t="s">
        <v>1768</v>
      </c>
      <c r="B3" t="s">
        <v>1757</v>
      </c>
    </row>
    <row r="4" spans="1:6" x14ac:dyDescent="0.3">
      <c r="A4" s="14" t="s">
        <v>1776</v>
      </c>
      <c r="B4" s="20">
        <v>2650300</v>
      </c>
      <c r="E4">
        <f>COUNTA(D7:D9)</f>
        <v>3</v>
      </c>
    </row>
    <row r="5" spans="1:6" x14ac:dyDescent="0.3">
      <c r="A5" s="14" t="s">
        <v>1812</v>
      </c>
      <c r="B5" s="20">
        <v>2209350</v>
      </c>
      <c r="D5" t="s">
        <v>1770</v>
      </c>
    </row>
    <row r="6" spans="1:6" x14ac:dyDescent="0.3">
      <c r="A6" s="14" t="s">
        <v>1774</v>
      </c>
      <c r="B6" s="20">
        <v>2167100</v>
      </c>
      <c r="E6" t="s">
        <v>1771</v>
      </c>
      <c r="F6" t="s">
        <v>1759</v>
      </c>
    </row>
    <row r="7" spans="1:6" x14ac:dyDescent="0.3">
      <c r="A7" s="14" t="s">
        <v>1775</v>
      </c>
      <c r="B7" s="20">
        <v>2094800</v>
      </c>
      <c r="D7">
        <v>1</v>
      </c>
      <c r="E7">
        <f>IFERROR(LARGE(B4:B12,D7),"")</f>
        <v>2650300</v>
      </c>
      <c r="F7" t="str">
        <f>IFERROR(INDEX($A$4:$A$12,MATCH(E7,$B$4:$B$12,0)),"")</f>
        <v>10 AM</v>
      </c>
    </row>
    <row r="8" spans="1:6" x14ac:dyDescent="0.3">
      <c r="A8" s="14" t="s">
        <v>1779</v>
      </c>
      <c r="B8" s="20">
        <v>1727350</v>
      </c>
      <c r="D8">
        <v>2</v>
      </c>
      <c r="E8">
        <f>IFERROR(LARGE(B5:B13,D8),"")</f>
        <v>2167100</v>
      </c>
      <c r="F8" t="str">
        <f t="shared" ref="F8:F9" si="0">IFERROR(INDEX($A$4:$A$12,MATCH(E8,$B$4:$B$12,0)),"")</f>
        <v>11 AM</v>
      </c>
    </row>
    <row r="9" spans="1:6" x14ac:dyDescent="0.3">
      <c r="A9" s="14" t="s">
        <v>1780</v>
      </c>
      <c r="B9" s="20">
        <v>1617100</v>
      </c>
      <c r="D9">
        <v>3</v>
      </c>
      <c r="E9">
        <f>IFERROR(LARGE(B6:B14,D9),"")</f>
        <v>1727350</v>
      </c>
      <c r="F9" t="str">
        <f t="shared" si="0"/>
        <v>7 AM</v>
      </c>
    </row>
    <row r="10" spans="1:6" x14ac:dyDescent="0.3">
      <c r="A10" s="14" t="s">
        <v>1781</v>
      </c>
      <c r="B10" s="20">
        <v>1585100</v>
      </c>
    </row>
    <row r="11" spans="1:6" x14ac:dyDescent="0.3">
      <c r="A11" s="14" t="s">
        <v>1778</v>
      </c>
      <c r="B11" s="20">
        <v>1545600</v>
      </c>
    </row>
    <row r="12" spans="1:6" x14ac:dyDescent="0.3">
      <c r="A12" s="14" t="s">
        <v>1784</v>
      </c>
      <c r="B12" s="20">
        <v>1340800</v>
      </c>
      <c r="E12" t="str">
        <f>"An ideal selling time should be at  "&amp; F7&amp;"  "&amp;F8&amp;" and "&amp;F9</f>
        <v>An ideal selling time should be at  10 AM  11 AM and 7 AM</v>
      </c>
    </row>
    <row r="13" spans="1:6" x14ac:dyDescent="0.3">
      <c r="A13" s="14" t="s">
        <v>1777</v>
      </c>
      <c r="B13" s="20">
        <v>1106600</v>
      </c>
    </row>
    <row r="14" spans="1:6" x14ac:dyDescent="0.3">
      <c r="A14" s="14" t="s">
        <v>1783</v>
      </c>
      <c r="B14" s="20">
        <v>844200</v>
      </c>
    </row>
    <row r="15" spans="1:6" x14ac:dyDescent="0.3">
      <c r="A15" s="14" t="s">
        <v>1782</v>
      </c>
      <c r="B15" s="20">
        <v>749200</v>
      </c>
      <c r="E15" t="str">
        <f>IF(OR(E4=1,F7="12 pm"),"There is no enough data to display insight",E12)</f>
        <v>An ideal selling time should be at  10 AM  11 AM and 7 AM</v>
      </c>
    </row>
    <row r="16" spans="1:6" x14ac:dyDescent="0.3">
      <c r="A16" s="14" t="s">
        <v>1741</v>
      </c>
      <c r="B16" s="29">
        <v>19637500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18F91-8DB9-48CF-BF98-0A6239A7019F}">
  <dimension ref="A3:E39"/>
  <sheetViews>
    <sheetView topLeftCell="A22" workbookViewId="0">
      <selection activeCell="B40" sqref="B40"/>
    </sheetView>
  </sheetViews>
  <sheetFormatPr defaultRowHeight="14.4" x14ac:dyDescent="0.3"/>
  <cols>
    <col min="1" max="1" width="17.33203125" bestFit="1" customWidth="1"/>
    <col min="2" max="2" width="11.6640625" bestFit="1" customWidth="1"/>
    <col min="4" max="4" width="17.33203125" bestFit="1" customWidth="1"/>
    <col min="5" max="5" width="11.6640625" bestFit="1" customWidth="1"/>
  </cols>
  <sheetData>
    <row r="3" spans="1:5" x14ac:dyDescent="0.3">
      <c r="A3" s="25" t="s">
        <v>1766</v>
      </c>
      <c r="D3" s="25" t="s">
        <v>1767</v>
      </c>
    </row>
    <row r="4" spans="1:5" x14ac:dyDescent="0.3">
      <c r="A4" s="13" t="s">
        <v>1734</v>
      </c>
      <c r="B4" t="s">
        <v>1757</v>
      </c>
      <c r="D4" s="13" t="s">
        <v>1734</v>
      </c>
      <c r="E4" t="s">
        <v>1757</v>
      </c>
    </row>
    <row r="5" spans="1:5" x14ac:dyDescent="0.3">
      <c r="A5" s="14" t="s">
        <v>1811</v>
      </c>
      <c r="B5" s="20">
        <v>1055100</v>
      </c>
      <c r="D5" s="14" t="s">
        <v>1785</v>
      </c>
      <c r="E5" s="20">
        <v>132400</v>
      </c>
    </row>
    <row r="6" spans="1:5" x14ac:dyDescent="0.3">
      <c r="A6" s="14" t="s">
        <v>1810</v>
      </c>
      <c r="B6" s="20">
        <v>1046000</v>
      </c>
      <c r="D6" s="14" t="s">
        <v>1786</v>
      </c>
      <c r="E6" s="20">
        <v>173200</v>
      </c>
    </row>
    <row r="7" spans="1:5" x14ac:dyDescent="0.3">
      <c r="A7" s="14" t="s">
        <v>1809</v>
      </c>
      <c r="B7" s="20">
        <v>984000</v>
      </c>
      <c r="D7" s="14" t="s">
        <v>1787</v>
      </c>
      <c r="E7" s="20">
        <v>192400</v>
      </c>
    </row>
    <row r="8" spans="1:5" x14ac:dyDescent="0.3">
      <c r="A8" s="14" t="s">
        <v>1808</v>
      </c>
      <c r="B8" s="20">
        <v>977600</v>
      </c>
      <c r="D8" s="14" t="s">
        <v>1788</v>
      </c>
      <c r="E8" s="20">
        <v>320400</v>
      </c>
    </row>
    <row r="9" spans="1:5" x14ac:dyDescent="0.3">
      <c r="A9" s="14" t="s">
        <v>1807</v>
      </c>
      <c r="B9" s="20">
        <v>950400</v>
      </c>
      <c r="D9" s="14" t="s">
        <v>1789</v>
      </c>
      <c r="E9" s="20">
        <v>326400</v>
      </c>
    </row>
    <row r="10" spans="1:5" x14ac:dyDescent="0.3">
      <c r="A10" s="14" t="s">
        <v>1773</v>
      </c>
      <c r="B10" s="20">
        <v>945200</v>
      </c>
      <c r="D10" s="14" t="s">
        <v>1790</v>
      </c>
      <c r="E10" s="20">
        <v>338300</v>
      </c>
    </row>
    <row r="11" spans="1:5" x14ac:dyDescent="0.3">
      <c r="A11" s="14" t="s">
        <v>1806</v>
      </c>
      <c r="B11" s="20">
        <v>904000</v>
      </c>
      <c r="D11" s="14" t="s">
        <v>1791</v>
      </c>
      <c r="E11" s="20">
        <v>339400</v>
      </c>
    </row>
    <row r="12" spans="1:5" x14ac:dyDescent="0.3">
      <c r="A12" s="14" t="s">
        <v>1805</v>
      </c>
      <c r="B12" s="20">
        <v>883200</v>
      </c>
      <c r="D12" s="14" t="s">
        <v>1792</v>
      </c>
      <c r="E12" s="20">
        <v>420650</v>
      </c>
    </row>
    <row r="13" spans="1:5" x14ac:dyDescent="0.3">
      <c r="A13" s="14" t="s">
        <v>1764</v>
      </c>
      <c r="B13" s="20">
        <v>868400</v>
      </c>
      <c r="D13" s="14" t="s">
        <v>1793</v>
      </c>
      <c r="E13" s="20">
        <v>440000</v>
      </c>
    </row>
    <row r="14" spans="1:5" x14ac:dyDescent="0.3">
      <c r="A14" s="14" t="s">
        <v>1804</v>
      </c>
      <c r="B14" s="20">
        <v>794000</v>
      </c>
      <c r="D14" s="14" t="s">
        <v>1794</v>
      </c>
      <c r="E14" s="20">
        <v>475200</v>
      </c>
    </row>
    <row r="15" spans="1:5" x14ac:dyDescent="0.3">
      <c r="A15" s="14" t="s">
        <v>1765</v>
      </c>
      <c r="B15" s="20">
        <v>718200</v>
      </c>
      <c r="D15" s="14" t="s">
        <v>1795</v>
      </c>
      <c r="E15" s="20">
        <v>543200</v>
      </c>
    </row>
    <row r="16" spans="1:5" x14ac:dyDescent="0.3">
      <c r="A16" s="14" t="s">
        <v>1803</v>
      </c>
      <c r="B16" s="20">
        <v>707600</v>
      </c>
      <c r="D16" s="14" t="s">
        <v>1772</v>
      </c>
      <c r="E16" s="20">
        <v>577100</v>
      </c>
    </row>
    <row r="17" spans="1:5" x14ac:dyDescent="0.3">
      <c r="A17" s="14" t="s">
        <v>1802</v>
      </c>
      <c r="B17" s="20">
        <v>668450</v>
      </c>
      <c r="D17" s="14" t="s">
        <v>1796</v>
      </c>
      <c r="E17" s="20">
        <v>634800</v>
      </c>
    </row>
    <row r="18" spans="1:5" x14ac:dyDescent="0.3">
      <c r="A18" s="14" t="s">
        <v>1801</v>
      </c>
      <c r="B18" s="20">
        <v>656400</v>
      </c>
      <c r="D18" s="14" t="s">
        <v>1797</v>
      </c>
      <c r="E18" s="20">
        <v>637500</v>
      </c>
    </row>
    <row r="19" spans="1:5" x14ac:dyDescent="0.3">
      <c r="A19" s="14" t="s">
        <v>1800</v>
      </c>
      <c r="B19" s="20">
        <v>644400</v>
      </c>
      <c r="D19" s="14" t="s">
        <v>1798</v>
      </c>
      <c r="E19" s="20">
        <v>640000</v>
      </c>
    </row>
    <row r="20" spans="1:5" x14ac:dyDescent="0.3">
      <c r="A20" s="14" t="s">
        <v>1799</v>
      </c>
      <c r="B20" s="20">
        <v>643600</v>
      </c>
      <c r="D20" s="14" t="s">
        <v>1799</v>
      </c>
      <c r="E20" s="20">
        <v>643600</v>
      </c>
    </row>
    <row r="21" spans="1:5" x14ac:dyDescent="0.3">
      <c r="A21" s="14" t="s">
        <v>1798</v>
      </c>
      <c r="B21" s="20">
        <v>640000</v>
      </c>
      <c r="D21" s="14" t="s">
        <v>1800</v>
      </c>
      <c r="E21" s="20">
        <v>644400</v>
      </c>
    </row>
    <row r="22" spans="1:5" x14ac:dyDescent="0.3">
      <c r="A22" s="14" t="s">
        <v>1797</v>
      </c>
      <c r="B22" s="20">
        <v>637500</v>
      </c>
      <c r="D22" s="14" t="s">
        <v>1801</v>
      </c>
      <c r="E22" s="20">
        <v>656400</v>
      </c>
    </row>
    <row r="23" spans="1:5" x14ac:dyDescent="0.3">
      <c r="A23" s="14" t="s">
        <v>1796</v>
      </c>
      <c r="B23" s="20">
        <v>634800</v>
      </c>
      <c r="D23" s="14" t="s">
        <v>1802</v>
      </c>
      <c r="E23" s="20">
        <v>668450</v>
      </c>
    </row>
    <row r="24" spans="1:5" x14ac:dyDescent="0.3">
      <c r="A24" s="14" t="s">
        <v>1772</v>
      </c>
      <c r="B24" s="20">
        <v>577100</v>
      </c>
      <c r="D24" s="14" t="s">
        <v>1803</v>
      </c>
      <c r="E24" s="20">
        <v>707600</v>
      </c>
    </row>
    <row r="25" spans="1:5" x14ac:dyDescent="0.3">
      <c r="A25" s="14" t="s">
        <v>1795</v>
      </c>
      <c r="B25" s="20">
        <v>543200</v>
      </c>
      <c r="D25" s="14" t="s">
        <v>1765</v>
      </c>
      <c r="E25" s="20">
        <v>718200</v>
      </c>
    </row>
    <row r="26" spans="1:5" x14ac:dyDescent="0.3">
      <c r="A26" s="14" t="s">
        <v>1794</v>
      </c>
      <c r="B26" s="20">
        <v>475200</v>
      </c>
      <c r="D26" s="14" t="s">
        <v>1804</v>
      </c>
      <c r="E26" s="20">
        <v>794000</v>
      </c>
    </row>
    <row r="27" spans="1:5" x14ac:dyDescent="0.3">
      <c r="A27" s="14" t="s">
        <v>1793</v>
      </c>
      <c r="B27" s="20">
        <v>440000</v>
      </c>
      <c r="D27" s="14" t="s">
        <v>1764</v>
      </c>
      <c r="E27" s="20">
        <v>868400</v>
      </c>
    </row>
    <row r="28" spans="1:5" x14ac:dyDescent="0.3">
      <c r="A28" s="14" t="s">
        <v>1792</v>
      </c>
      <c r="B28" s="20">
        <v>420650</v>
      </c>
      <c r="D28" s="14" t="s">
        <v>1805</v>
      </c>
      <c r="E28" s="20">
        <v>883200</v>
      </c>
    </row>
    <row r="29" spans="1:5" x14ac:dyDescent="0.3">
      <c r="A29" s="14" t="s">
        <v>1791</v>
      </c>
      <c r="B29" s="20">
        <v>339400</v>
      </c>
      <c r="D29" s="14" t="s">
        <v>1806</v>
      </c>
      <c r="E29" s="20">
        <v>904000</v>
      </c>
    </row>
    <row r="30" spans="1:5" x14ac:dyDescent="0.3">
      <c r="A30" s="14" t="s">
        <v>1790</v>
      </c>
      <c r="B30" s="20">
        <v>338300</v>
      </c>
      <c r="D30" s="14" t="s">
        <v>1773</v>
      </c>
      <c r="E30" s="20">
        <v>945200</v>
      </c>
    </row>
    <row r="31" spans="1:5" x14ac:dyDescent="0.3">
      <c r="A31" s="14" t="s">
        <v>1789</v>
      </c>
      <c r="B31" s="20">
        <v>326400</v>
      </c>
      <c r="D31" s="14" t="s">
        <v>1807</v>
      </c>
      <c r="E31" s="20">
        <v>950400</v>
      </c>
    </row>
    <row r="32" spans="1:5" x14ac:dyDescent="0.3">
      <c r="A32" s="14" t="s">
        <v>1788</v>
      </c>
      <c r="B32" s="20">
        <v>320400</v>
      </c>
      <c r="D32" s="14" t="s">
        <v>1808</v>
      </c>
      <c r="E32" s="20">
        <v>977600</v>
      </c>
    </row>
    <row r="33" spans="1:5" x14ac:dyDescent="0.3">
      <c r="A33" s="14" t="s">
        <v>1787</v>
      </c>
      <c r="B33" s="20">
        <v>192400</v>
      </c>
      <c r="D33" s="14" t="s">
        <v>1809</v>
      </c>
      <c r="E33" s="20">
        <v>984000</v>
      </c>
    </row>
    <row r="34" spans="1:5" x14ac:dyDescent="0.3">
      <c r="A34" s="14" t="s">
        <v>1786</v>
      </c>
      <c r="B34" s="20">
        <v>173200</v>
      </c>
      <c r="D34" s="14" t="s">
        <v>1810</v>
      </c>
      <c r="E34" s="20">
        <v>1046000</v>
      </c>
    </row>
    <row r="35" spans="1:5" x14ac:dyDescent="0.3">
      <c r="A35" s="14" t="s">
        <v>1785</v>
      </c>
      <c r="B35" s="20">
        <v>132400</v>
      </c>
      <c r="D35" s="14" t="s">
        <v>1811</v>
      </c>
      <c r="E35" s="20">
        <v>1055100</v>
      </c>
    </row>
    <row r="36" spans="1:5" x14ac:dyDescent="0.3">
      <c r="A36" s="14" t="s">
        <v>1741</v>
      </c>
      <c r="B36" s="29">
        <v>19637500</v>
      </c>
      <c r="D36" s="14" t="s">
        <v>1741</v>
      </c>
      <c r="E36" s="29">
        <v>19637500</v>
      </c>
    </row>
    <row r="39" spans="1:5" x14ac:dyDescent="0.3">
      <c r="A39" t="str">
        <f>A5</f>
        <v>22-Jan 2009</v>
      </c>
      <c r="B39" s="20">
        <f>GETPIVOTDATA("Sales",$A$4,"Transaction date with year",A5)</f>
        <v>1055100</v>
      </c>
      <c r="D39" t="str">
        <f>D5</f>
        <v>09-Jan 2009</v>
      </c>
      <c r="E39" s="20">
        <f>GETPIVOTDATA("Sales",$D$4,"Transaction date with year",D5)</f>
        <v>132400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DD865-E811-404D-947E-2CFB18422D05}">
  <dimension ref="A4:C11"/>
  <sheetViews>
    <sheetView workbookViewId="0">
      <selection activeCell="O4" sqref="O4"/>
    </sheetView>
  </sheetViews>
  <sheetFormatPr defaultRowHeight="14.4" x14ac:dyDescent="0.3"/>
  <cols>
    <col min="1" max="1" width="12.21875" bestFit="1" customWidth="1"/>
    <col min="2" max="2" width="11.6640625" bestFit="1" customWidth="1"/>
    <col min="3" max="3" width="12.6640625" bestFit="1" customWidth="1"/>
  </cols>
  <sheetData>
    <row r="4" spans="1:3" x14ac:dyDescent="0.3">
      <c r="A4" s="25" t="s">
        <v>1760</v>
      </c>
    </row>
    <row r="5" spans="1:3" x14ac:dyDescent="0.3">
      <c r="A5" s="13" t="s">
        <v>1759</v>
      </c>
      <c r="B5" t="s">
        <v>1757</v>
      </c>
      <c r="C5" t="s">
        <v>1758</v>
      </c>
    </row>
    <row r="6" spans="1:3" x14ac:dyDescent="0.3">
      <c r="A6" s="14" t="s">
        <v>1738</v>
      </c>
      <c r="B6" s="21">
        <v>0.88749331635900697</v>
      </c>
      <c r="C6" s="20">
        <v>17428150</v>
      </c>
    </row>
    <row r="7" spans="1:3" x14ac:dyDescent="0.3">
      <c r="A7" s="14" t="s">
        <v>1739</v>
      </c>
      <c r="B7" s="21">
        <v>0.112506683640993</v>
      </c>
      <c r="C7" s="20">
        <v>2209350</v>
      </c>
    </row>
    <row r="8" spans="1:3" x14ac:dyDescent="0.3">
      <c r="A8" s="14" t="s">
        <v>1741</v>
      </c>
      <c r="B8" s="21">
        <v>1</v>
      </c>
      <c r="C8" s="29">
        <v>19637500</v>
      </c>
    </row>
    <row r="10" spans="1:3" x14ac:dyDescent="0.3">
      <c r="A10" t="str">
        <f t="shared" ref="A10:C11" si="0">A6</f>
        <v>AM</v>
      </c>
      <c r="B10" s="22">
        <f t="shared" si="0"/>
        <v>0.88749331635900697</v>
      </c>
      <c r="C10" s="20">
        <f t="shared" si="0"/>
        <v>17428150</v>
      </c>
    </row>
    <row r="11" spans="1:3" x14ac:dyDescent="0.3">
      <c r="A11" t="str">
        <f t="shared" si="0"/>
        <v>PM</v>
      </c>
      <c r="B11" s="22">
        <f t="shared" si="0"/>
        <v>0.112506683640993</v>
      </c>
      <c r="C11" s="20">
        <f t="shared" si="0"/>
        <v>2209350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D98B4-6F6D-4D03-8B9D-F7FC03688A71}">
  <dimension ref="A3:B60"/>
  <sheetViews>
    <sheetView workbookViewId="0">
      <selection activeCell="G22" sqref="G22"/>
    </sheetView>
  </sheetViews>
  <sheetFormatPr defaultRowHeight="14.4" x14ac:dyDescent="0.3"/>
  <cols>
    <col min="1" max="1" width="18.44140625" bestFit="1" customWidth="1"/>
    <col min="2" max="2" width="11.6640625" bestFit="1" customWidth="1"/>
  </cols>
  <sheetData>
    <row r="3" spans="1:2" x14ac:dyDescent="0.3">
      <c r="A3" s="13" t="s">
        <v>1740</v>
      </c>
      <c r="B3" t="s">
        <v>1757</v>
      </c>
    </row>
    <row r="4" spans="1:2" x14ac:dyDescent="0.3">
      <c r="A4" s="14" t="s">
        <v>1533</v>
      </c>
      <c r="B4" s="29">
        <v>3757600</v>
      </c>
    </row>
    <row r="5" spans="1:2" x14ac:dyDescent="0.3">
      <c r="A5" s="14" t="s">
        <v>1275</v>
      </c>
      <c r="B5" s="29">
        <v>2732400</v>
      </c>
    </row>
    <row r="6" spans="1:2" x14ac:dyDescent="0.3">
      <c r="A6" s="14" t="s">
        <v>16</v>
      </c>
      <c r="B6" s="29">
        <v>1828100</v>
      </c>
    </row>
    <row r="7" spans="1:2" x14ac:dyDescent="0.3">
      <c r="A7" s="14" t="s">
        <v>1489</v>
      </c>
      <c r="B7" s="29">
        <v>1650000</v>
      </c>
    </row>
    <row r="8" spans="1:2" x14ac:dyDescent="0.3">
      <c r="A8" s="14" t="s">
        <v>1678</v>
      </c>
      <c r="B8" s="29">
        <v>1636000</v>
      </c>
    </row>
    <row r="9" spans="1:2" x14ac:dyDescent="0.3">
      <c r="A9" s="14" t="s">
        <v>1435</v>
      </c>
      <c r="B9" s="29">
        <v>1514400</v>
      </c>
    </row>
    <row r="10" spans="1:2" x14ac:dyDescent="0.3">
      <c r="A10" s="14" t="s">
        <v>994</v>
      </c>
      <c r="B10" s="29">
        <v>1426400</v>
      </c>
    </row>
    <row r="11" spans="1:2" x14ac:dyDescent="0.3">
      <c r="A11" s="14" t="s">
        <v>815</v>
      </c>
      <c r="B11" s="29">
        <v>1108000</v>
      </c>
    </row>
    <row r="12" spans="1:2" x14ac:dyDescent="0.3">
      <c r="A12" s="14" t="s">
        <v>1180</v>
      </c>
      <c r="B12" s="29">
        <v>623000</v>
      </c>
    </row>
    <row r="13" spans="1:2" x14ac:dyDescent="0.3">
      <c r="A13" s="14" t="s">
        <v>1388</v>
      </c>
      <c r="B13" s="29">
        <v>524000</v>
      </c>
    </row>
    <row r="14" spans="1:2" x14ac:dyDescent="0.3">
      <c r="A14" s="14" t="s">
        <v>1243</v>
      </c>
      <c r="B14" s="29">
        <v>512000</v>
      </c>
    </row>
    <row r="15" spans="1:2" x14ac:dyDescent="0.3">
      <c r="A15" s="14" t="s">
        <v>1517</v>
      </c>
      <c r="B15" s="29">
        <v>320000</v>
      </c>
    </row>
    <row r="16" spans="1:2" x14ac:dyDescent="0.3">
      <c r="A16" s="14" t="s">
        <v>1057</v>
      </c>
      <c r="B16" s="29">
        <v>312000</v>
      </c>
    </row>
    <row r="17" spans="1:2" x14ac:dyDescent="0.3">
      <c r="A17" s="14" t="s">
        <v>1649</v>
      </c>
      <c r="B17" s="29">
        <v>208400</v>
      </c>
    </row>
    <row r="18" spans="1:2" x14ac:dyDescent="0.3">
      <c r="A18" s="14" t="s">
        <v>1663</v>
      </c>
      <c r="B18" s="29">
        <v>207200</v>
      </c>
    </row>
    <row r="19" spans="1:2" x14ac:dyDescent="0.3">
      <c r="A19" s="14" t="s">
        <v>955</v>
      </c>
      <c r="B19" s="29">
        <v>204800</v>
      </c>
    </row>
    <row r="20" spans="1:2" x14ac:dyDescent="0.3">
      <c r="A20" s="14" t="s">
        <v>1635</v>
      </c>
      <c r="B20" s="29">
        <v>204800</v>
      </c>
    </row>
    <row r="21" spans="1:2" x14ac:dyDescent="0.3">
      <c r="A21" s="14" t="s">
        <v>1142</v>
      </c>
      <c r="B21" s="29">
        <v>118000</v>
      </c>
    </row>
    <row r="22" spans="1:2" x14ac:dyDescent="0.3">
      <c r="A22" s="14" t="s">
        <v>1083</v>
      </c>
      <c r="B22" s="29">
        <v>113200</v>
      </c>
    </row>
    <row r="23" spans="1:2" x14ac:dyDescent="0.3">
      <c r="A23" s="14" t="s">
        <v>1110</v>
      </c>
      <c r="B23" s="29">
        <v>104800</v>
      </c>
    </row>
    <row r="24" spans="1:2" x14ac:dyDescent="0.3">
      <c r="A24" s="14" t="s">
        <v>1219</v>
      </c>
      <c r="B24" s="29">
        <v>101200</v>
      </c>
    </row>
    <row r="25" spans="1:2" x14ac:dyDescent="0.3">
      <c r="A25" s="14" t="s">
        <v>988</v>
      </c>
      <c r="B25" s="29">
        <v>101200</v>
      </c>
    </row>
    <row r="26" spans="1:2" x14ac:dyDescent="0.3">
      <c r="A26" s="14" t="s">
        <v>1122</v>
      </c>
      <c r="B26" s="29">
        <v>100000</v>
      </c>
    </row>
    <row r="27" spans="1:2" x14ac:dyDescent="0.3">
      <c r="A27" s="14" t="s">
        <v>1216</v>
      </c>
      <c r="B27" s="29">
        <v>100000</v>
      </c>
    </row>
    <row r="28" spans="1:2" x14ac:dyDescent="0.3">
      <c r="A28" s="14" t="s">
        <v>1238</v>
      </c>
      <c r="B28" s="29">
        <v>71200</v>
      </c>
    </row>
    <row r="29" spans="1:2" x14ac:dyDescent="0.3">
      <c r="A29" s="14" t="s">
        <v>969</v>
      </c>
      <c r="B29" s="29">
        <v>7200</v>
      </c>
    </row>
    <row r="30" spans="1:2" x14ac:dyDescent="0.3">
      <c r="A30" s="14" t="s">
        <v>1171</v>
      </c>
      <c r="B30" s="29">
        <v>7200</v>
      </c>
    </row>
    <row r="31" spans="1:2" x14ac:dyDescent="0.3">
      <c r="A31" s="14" t="s">
        <v>1369</v>
      </c>
      <c r="B31" s="29">
        <v>3600</v>
      </c>
    </row>
    <row r="32" spans="1:2" x14ac:dyDescent="0.3">
      <c r="A32" s="14" t="s">
        <v>1130</v>
      </c>
      <c r="B32" s="29">
        <v>2400</v>
      </c>
    </row>
    <row r="33" spans="1:2" x14ac:dyDescent="0.3">
      <c r="A33" s="14" t="s">
        <v>981</v>
      </c>
      <c r="B33" s="29">
        <v>2400</v>
      </c>
    </row>
    <row r="34" spans="1:2" x14ac:dyDescent="0.3">
      <c r="A34" s="14" t="s">
        <v>1210</v>
      </c>
      <c r="B34" s="29">
        <v>2400</v>
      </c>
    </row>
    <row r="35" spans="1:2" x14ac:dyDescent="0.3">
      <c r="A35" s="14" t="s">
        <v>1360</v>
      </c>
      <c r="B35" s="29">
        <v>2400</v>
      </c>
    </row>
    <row r="36" spans="1:2" x14ac:dyDescent="0.3">
      <c r="A36" s="14" t="s">
        <v>1479</v>
      </c>
      <c r="B36" s="29">
        <v>2400</v>
      </c>
    </row>
    <row r="37" spans="1:2" x14ac:dyDescent="0.3">
      <c r="A37" s="14" t="s">
        <v>1136</v>
      </c>
      <c r="B37" s="29">
        <v>2400</v>
      </c>
    </row>
    <row r="38" spans="1:2" x14ac:dyDescent="0.3">
      <c r="A38" s="14" t="s">
        <v>1228</v>
      </c>
      <c r="B38" s="29">
        <v>1200</v>
      </c>
    </row>
    <row r="39" spans="1:2" x14ac:dyDescent="0.3">
      <c r="A39" s="14" t="s">
        <v>1107</v>
      </c>
      <c r="B39" s="29">
        <v>1200</v>
      </c>
    </row>
    <row r="40" spans="1:2" x14ac:dyDescent="0.3">
      <c r="A40" s="14" t="s">
        <v>1365</v>
      </c>
      <c r="B40" s="29">
        <v>1200</v>
      </c>
    </row>
    <row r="41" spans="1:2" x14ac:dyDescent="0.3">
      <c r="A41" s="14" t="s">
        <v>1214</v>
      </c>
      <c r="B41" s="29">
        <v>1200</v>
      </c>
    </row>
    <row r="42" spans="1:2" x14ac:dyDescent="0.3">
      <c r="A42" s="14" t="s">
        <v>1380</v>
      </c>
      <c r="B42" s="29">
        <v>1200</v>
      </c>
    </row>
    <row r="43" spans="1:2" x14ac:dyDescent="0.3">
      <c r="A43" s="14" t="s">
        <v>1524</v>
      </c>
      <c r="B43" s="29">
        <v>1200</v>
      </c>
    </row>
    <row r="44" spans="1:2" x14ac:dyDescent="0.3">
      <c r="A44" s="14" t="s">
        <v>1223</v>
      </c>
      <c r="B44" s="29">
        <v>1200</v>
      </c>
    </row>
    <row r="45" spans="1:2" x14ac:dyDescent="0.3">
      <c r="A45" s="14" t="s">
        <v>1485</v>
      </c>
      <c r="B45" s="29">
        <v>1200</v>
      </c>
    </row>
    <row r="46" spans="1:2" x14ac:dyDescent="0.3">
      <c r="A46" s="14" t="s">
        <v>1527</v>
      </c>
      <c r="B46" s="29">
        <v>1200</v>
      </c>
    </row>
    <row r="47" spans="1:2" x14ac:dyDescent="0.3">
      <c r="A47" s="14" t="s">
        <v>1733</v>
      </c>
      <c r="B47" s="29">
        <v>1200</v>
      </c>
    </row>
    <row r="48" spans="1:2" x14ac:dyDescent="0.3">
      <c r="A48" s="14" t="s">
        <v>1384</v>
      </c>
      <c r="B48" s="29">
        <v>1200</v>
      </c>
    </row>
    <row r="49" spans="1:2" x14ac:dyDescent="0.3">
      <c r="A49" s="14" t="s">
        <v>1234</v>
      </c>
      <c r="B49" s="29">
        <v>1200</v>
      </c>
    </row>
    <row r="50" spans="1:2" x14ac:dyDescent="0.3">
      <c r="A50" s="14" t="s">
        <v>1377</v>
      </c>
      <c r="B50" s="29">
        <v>1200</v>
      </c>
    </row>
    <row r="51" spans="1:2" x14ac:dyDescent="0.3">
      <c r="A51" s="14" t="s">
        <v>1271</v>
      </c>
      <c r="B51" s="29">
        <v>1200</v>
      </c>
    </row>
    <row r="52" spans="1:2" x14ac:dyDescent="0.3">
      <c r="A52" s="14" t="s">
        <v>1225</v>
      </c>
      <c r="B52" s="29">
        <v>1200</v>
      </c>
    </row>
    <row r="53" spans="1:2" x14ac:dyDescent="0.3">
      <c r="A53" s="14" t="s">
        <v>1231</v>
      </c>
      <c r="B53" s="29">
        <v>1200</v>
      </c>
    </row>
    <row r="54" spans="1:2" x14ac:dyDescent="0.3">
      <c r="A54" s="14" t="s">
        <v>965</v>
      </c>
      <c r="B54" s="29">
        <v>1200</v>
      </c>
    </row>
    <row r="55" spans="1:2" x14ac:dyDescent="0.3">
      <c r="A55" s="14" t="s">
        <v>1126</v>
      </c>
      <c r="B55" s="29">
        <v>1200</v>
      </c>
    </row>
    <row r="56" spans="1:2" x14ac:dyDescent="0.3">
      <c r="A56" s="14" t="s">
        <v>1662</v>
      </c>
      <c r="B56" s="29">
        <v>1200</v>
      </c>
    </row>
    <row r="57" spans="1:2" x14ac:dyDescent="0.3">
      <c r="A57" s="14" t="s">
        <v>1646</v>
      </c>
      <c r="B57" s="29">
        <v>1200</v>
      </c>
    </row>
    <row r="58" spans="1:2" x14ac:dyDescent="0.3">
      <c r="A58" s="14" t="s">
        <v>1631</v>
      </c>
      <c r="B58" s="29">
        <v>1200</v>
      </c>
    </row>
    <row r="59" spans="1:2" x14ac:dyDescent="0.3">
      <c r="A59" s="14" t="s">
        <v>1530</v>
      </c>
      <c r="B59" s="29">
        <v>1200</v>
      </c>
    </row>
    <row r="60" spans="1:2" x14ac:dyDescent="0.3">
      <c r="A60" s="14" t="s">
        <v>1741</v>
      </c>
      <c r="B60" s="29">
        <v>19637500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A3B6C-6407-42FD-96B7-4C4F20143CB3}">
  <sheetPr codeName="Sheet3"/>
  <dimension ref="A1:L999"/>
  <sheetViews>
    <sheetView topLeftCell="A941" workbookViewId="0">
      <selection activeCell="O979" sqref="O979"/>
    </sheetView>
  </sheetViews>
  <sheetFormatPr defaultRowHeight="14.4" x14ac:dyDescent="0.3"/>
  <cols>
    <col min="1" max="1" width="20.5546875" customWidth="1"/>
    <col min="2" max="2" width="19.21875" customWidth="1"/>
    <col min="3" max="3" width="12.77734375" customWidth="1"/>
    <col min="4" max="4" width="14.21875" customWidth="1"/>
    <col min="5" max="5" width="17" customWidth="1"/>
    <col min="6" max="6" width="20.6640625" customWidth="1"/>
    <col min="7" max="7" width="16.77734375" customWidth="1"/>
    <col min="8" max="8" width="13.109375" customWidth="1"/>
    <col min="9" max="9" width="13" customWidth="1"/>
    <col min="10" max="10" width="13.77734375" customWidth="1"/>
  </cols>
  <sheetData>
    <row r="1" spans="1:12" x14ac:dyDescent="0.3">
      <c r="A1" t="s">
        <v>1763</v>
      </c>
      <c r="B1" t="s">
        <v>1734</v>
      </c>
      <c r="C1" t="s">
        <v>1742</v>
      </c>
      <c r="D1" t="s">
        <v>1735</v>
      </c>
      <c r="E1" t="s">
        <v>1736</v>
      </c>
      <c r="F1" t="s">
        <v>0</v>
      </c>
      <c r="G1" t="s">
        <v>1</v>
      </c>
      <c r="H1" t="s">
        <v>2</v>
      </c>
      <c r="I1" t="s">
        <v>3</v>
      </c>
      <c r="J1" t="s">
        <v>4</v>
      </c>
      <c r="K1" t="s">
        <v>6</v>
      </c>
      <c r="L1" s="9" t="s">
        <v>1737</v>
      </c>
    </row>
    <row r="2" spans="1:12" x14ac:dyDescent="0.3">
      <c r="A2" t="str">
        <f t="shared" ref="A2:A65" si="0">TEXT(B2, "dd-mmm") &amp; " " &amp; C2</f>
        <v>02-Jan 2009</v>
      </c>
      <c r="B2" s="10">
        <v>39815</v>
      </c>
      <c r="C2">
        <v>2009</v>
      </c>
      <c r="D2" s="11">
        <v>0.20347222222222222</v>
      </c>
      <c r="E2" t="s">
        <v>1738</v>
      </c>
      <c r="F2" t="s">
        <v>11</v>
      </c>
      <c r="G2">
        <v>1200</v>
      </c>
      <c r="H2" t="s">
        <v>12</v>
      </c>
      <c r="I2" t="s">
        <v>13</v>
      </c>
      <c r="J2" t="s">
        <v>14</v>
      </c>
      <c r="K2" t="s">
        <v>16</v>
      </c>
      <c r="L2" s="9">
        <f>WEEKDAY(Table1_2[[#This Row],[Transaction date]])</f>
        <v>6</v>
      </c>
    </row>
    <row r="3" spans="1:12" x14ac:dyDescent="0.3">
      <c r="A3" t="str">
        <f t="shared" si="0"/>
        <v>02-Jan 2009</v>
      </c>
      <c r="B3" s="10">
        <v>39815</v>
      </c>
      <c r="C3">
        <v>2009</v>
      </c>
      <c r="D3" s="11">
        <v>4.7222222222222221E-2</v>
      </c>
      <c r="E3" t="s">
        <v>1738</v>
      </c>
      <c r="F3" t="s">
        <v>11</v>
      </c>
      <c r="G3">
        <v>1200</v>
      </c>
      <c r="H3" t="s">
        <v>17</v>
      </c>
      <c r="I3" t="s">
        <v>18</v>
      </c>
      <c r="J3" t="s">
        <v>19</v>
      </c>
      <c r="K3" t="s">
        <v>16</v>
      </c>
      <c r="L3" s="9">
        <f>WEEKDAY(Table1_2[[#This Row],[Transaction date]])</f>
        <v>6</v>
      </c>
    </row>
    <row r="4" spans="1:12" x14ac:dyDescent="0.3">
      <c r="A4" t="str">
        <f t="shared" si="0"/>
        <v>04-Jan 2009</v>
      </c>
      <c r="B4" s="10">
        <v>39817</v>
      </c>
      <c r="C4">
        <v>2009</v>
      </c>
      <c r="D4" s="11">
        <v>0.53888888888888886</v>
      </c>
      <c r="E4" t="s">
        <v>1739</v>
      </c>
      <c r="F4" t="s">
        <v>21</v>
      </c>
      <c r="G4">
        <v>3600</v>
      </c>
      <c r="H4" t="s">
        <v>12</v>
      </c>
      <c r="I4" t="s">
        <v>22</v>
      </c>
      <c r="J4" t="s">
        <v>23</v>
      </c>
      <c r="K4" t="s">
        <v>16</v>
      </c>
      <c r="L4" s="9">
        <f>WEEKDAY(Table1_2[[#This Row],[Transaction date]])</f>
        <v>1</v>
      </c>
    </row>
    <row r="5" spans="1:12" x14ac:dyDescent="0.3">
      <c r="A5" t="str">
        <f t="shared" si="0"/>
        <v>05-Jan 2009</v>
      </c>
      <c r="B5" s="10">
        <v>39818</v>
      </c>
      <c r="C5">
        <v>2009</v>
      </c>
      <c r="D5" s="11">
        <v>0.53888888888888886</v>
      </c>
      <c r="E5" t="s">
        <v>1739</v>
      </c>
      <c r="F5" t="s">
        <v>11</v>
      </c>
      <c r="G5">
        <v>1200</v>
      </c>
      <c r="H5" t="s">
        <v>12</v>
      </c>
      <c r="I5" t="s">
        <v>25</v>
      </c>
      <c r="J5" t="s">
        <v>26</v>
      </c>
      <c r="K5" t="s">
        <v>16</v>
      </c>
      <c r="L5" s="9">
        <f>WEEKDAY(Table1_2[[#This Row],[Transaction date]])</f>
        <v>2</v>
      </c>
    </row>
    <row r="6" spans="1:12" x14ac:dyDescent="0.3">
      <c r="A6" t="str">
        <f t="shared" si="0"/>
        <v>06-Jan 2009</v>
      </c>
      <c r="B6" s="10">
        <v>39819</v>
      </c>
      <c r="C6">
        <v>2009</v>
      </c>
      <c r="D6" s="11">
        <v>0.53888888888888886</v>
      </c>
      <c r="E6" t="s">
        <v>1739</v>
      </c>
      <c r="F6" t="s">
        <v>11</v>
      </c>
      <c r="G6">
        <v>1200</v>
      </c>
      <c r="H6" t="s">
        <v>17</v>
      </c>
      <c r="I6" t="s">
        <v>28</v>
      </c>
      <c r="J6" t="s">
        <v>29</v>
      </c>
      <c r="K6" t="s">
        <v>16</v>
      </c>
      <c r="L6" s="9">
        <f>WEEKDAY(Table1_2[[#This Row],[Transaction date]])</f>
        <v>3</v>
      </c>
    </row>
    <row r="7" spans="1:12" x14ac:dyDescent="0.3">
      <c r="A7" t="str">
        <f t="shared" si="0"/>
        <v>02-Jan 2009</v>
      </c>
      <c r="B7" s="10">
        <v>39815</v>
      </c>
      <c r="C7">
        <v>2009</v>
      </c>
      <c r="D7" s="11">
        <v>0.33958333333333335</v>
      </c>
      <c r="E7" t="s">
        <v>1738</v>
      </c>
      <c r="F7" t="s">
        <v>11</v>
      </c>
      <c r="G7">
        <v>1200</v>
      </c>
      <c r="H7" t="s">
        <v>17</v>
      </c>
      <c r="I7" t="s">
        <v>31</v>
      </c>
      <c r="J7" t="s">
        <v>32</v>
      </c>
      <c r="K7" t="s">
        <v>16</v>
      </c>
      <c r="L7" s="9">
        <f>WEEKDAY(Table1_2[[#This Row],[Transaction date]])</f>
        <v>6</v>
      </c>
    </row>
    <row r="8" spans="1:12" x14ac:dyDescent="0.3">
      <c r="A8" t="str">
        <f t="shared" si="0"/>
        <v>05-Jan 2009</v>
      </c>
      <c r="B8" s="10">
        <v>39818</v>
      </c>
      <c r="C8">
        <v>2009</v>
      </c>
      <c r="D8" s="11">
        <v>0.1125</v>
      </c>
      <c r="E8" t="s">
        <v>1738</v>
      </c>
      <c r="F8" t="s">
        <v>11</v>
      </c>
      <c r="G8">
        <v>1200</v>
      </c>
      <c r="H8" t="s">
        <v>12</v>
      </c>
      <c r="I8" t="s">
        <v>34</v>
      </c>
      <c r="J8" t="s">
        <v>35</v>
      </c>
      <c r="K8" t="s">
        <v>16</v>
      </c>
      <c r="L8" s="9">
        <f>WEEKDAY(Table1_2[[#This Row],[Transaction date]])</f>
        <v>2</v>
      </c>
    </row>
    <row r="9" spans="1:12" x14ac:dyDescent="0.3">
      <c r="A9" t="str">
        <f t="shared" si="0"/>
        <v>02-Jan 2009</v>
      </c>
      <c r="B9" s="10">
        <v>39815</v>
      </c>
      <c r="C9">
        <v>2009</v>
      </c>
      <c r="D9" s="11">
        <v>0.38611111111111113</v>
      </c>
      <c r="E9" t="s">
        <v>1738</v>
      </c>
      <c r="F9" t="s">
        <v>11</v>
      </c>
      <c r="G9">
        <v>1200</v>
      </c>
      <c r="H9" t="s">
        <v>17</v>
      </c>
      <c r="I9" t="s">
        <v>37</v>
      </c>
      <c r="J9" t="s">
        <v>38</v>
      </c>
      <c r="K9" t="s">
        <v>16</v>
      </c>
      <c r="L9" s="9">
        <f>WEEKDAY(Table1_2[[#This Row],[Transaction date]])</f>
        <v>6</v>
      </c>
    </row>
    <row r="10" spans="1:12" x14ac:dyDescent="0.3">
      <c r="A10" t="str">
        <f t="shared" si="0"/>
        <v>05-Jan 2009</v>
      </c>
      <c r="B10" s="10">
        <v>39818</v>
      </c>
      <c r="C10">
        <v>2009</v>
      </c>
      <c r="D10" s="11">
        <v>0.42222222222222222</v>
      </c>
      <c r="E10" t="s">
        <v>1738</v>
      </c>
      <c r="F10" t="s">
        <v>11</v>
      </c>
      <c r="G10">
        <v>1200</v>
      </c>
      <c r="H10" t="s">
        <v>12</v>
      </c>
      <c r="I10" t="s">
        <v>40</v>
      </c>
      <c r="J10" t="s">
        <v>41</v>
      </c>
      <c r="K10" t="s">
        <v>16</v>
      </c>
      <c r="L10" s="9">
        <f>WEEKDAY(Table1_2[[#This Row],[Transaction date]])</f>
        <v>2</v>
      </c>
    </row>
    <row r="11" spans="1:12" x14ac:dyDescent="0.3">
      <c r="A11" t="str">
        <f t="shared" si="0"/>
        <v>02-Jan 2009</v>
      </c>
      <c r="B11" s="10">
        <v>39815</v>
      </c>
      <c r="C11">
        <v>2009</v>
      </c>
      <c r="D11" s="11">
        <v>9.583333333333334E-2</v>
      </c>
      <c r="E11" t="s">
        <v>1738</v>
      </c>
      <c r="F11" t="s">
        <v>11</v>
      </c>
      <c r="G11">
        <v>1200</v>
      </c>
      <c r="H11" t="s">
        <v>12</v>
      </c>
      <c r="I11" t="s">
        <v>43</v>
      </c>
      <c r="J11" t="s">
        <v>44</v>
      </c>
      <c r="K11" t="s">
        <v>16</v>
      </c>
      <c r="L11" s="9">
        <f>WEEKDAY(Table1_2[[#This Row],[Transaction date]])</f>
        <v>6</v>
      </c>
    </row>
    <row r="12" spans="1:12" x14ac:dyDescent="0.3">
      <c r="A12" t="str">
        <f t="shared" si="0"/>
        <v>02-Jan 2009</v>
      </c>
      <c r="B12" s="10">
        <v>39815</v>
      </c>
      <c r="C12">
        <v>2009</v>
      </c>
      <c r="D12" s="11">
        <v>0.31597222222222221</v>
      </c>
      <c r="E12" t="s">
        <v>1738</v>
      </c>
      <c r="F12" t="s">
        <v>11</v>
      </c>
      <c r="G12">
        <v>1200</v>
      </c>
      <c r="H12" t="s">
        <v>12</v>
      </c>
      <c r="I12" t="s">
        <v>45</v>
      </c>
      <c r="J12" t="s">
        <v>46</v>
      </c>
      <c r="K12" t="s">
        <v>16</v>
      </c>
      <c r="L12" s="9">
        <f>WEEKDAY(Table1_2[[#This Row],[Transaction date]])</f>
        <v>6</v>
      </c>
    </row>
    <row r="13" spans="1:12" x14ac:dyDescent="0.3">
      <c r="A13" t="str">
        <f t="shared" si="0"/>
        <v>06-Jan 2009</v>
      </c>
      <c r="B13" s="10">
        <v>39819</v>
      </c>
      <c r="C13">
        <v>2009</v>
      </c>
      <c r="D13" s="11">
        <v>0.30416666666666664</v>
      </c>
      <c r="E13" t="s">
        <v>1738</v>
      </c>
      <c r="F13" t="s">
        <v>11</v>
      </c>
      <c r="G13">
        <v>1200</v>
      </c>
      <c r="H13" t="s">
        <v>12</v>
      </c>
      <c r="I13" t="s">
        <v>48</v>
      </c>
      <c r="J13" t="s">
        <v>49</v>
      </c>
      <c r="K13" t="s">
        <v>16</v>
      </c>
      <c r="L13" s="9">
        <f>WEEKDAY(Table1_2[[#This Row],[Transaction date]])</f>
        <v>3</v>
      </c>
    </row>
    <row r="14" spans="1:12" x14ac:dyDescent="0.3">
      <c r="A14" t="str">
        <f t="shared" si="0"/>
        <v>01-Jan 2009</v>
      </c>
      <c r="B14" s="10">
        <v>39814</v>
      </c>
      <c r="C14">
        <v>2009</v>
      </c>
      <c r="D14" s="11">
        <v>0.1</v>
      </c>
      <c r="E14" t="s">
        <v>1738</v>
      </c>
      <c r="F14" t="s">
        <v>11</v>
      </c>
      <c r="G14">
        <v>1200</v>
      </c>
      <c r="H14" t="s">
        <v>12</v>
      </c>
      <c r="I14" t="s">
        <v>51</v>
      </c>
      <c r="J14" t="s">
        <v>52</v>
      </c>
      <c r="K14" t="s">
        <v>16</v>
      </c>
      <c r="L14" s="9">
        <f>WEEKDAY(Table1_2[[#This Row],[Transaction date]])</f>
        <v>5</v>
      </c>
    </row>
    <row r="15" spans="1:12" x14ac:dyDescent="0.3">
      <c r="A15" t="str">
        <f t="shared" si="0"/>
        <v>07-Jan 2009</v>
      </c>
      <c r="B15" s="10">
        <v>39820</v>
      </c>
      <c r="C15">
        <v>2009</v>
      </c>
      <c r="D15" s="11">
        <v>0.33888888888888891</v>
      </c>
      <c r="E15" t="s">
        <v>1738</v>
      </c>
      <c r="F15" t="s">
        <v>11</v>
      </c>
      <c r="G15">
        <v>1200</v>
      </c>
      <c r="H15" t="s">
        <v>12</v>
      </c>
      <c r="I15" t="s">
        <v>53</v>
      </c>
      <c r="J15" t="s">
        <v>35</v>
      </c>
      <c r="K15" t="s">
        <v>16</v>
      </c>
      <c r="L15" s="9">
        <f>WEEKDAY(Table1_2[[#This Row],[Transaction date]])</f>
        <v>4</v>
      </c>
    </row>
    <row r="16" spans="1:12" x14ac:dyDescent="0.3">
      <c r="A16" t="str">
        <f t="shared" si="0"/>
        <v>01-Jan 2009</v>
      </c>
      <c r="B16" s="10">
        <v>39814</v>
      </c>
      <c r="C16">
        <v>2009</v>
      </c>
      <c r="D16" s="11">
        <v>0.34791666666666665</v>
      </c>
      <c r="E16" t="s">
        <v>1738</v>
      </c>
      <c r="F16" t="s">
        <v>11</v>
      </c>
      <c r="G16">
        <v>1200</v>
      </c>
      <c r="H16" t="s">
        <v>12</v>
      </c>
      <c r="I16" t="s">
        <v>54</v>
      </c>
      <c r="J16" t="s">
        <v>55</v>
      </c>
      <c r="K16" t="s">
        <v>16</v>
      </c>
      <c r="L16" s="9">
        <f>WEEKDAY(Table1_2[[#This Row],[Transaction date]])</f>
        <v>5</v>
      </c>
    </row>
    <row r="17" spans="1:12" x14ac:dyDescent="0.3">
      <c r="A17" t="str">
        <f t="shared" si="0"/>
        <v>08-Jan 2009</v>
      </c>
      <c r="B17" s="10">
        <v>39821</v>
      </c>
      <c r="C17">
        <v>2009</v>
      </c>
      <c r="D17" s="11">
        <v>0.52916666666666667</v>
      </c>
      <c r="E17" t="s">
        <v>1739</v>
      </c>
      <c r="F17" t="s">
        <v>11</v>
      </c>
      <c r="G17">
        <v>1200</v>
      </c>
      <c r="H17" t="s">
        <v>12</v>
      </c>
      <c r="I17" t="s">
        <v>56</v>
      </c>
      <c r="J17" t="s">
        <v>57</v>
      </c>
      <c r="K17" t="s">
        <v>16</v>
      </c>
      <c r="L17" s="9">
        <f>WEEKDAY(Table1_2[[#This Row],[Transaction date]])</f>
        <v>5</v>
      </c>
    </row>
    <row r="18" spans="1:12" x14ac:dyDescent="0.3">
      <c r="A18" t="str">
        <f t="shared" si="0"/>
        <v>08-Jan 2009</v>
      </c>
      <c r="B18" s="10">
        <v>39821</v>
      </c>
      <c r="C18">
        <v>2009</v>
      </c>
      <c r="D18" s="11">
        <v>0.16388888888888889</v>
      </c>
      <c r="E18" t="s">
        <v>1738</v>
      </c>
      <c r="F18" t="s">
        <v>11</v>
      </c>
      <c r="G18">
        <v>1200</v>
      </c>
      <c r="H18" t="s">
        <v>17</v>
      </c>
      <c r="I18" t="s">
        <v>58</v>
      </c>
      <c r="J18" t="s">
        <v>35</v>
      </c>
      <c r="K18" t="s">
        <v>16</v>
      </c>
      <c r="L18" s="9">
        <f>WEEKDAY(Table1_2[[#This Row],[Transaction date]])</f>
        <v>5</v>
      </c>
    </row>
    <row r="19" spans="1:12" x14ac:dyDescent="0.3">
      <c r="A19" t="str">
        <f t="shared" si="0"/>
        <v>08-Jan 2009</v>
      </c>
      <c r="B19" s="10">
        <v>39821</v>
      </c>
      <c r="C19">
        <v>2009</v>
      </c>
      <c r="D19" s="11">
        <v>0.1361111111111111</v>
      </c>
      <c r="E19" t="s">
        <v>1738</v>
      </c>
      <c r="F19" t="s">
        <v>11</v>
      </c>
      <c r="G19">
        <v>1200</v>
      </c>
      <c r="H19" t="s">
        <v>17</v>
      </c>
      <c r="I19" t="s">
        <v>59</v>
      </c>
      <c r="J19" t="s">
        <v>60</v>
      </c>
      <c r="K19" t="s">
        <v>16</v>
      </c>
      <c r="L19" s="9">
        <f>WEEKDAY(Table1_2[[#This Row],[Transaction date]])</f>
        <v>5</v>
      </c>
    </row>
    <row r="20" spans="1:12" x14ac:dyDescent="0.3">
      <c r="A20" t="str">
        <f t="shared" si="0"/>
        <v>03-Jan 2009</v>
      </c>
      <c r="B20" s="10">
        <v>39816</v>
      </c>
      <c r="C20">
        <v>2009</v>
      </c>
      <c r="D20" s="11">
        <v>0.37708333333333333</v>
      </c>
      <c r="E20" t="s">
        <v>1738</v>
      </c>
      <c r="F20" t="s">
        <v>11</v>
      </c>
      <c r="G20">
        <v>1200</v>
      </c>
      <c r="H20" t="s">
        <v>12</v>
      </c>
      <c r="I20" t="s">
        <v>62</v>
      </c>
      <c r="J20" t="s">
        <v>63</v>
      </c>
      <c r="K20" t="s">
        <v>16</v>
      </c>
      <c r="L20" s="9">
        <f>WEEKDAY(Table1_2[[#This Row],[Transaction date]])</f>
        <v>7</v>
      </c>
    </row>
    <row r="21" spans="1:12" x14ac:dyDescent="0.3">
      <c r="A21" t="str">
        <f t="shared" si="0"/>
        <v>06-Jan 2009</v>
      </c>
      <c r="B21" s="10">
        <v>39819</v>
      </c>
      <c r="C21">
        <v>2009</v>
      </c>
      <c r="D21" s="11">
        <v>0.32361111111111113</v>
      </c>
      <c r="E21" t="s">
        <v>1738</v>
      </c>
      <c r="F21" t="s">
        <v>64</v>
      </c>
      <c r="G21">
        <v>1200</v>
      </c>
      <c r="H21" t="s">
        <v>65</v>
      </c>
      <c r="I21" t="s">
        <v>66</v>
      </c>
      <c r="J21" t="s">
        <v>67</v>
      </c>
      <c r="K21" t="s">
        <v>16</v>
      </c>
      <c r="L21" s="9">
        <f>WEEKDAY(Table1_2[[#This Row],[Transaction date]])</f>
        <v>3</v>
      </c>
    </row>
    <row r="22" spans="1:12" x14ac:dyDescent="0.3">
      <c r="A22" t="str">
        <f t="shared" si="0"/>
        <v>08-Jan 2009</v>
      </c>
      <c r="B22" s="10">
        <v>39821</v>
      </c>
      <c r="C22">
        <v>2009</v>
      </c>
      <c r="D22" s="11">
        <v>0.18333333333333332</v>
      </c>
      <c r="E22" t="s">
        <v>1738</v>
      </c>
      <c r="F22" t="s">
        <v>11</v>
      </c>
      <c r="G22">
        <v>1200</v>
      </c>
      <c r="H22" t="s">
        <v>12</v>
      </c>
      <c r="I22" t="s">
        <v>69</v>
      </c>
      <c r="J22" t="s">
        <v>70</v>
      </c>
      <c r="K22" t="s">
        <v>16</v>
      </c>
      <c r="L22" s="9">
        <f>WEEKDAY(Table1_2[[#This Row],[Transaction date]])</f>
        <v>5</v>
      </c>
    </row>
    <row r="23" spans="1:12" x14ac:dyDescent="0.3">
      <c r="A23" t="str">
        <f t="shared" si="0"/>
        <v>09-Jan 2009</v>
      </c>
      <c r="B23" s="10">
        <v>39822</v>
      </c>
      <c r="C23">
        <v>2009</v>
      </c>
      <c r="D23" s="11">
        <v>0.27708333333333335</v>
      </c>
      <c r="E23" t="s">
        <v>1738</v>
      </c>
      <c r="F23" t="s">
        <v>11</v>
      </c>
      <c r="G23">
        <v>1200</v>
      </c>
      <c r="H23" t="s">
        <v>17</v>
      </c>
      <c r="I23" t="s">
        <v>72</v>
      </c>
      <c r="J23" t="s">
        <v>73</v>
      </c>
      <c r="K23" t="s">
        <v>16</v>
      </c>
      <c r="L23" s="9">
        <f>WEEKDAY(Table1_2[[#This Row],[Transaction date]])</f>
        <v>6</v>
      </c>
    </row>
    <row r="24" spans="1:12" x14ac:dyDescent="0.3">
      <c r="A24" t="str">
        <f t="shared" si="0"/>
        <v>06-Jan 2009</v>
      </c>
      <c r="B24" s="10">
        <v>39819</v>
      </c>
      <c r="C24">
        <v>2009</v>
      </c>
      <c r="D24" s="11">
        <v>0.42986111111111114</v>
      </c>
      <c r="E24" t="s">
        <v>1738</v>
      </c>
      <c r="F24" t="s">
        <v>64</v>
      </c>
      <c r="G24">
        <v>3600</v>
      </c>
      <c r="H24" t="s">
        <v>65</v>
      </c>
      <c r="I24" t="s">
        <v>74</v>
      </c>
      <c r="J24" t="s">
        <v>75</v>
      </c>
      <c r="K24" t="s">
        <v>16</v>
      </c>
      <c r="L24" s="9">
        <f>WEEKDAY(Table1_2[[#This Row],[Transaction date]])</f>
        <v>3</v>
      </c>
    </row>
    <row r="25" spans="1:12" x14ac:dyDescent="0.3">
      <c r="A25" t="str">
        <f t="shared" si="0"/>
        <v>06-Jan 2009</v>
      </c>
      <c r="B25" s="10">
        <v>39819</v>
      </c>
      <c r="C25">
        <v>2009</v>
      </c>
      <c r="D25" s="11">
        <v>0.45833333333333331</v>
      </c>
      <c r="E25" t="s">
        <v>1738</v>
      </c>
      <c r="F25" t="s">
        <v>64</v>
      </c>
      <c r="G25">
        <v>3600</v>
      </c>
      <c r="H25" t="s">
        <v>65</v>
      </c>
      <c r="I25" t="s">
        <v>77</v>
      </c>
      <c r="J25" t="s">
        <v>75</v>
      </c>
      <c r="K25" t="s">
        <v>16</v>
      </c>
      <c r="L25" s="9">
        <f>WEEKDAY(Table1_2[[#This Row],[Transaction date]])</f>
        <v>3</v>
      </c>
    </row>
    <row r="26" spans="1:12" x14ac:dyDescent="0.3">
      <c r="A26" t="str">
        <f t="shared" si="0"/>
        <v>07-Jan 2009</v>
      </c>
      <c r="B26" s="10">
        <v>39820</v>
      </c>
      <c r="C26">
        <v>2009</v>
      </c>
      <c r="D26" s="11">
        <v>0.32222222222222224</v>
      </c>
      <c r="E26" t="s">
        <v>1738</v>
      </c>
      <c r="F26" t="s">
        <v>11</v>
      </c>
      <c r="G26">
        <v>1200</v>
      </c>
      <c r="H26" t="s">
        <v>17</v>
      </c>
      <c r="I26" t="s">
        <v>78</v>
      </c>
      <c r="J26" t="s">
        <v>79</v>
      </c>
      <c r="K26" t="s">
        <v>16</v>
      </c>
      <c r="L26" s="9">
        <f>WEEKDAY(Table1_2[[#This Row],[Transaction date]])</f>
        <v>4</v>
      </c>
    </row>
    <row r="27" spans="1:12" x14ac:dyDescent="0.3">
      <c r="A27" t="str">
        <f t="shared" si="0"/>
        <v>07-Jan 2009</v>
      </c>
      <c r="B27" s="10">
        <v>39820</v>
      </c>
      <c r="C27">
        <v>2009</v>
      </c>
      <c r="D27" s="11">
        <v>0.13333333333333333</v>
      </c>
      <c r="E27" t="s">
        <v>1738</v>
      </c>
      <c r="F27" t="s">
        <v>21</v>
      </c>
      <c r="G27">
        <v>3600</v>
      </c>
      <c r="H27" t="s">
        <v>12</v>
      </c>
      <c r="I27" t="s">
        <v>81</v>
      </c>
      <c r="J27" t="s">
        <v>82</v>
      </c>
      <c r="K27" t="s">
        <v>16</v>
      </c>
      <c r="L27" s="9">
        <f>WEEKDAY(Table1_2[[#This Row],[Transaction date]])</f>
        <v>4</v>
      </c>
    </row>
    <row r="28" spans="1:12" x14ac:dyDescent="0.3">
      <c r="A28" t="str">
        <f t="shared" si="0"/>
        <v>07-Jan 2009</v>
      </c>
      <c r="B28" s="10">
        <v>39820</v>
      </c>
      <c r="C28">
        <v>2009</v>
      </c>
      <c r="D28" s="11">
        <v>0.34375</v>
      </c>
      <c r="E28" t="s">
        <v>1738</v>
      </c>
      <c r="F28" t="s">
        <v>64</v>
      </c>
      <c r="G28">
        <v>1200</v>
      </c>
      <c r="H28" t="s">
        <v>65</v>
      </c>
      <c r="I28" t="s">
        <v>83</v>
      </c>
      <c r="J28" t="s">
        <v>73</v>
      </c>
      <c r="K28" t="s">
        <v>16</v>
      </c>
      <c r="L28" s="9">
        <f>WEEKDAY(Table1_2[[#This Row],[Transaction date]])</f>
        <v>4</v>
      </c>
    </row>
    <row r="29" spans="1:12" x14ac:dyDescent="0.3">
      <c r="A29" t="str">
        <f t="shared" si="0"/>
        <v>03-Jan 2009</v>
      </c>
      <c r="B29" s="10">
        <v>39816</v>
      </c>
      <c r="C29">
        <v>2009</v>
      </c>
      <c r="D29" s="11">
        <v>0.42430555555555555</v>
      </c>
      <c r="E29" t="s">
        <v>1738</v>
      </c>
      <c r="F29" t="s">
        <v>21</v>
      </c>
      <c r="G29">
        <v>3600</v>
      </c>
      <c r="H29" t="s">
        <v>12</v>
      </c>
      <c r="I29" t="s">
        <v>84</v>
      </c>
      <c r="J29" t="s">
        <v>85</v>
      </c>
      <c r="K29" t="s">
        <v>16</v>
      </c>
      <c r="L29" s="9">
        <f>WEEKDAY(Table1_2[[#This Row],[Transaction date]])</f>
        <v>7</v>
      </c>
    </row>
    <row r="30" spans="1:12" x14ac:dyDescent="0.3">
      <c r="A30" t="str">
        <f t="shared" si="0"/>
        <v>10-Jan 2009</v>
      </c>
      <c r="B30" s="10">
        <v>39823</v>
      </c>
      <c r="C30">
        <v>2009</v>
      </c>
      <c r="D30" s="11">
        <v>0.5395833333333333</v>
      </c>
      <c r="E30" t="s">
        <v>1739</v>
      </c>
      <c r="F30" t="s">
        <v>64</v>
      </c>
      <c r="G30">
        <v>1200</v>
      </c>
      <c r="H30" t="s">
        <v>65</v>
      </c>
      <c r="I30" t="s">
        <v>86</v>
      </c>
      <c r="J30" t="s">
        <v>87</v>
      </c>
      <c r="K30" t="s">
        <v>16</v>
      </c>
      <c r="L30" s="9">
        <f>WEEKDAY(Table1_2[[#This Row],[Transaction date]])</f>
        <v>7</v>
      </c>
    </row>
    <row r="31" spans="1:12" x14ac:dyDescent="0.3">
      <c r="A31" t="str">
        <f t="shared" si="0"/>
        <v>10-Jan 2009</v>
      </c>
      <c r="B31" s="10">
        <v>39823</v>
      </c>
      <c r="C31">
        <v>2009</v>
      </c>
      <c r="D31" s="11">
        <v>0.50347222222222221</v>
      </c>
      <c r="E31" t="s">
        <v>1739</v>
      </c>
      <c r="F31" t="s">
        <v>11</v>
      </c>
      <c r="G31">
        <v>1200</v>
      </c>
      <c r="H31" t="s">
        <v>12</v>
      </c>
      <c r="I31" t="s">
        <v>88</v>
      </c>
      <c r="J31" t="s">
        <v>89</v>
      </c>
      <c r="K31" t="s">
        <v>16</v>
      </c>
      <c r="L31" s="9">
        <f>WEEKDAY(Table1_2[[#This Row],[Transaction date]])</f>
        <v>7</v>
      </c>
    </row>
    <row r="32" spans="1:12" x14ac:dyDescent="0.3">
      <c r="A32" t="str">
        <f t="shared" si="0"/>
        <v>10-Jan 2009</v>
      </c>
      <c r="B32" s="10">
        <v>39823</v>
      </c>
      <c r="C32">
        <v>2009</v>
      </c>
      <c r="D32" s="11">
        <v>0.12222222222222222</v>
      </c>
      <c r="E32" t="s">
        <v>1738</v>
      </c>
      <c r="F32" t="s">
        <v>11</v>
      </c>
      <c r="G32">
        <v>1200</v>
      </c>
      <c r="H32" t="s">
        <v>12</v>
      </c>
      <c r="I32" t="s">
        <v>90</v>
      </c>
      <c r="J32" t="s">
        <v>91</v>
      </c>
      <c r="K32" t="s">
        <v>16</v>
      </c>
      <c r="L32" s="9">
        <f>WEEKDAY(Table1_2[[#This Row],[Transaction date]])</f>
        <v>7</v>
      </c>
    </row>
    <row r="33" spans="1:12" x14ac:dyDescent="0.3">
      <c r="A33" t="str">
        <f t="shared" si="0"/>
        <v>07-Jan 2009</v>
      </c>
      <c r="B33" s="10">
        <v>39820</v>
      </c>
      <c r="C33">
        <v>2009</v>
      </c>
      <c r="D33" s="11">
        <v>0.41736111111111113</v>
      </c>
      <c r="E33" t="s">
        <v>1738</v>
      </c>
      <c r="F33" t="s">
        <v>11</v>
      </c>
      <c r="G33">
        <v>1200</v>
      </c>
      <c r="H33" t="s">
        <v>12</v>
      </c>
      <c r="I33" t="s">
        <v>93</v>
      </c>
      <c r="J33" t="s">
        <v>94</v>
      </c>
      <c r="K33" t="s">
        <v>16</v>
      </c>
      <c r="L33" s="9">
        <f>WEEKDAY(Table1_2[[#This Row],[Transaction date]])</f>
        <v>4</v>
      </c>
    </row>
    <row r="34" spans="1:12" x14ac:dyDescent="0.3">
      <c r="A34" t="str">
        <f t="shared" si="0"/>
        <v>01-Jan 2009</v>
      </c>
      <c r="B34" s="10">
        <v>39814</v>
      </c>
      <c r="C34">
        <v>2009</v>
      </c>
      <c r="D34" s="11">
        <v>5.9722222222222225E-2</v>
      </c>
      <c r="E34" t="s">
        <v>1738</v>
      </c>
      <c r="F34" t="s">
        <v>11</v>
      </c>
      <c r="G34">
        <v>1200</v>
      </c>
      <c r="H34" t="s">
        <v>17</v>
      </c>
      <c r="I34" t="s">
        <v>96</v>
      </c>
      <c r="J34" t="s">
        <v>97</v>
      </c>
      <c r="K34" t="s">
        <v>16</v>
      </c>
      <c r="L34" s="9">
        <f>WEEKDAY(Table1_2[[#This Row],[Transaction date]])</f>
        <v>5</v>
      </c>
    </row>
    <row r="35" spans="1:12" x14ac:dyDescent="0.3">
      <c r="A35" t="str">
        <f t="shared" si="0"/>
        <v>07-Jan 2009</v>
      </c>
      <c r="B35" s="10">
        <v>39820</v>
      </c>
      <c r="C35">
        <v>2009</v>
      </c>
      <c r="D35" s="11">
        <v>0.26250000000000001</v>
      </c>
      <c r="E35" t="s">
        <v>1738</v>
      </c>
      <c r="F35" t="s">
        <v>11</v>
      </c>
      <c r="G35">
        <v>1200</v>
      </c>
      <c r="H35" t="s">
        <v>17</v>
      </c>
      <c r="I35" t="s">
        <v>98</v>
      </c>
      <c r="J35" t="s">
        <v>99</v>
      </c>
      <c r="K35" t="s">
        <v>16</v>
      </c>
      <c r="L35" s="9">
        <f>WEEKDAY(Table1_2[[#This Row],[Transaction date]])</f>
        <v>4</v>
      </c>
    </row>
    <row r="36" spans="1:12" x14ac:dyDescent="0.3">
      <c r="A36" t="str">
        <f t="shared" si="0"/>
        <v>12-Jan 2009</v>
      </c>
      <c r="B36" s="10">
        <v>39825</v>
      </c>
      <c r="C36">
        <v>2009</v>
      </c>
      <c r="D36" s="11">
        <v>0.1423611111111111</v>
      </c>
      <c r="E36" t="s">
        <v>1738</v>
      </c>
      <c r="F36" t="s">
        <v>11</v>
      </c>
      <c r="G36">
        <v>1200</v>
      </c>
      <c r="H36" t="s">
        <v>17</v>
      </c>
      <c r="I36" t="s">
        <v>101</v>
      </c>
      <c r="J36" t="s">
        <v>102</v>
      </c>
      <c r="K36" t="s">
        <v>16</v>
      </c>
      <c r="L36" s="9">
        <f>WEEKDAY(Table1_2[[#This Row],[Transaction date]])</f>
        <v>2</v>
      </c>
    </row>
    <row r="37" spans="1:12" x14ac:dyDescent="0.3">
      <c r="A37" t="str">
        <f t="shared" si="0"/>
        <v>08-Jan 2009</v>
      </c>
      <c r="B37" s="10">
        <v>39821</v>
      </c>
      <c r="C37">
        <v>2009</v>
      </c>
      <c r="D37" s="11">
        <v>0.1361111111111111</v>
      </c>
      <c r="E37" t="s">
        <v>1738</v>
      </c>
      <c r="F37" t="s">
        <v>11</v>
      </c>
      <c r="G37">
        <v>1200</v>
      </c>
      <c r="H37" t="s">
        <v>12</v>
      </c>
      <c r="I37" t="s">
        <v>104</v>
      </c>
      <c r="J37" t="s">
        <v>105</v>
      </c>
      <c r="K37" t="s">
        <v>16</v>
      </c>
      <c r="L37" s="9">
        <f>WEEKDAY(Table1_2[[#This Row],[Transaction date]])</f>
        <v>5</v>
      </c>
    </row>
    <row r="38" spans="1:12" x14ac:dyDescent="0.3">
      <c r="A38" t="str">
        <f t="shared" si="0"/>
        <v>02-Jan 2009</v>
      </c>
      <c r="B38" s="10">
        <v>39815</v>
      </c>
      <c r="C38">
        <v>2009</v>
      </c>
      <c r="D38" s="11">
        <v>0.41666666666666669</v>
      </c>
      <c r="E38" t="s">
        <v>1738</v>
      </c>
      <c r="F38" t="s">
        <v>11</v>
      </c>
      <c r="G38">
        <v>1200</v>
      </c>
      <c r="H38" t="s">
        <v>12</v>
      </c>
      <c r="I38" t="s">
        <v>107</v>
      </c>
      <c r="J38" t="s">
        <v>108</v>
      </c>
      <c r="K38" t="s">
        <v>16</v>
      </c>
      <c r="L38" s="9">
        <f>WEEKDAY(Table1_2[[#This Row],[Transaction date]])</f>
        <v>6</v>
      </c>
    </row>
    <row r="39" spans="1:12" x14ac:dyDescent="0.3">
      <c r="A39" t="str">
        <f t="shared" si="0"/>
        <v>11-Jan 2009</v>
      </c>
      <c r="B39" s="10">
        <v>39824</v>
      </c>
      <c r="C39">
        <v>2009</v>
      </c>
      <c r="D39" s="11">
        <v>4.7222222222222221E-2</v>
      </c>
      <c r="E39" t="s">
        <v>1738</v>
      </c>
      <c r="F39" t="s">
        <v>11</v>
      </c>
      <c r="G39">
        <v>1200</v>
      </c>
      <c r="H39" t="s">
        <v>12</v>
      </c>
      <c r="I39" t="s">
        <v>109</v>
      </c>
      <c r="J39" t="s">
        <v>110</v>
      </c>
      <c r="K39" t="s">
        <v>16</v>
      </c>
      <c r="L39" s="9">
        <f>WEEKDAY(Table1_2[[#This Row],[Transaction date]])</f>
        <v>1</v>
      </c>
    </row>
    <row r="40" spans="1:12" x14ac:dyDescent="0.3">
      <c r="A40" t="str">
        <f t="shared" si="0"/>
        <v>13-Jan 2009</v>
      </c>
      <c r="B40" s="10">
        <v>39826</v>
      </c>
      <c r="C40">
        <v>2009</v>
      </c>
      <c r="D40" s="11">
        <v>0.2590277777777778</v>
      </c>
      <c r="E40" t="s">
        <v>1738</v>
      </c>
      <c r="F40" t="s">
        <v>11</v>
      </c>
      <c r="G40">
        <v>1200</v>
      </c>
      <c r="H40" t="s">
        <v>12</v>
      </c>
      <c r="I40" t="s">
        <v>111</v>
      </c>
      <c r="J40" t="s">
        <v>112</v>
      </c>
      <c r="K40" t="s">
        <v>16</v>
      </c>
      <c r="L40" s="9">
        <f>WEEKDAY(Table1_2[[#This Row],[Transaction date]])</f>
        <v>3</v>
      </c>
    </row>
    <row r="41" spans="1:12" x14ac:dyDescent="0.3">
      <c r="A41" t="str">
        <f t="shared" si="0"/>
        <v>02-Jan 2009</v>
      </c>
      <c r="B41" s="10">
        <v>39815</v>
      </c>
      <c r="C41">
        <v>2009</v>
      </c>
      <c r="D41" s="11">
        <v>0.48680555555555555</v>
      </c>
      <c r="E41" t="s">
        <v>1738</v>
      </c>
      <c r="F41" t="s">
        <v>11</v>
      </c>
      <c r="G41">
        <v>1200</v>
      </c>
      <c r="H41" t="s">
        <v>12</v>
      </c>
      <c r="I41" t="s">
        <v>113</v>
      </c>
      <c r="J41" t="s">
        <v>114</v>
      </c>
      <c r="K41" t="s">
        <v>16</v>
      </c>
      <c r="L41" s="9">
        <f>WEEKDAY(Table1_2[[#This Row],[Transaction date]])</f>
        <v>6</v>
      </c>
    </row>
    <row r="42" spans="1:12" x14ac:dyDescent="0.3">
      <c r="A42" t="str">
        <f t="shared" si="0"/>
        <v>07-Jan 2009</v>
      </c>
      <c r="B42" s="10">
        <v>39820</v>
      </c>
      <c r="C42">
        <v>2009</v>
      </c>
      <c r="D42" s="11">
        <v>0.3263888888888889</v>
      </c>
      <c r="E42" t="s">
        <v>1738</v>
      </c>
      <c r="F42" t="s">
        <v>11</v>
      </c>
      <c r="G42">
        <v>1200</v>
      </c>
      <c r="H42" t="s">
        <v>12</v>
      </c>
      <c r="I42" t="s">
        <v>116</v>
      </c>
      <c r="J42" t="s">
        <v>117</v>
      </c>
      <c r="K42" t="s">
        <v>16</v>
      </c>
      <c r="L42" s="9">
        <f>WEEKDAY(Table1_2[[#This Row],[Transaction date]])</f>
        <v>4</v>
      </c>
    </row>
    <row r="43" spans="1:12" x14ac:dyDescent="0.3">
      <c r="A43" t="str">
        <f t="shared" si="0"/>
        <v>12-Jan 2009</v>
      </c>
      <c r="B43" s="10">
        <v>39825</v>
      </c>
      <c r="C43">
        <v>2009</v>
      </c>
      <c r="D43" s="11">
        <v>0.12708333333333333</v>
      </c>
      <c r="E43" t="s">
        <v>1738</v>
      </c>
      <c r="F43" t="s">
        <v>21</v>
      </c>
      <c r="G43">
        <v>3600</v>
      </c>
      <c r="H43" t="s">
        <v>17</v>
      </c>
      <c r="I43" t="s">
        <v>118</v>
      </c>
      <c r="J43" t="s">
        <v>119</v>
      </c>
      <c r="K43" t="s">
        <v>16</v>
      </c>
      <c r="L43" s="9">
        <f>WEEKDAY(Table1_2[[#This Row],[Transaction date]])</f>
        <v>2</v>
      </c>
    </row>
    <row r="44" spans="1:12" x14ac:dyDescent="0.3">
      <c r="A44" t="str">
        <f t="shared" si="0"/>
        <v>13-Jan 2009</v>
      </c>
      <c r="B44" s="10">
        <v>39826</v>
      </c>
      <c r="C44">
        <v>2009</v>
      </c>
      <c r="D44" s="11">
        <v>0.47638888888888886</v>
      </c>
      <c r="E44" t="s">
        <v>1738</v>
      </c>
      <c r="F44" t="s">
        <v>11</v>
      </c>
      <c r="G44">
        <v>1200</v>
      </c>
      <c r="H44" t="s">
        <v>12</v>
      </c>
      <c r="I44" t="s">
        <v>120</v>
      </c>
      <c r="J44" t="s">
        <v>121</v>
      </c>
      <c r="K44" t="s">
        <v>16</v>
      </c>
      <c r="L44" s="9">
        <f>WEEKDAY(Table1_2[[#This Row],[Transaction date]])</f>
        <v>3</v>
      </c>
    </row>
    <row r="45" spans="1:12" x14ac:dyDescent="0.3">
      <c r="A45" t="str">
        <f t="shared" si="0"/>
        <v>14-Jan 2009</v>
      </c>
      <c r="B45" s="10">
        <v>39827</v>
      </c>
      <c r="C45">
        <v>2009</v>
      </c>
      <c r="D45" s="11">
        <v>0.20416666666666666</v>
      </c>
      <c r="E45" t="s">
        <v>1738</v>
      </c>
      <c r="F45" t="s">
        <v>11</v>
      </c>
      <c r="G45">
        <v>1200</v>
      </c>
      <c r="H45" t="s">
        <v>17</v>
      </c>
      <c r="I45" t="s">
        <v>122</v>
      </c>
      <c r="J45" t="s">
        <v>123</v>
      </c>
      <c r="K45" t="s">
        <v>16</v>
      </c>
      <c r="L45" s="9">
        <f>WEEKDAY(Table1_2[[#This Row],[Transaction date]])</f>
        <v>4</v>
      </c>
    </row>
    <row r="46" spans="1:12" x14ac:dyDescent="0.3">
      <c r="A46" t="str">
        <f t="shared" si="0"/>
        <v>03-Jan 2009</v>
      </c>
      <c r="B46" s="10">
        <v>39816</v>
      </c>
      <c r="C46">
        <v>2009</v>
      </c>
      <c r="D46" s="11">
        <v>8.0555555555555561E-2</v>
      </c>
      <c r="E46" t="s">
        <v>1738</v>
      </c>
      <c r="F46" t="s">
        <v>11</v>
      </c>
      <c r="G46">
        <v>1200</v>
      </c>
      <c r="H46" t="s">
        <v>12</v>
      </c>
      <c r="I46" t="s">
        <v>125</v>
      </c>
      <c r="J46" t="s">
        <v>126</v>
      </c>
      <c r="K46" t="s">
        <v>16</v>
      </c>
      <c r="L46" s="9">
        <f>WEEKDAY(Table1_2[[#This Row],[Transaction date]])</f>
        <v>7</v>
      </c>
    </row>
    <row r="47" spans="1:12" x14ac:dyDescent="0.3">
      <c r="A47" t="str">
        <f t="shared" si="0"/>
        <v>13-Jan 2009</v>
      </c>
      <c r="B47" s="10">
        <v>39826</v>
      </c>
      <c r="C47">
        <v>2009</v>
      </c>
      <c r="D47" s="11">
        <v>0.49722222222222223</v>
      </c>
      <c r="E47" t="s">
        <v>1738</v>
      </c>
      <c r="F47" t="s">
        <v>11</v>
      </c>
      <c r="G47">
        <v>1200</v>
      </c>
      <c r="H47" t="s">
        <v>17</v>
      </c>
      <c r="I47" t="s">
        <v>127</v>
      </c>
      <c r="J47" t="s">
        <v>128</v>
      </c>
      <c r="K47" t="s">
        <v>16</v>
      </c>
      <c r="L47" s="9">
        <f>WEEKDAY(Table1_2[[#This Row],[Transaction date]])</f>
        <v>3</v>
      </c>
    </row>
    <row r="48" spans="1:12" x14ac:dyDescent="0.3">
      <c r="A48" t="str">
        <f t="shared" si="0"/>
        <v>14-Jan 2009</v>
      </c>
      <c r="B48" s="10">
        <v>39827</v>
      </c>
      <c r="C48">
        <v>2009</v>
      </c>
      <c r="D48" s="11">
        <v>0.31388888888888888</v>
      </c>
      <c r="E48" t="s">
        <v>1738</v>
      </c>
      <c r="F48" t="s">
        <v>11</v>
      </c>
      <c r="G48">
        <v>1200</v>
      </c>
      <c r="H48" t="s">
        <v>12</v>
      </c>
      <c r="I48" t="s">
        <v>129</v>
      </c>
      <c r="J48" t="s">
        <v>60</v>
      </c>
      <c r="K48" t="s">
        <v>16</v>
      </c>
      <c r="L48" s="9">
        <f>WEEKDAY(Table1_2[[#This Row],[Transaction date]])</f>
        <v>4</v>
      </c>
    </row>
    <row r="49" spans="1:12" x14ac:dyDescent="0.3">
      <c r="A49" t="str">
        <f t="shared" si="0"/>
        <v>13-Jan 2009</v>
      </c>
      <c r="B49" s="10">
        <v>39826</v>
      </c>
      <c r="C49">
        <v>2009</v>
      </c>
      <c r="D49" s="11">
        <v>0.31874999999999998</v>
      </c>
      <c r="E49" t="s">
        <v>1738</v>
      </c>
      <c r="F49" t="s">
        <v>11</v>
      </c>
      <c r="G49">
        <v>1200</v>
      </c>
      <c r="H49" t="s">
        <v>12</v>
      </c>
      <c r="I49" t="s">
        <v>130</v>
      </c>
      <c r="J49" t="s">
        <v>131</v>
      </c>
      <c r="K49" t="s">
        <v>16</v>
      </c>
      <c r="L49" s="9">
        <f>WEEKDAY(Table1_2[[#This Row],[Transaction date]])</f>
        <v>3</v>
      </c>
    </row>
    <row r="50" spans="1:12" x14ac:dyDescent="0.3">
      <c r="A50" t="str">
        <f t="shared" si="0"/>
        <v>15-Jan 2009</v>
      </c>
      <c r="B50" s="10">
        <v>39828</v>
      </c>
      <c r="C50">
        <v>2009</v>
      </c>
      <c r="D50" s="11">
        <v>0.1111111111111111</v>
      </c>
      <c r="E50" t="s">
        <v>1738</v>
      </c>
      <c r="F50" t="s">
        <v>11</v>
      </c>
      <c r="G50">
        <v>1200</v>
      </c>
      <c r="H50" t="s">
        <v>17</v>
      </c>
      <c r="I50" t="s">
        <v>133</v>
      </c>
      <c r="J50" t="s">
        <v>134</v>
      </c>
      <c r="K50" t="s">
        <v>16</v>
      </c>
      <c r="L50" s="9">
        <f>WEEKDAY(Table1_2[[#This Row],[Transaction date]])</f>
        <v>5</v>
      </c>
    </row>
    <row r="51" spans="1:12" x14ac:dyDescent="0.3">
      <c r="A51" t="str">
        <f t="shared" si="0"/>
        <v>05-Jan 2009</v>
      </c>
      <c r="B51" s="10">
        <v>39818</v>
      </c>
      <c r="C51">
        <v>2009</v>
      </c>
      <c r="D51" s="11">
        <v>0.15208333333333332</v>
      </c>
      <c r="E51" t="s">
        <v>1738</v>
      </c>
      <c r="F51" t="s">
        <v>11</v>
      </c>
      <c r="G51">
        <v>1200</v>
      </c>
      <c r="H51" t="s">
        <v>12</v>
      </c>
      <c r="I51" t="s">
        <v>135</v>
      </c>
      <c r="J51" t="s">
        <v>136</v>
      </c>
      <c r="K51" t="s">
        <v>16</v>
      </c>
      <c r="L51" s="9">
        <f>WEEKDAY(Table1_2[[#This Row],[Transaction date]])</f>
        <v>2</v>
      </c>
    </row>
    <row r="52" spans="1:12" x14ac:dyDescent="0.3">
      <c r="A52" t="str">
        <f t="shared" si="0"/>
        <v>10-Jan 2009</v>
      </c>
      <c r="B52" s="10">
        <v>39823</v>
      </c>
      <c r="C52">
        <v>2009</v>
      </c>
      <c r="D52" s="11">
        <v>0.22291666666666668</v>
      </c>
      <c r="E52" t="s">
        <v>1738</v>
      </c>
      <c r="F52" t="s">
        <v>11</v>
      </c>
      <c r="G52">
        <v>1200</v>
      </c>
      <c r="H52" t="s">
        <v>65</v>
      </c>
      <c r="I52" t="s">
        <v>137</v>
      </c>
      <c r="J52" t="s">
        <v>138</v>
      </c>
      <c r="K52" t="s">
        <v>16</v>
      </c>
      <c r="L52" s="9">
        <f>WEEKDAY(Table1_2[[#This Row],[Transaction date]])</f>
        <v>7</v>
      </c>
    </row>
    <row r="53" spans="1:12" x14ac:dyDescent="0.3">
      <c r="A53" t="str">
        <f t="shared" si="0"/>
        <v>15-Jan 2009</v>
      </c>
      <c r="B53" s="10">
        <v>39828</v>
      </c>
      <c r="C53">
        <v>2009</v>
      </c>
      <c r="D53" s="11">
        <v>0.17499999999999999</v>
      </c>
      <c r="E53" t="s">
        <v>1738</v>
      </c>
      <c r="F53" t="s">
        <v>11</v>
      </c>
      <c r="G53">
        <v>1200</v>
      </c>
      <c r="H53" t="s">
        <v>17</v>
      </c>
      <c r="I53" t="s">
        <v>139</v>
      </c>
      <c r="J53" t="s">
        <v>121</v>
      </c>
      <c r="K53" t="s">
        <v>16</v>
      </c>
      <c r="L53" s="9">
        <f>WEEKDAY(Table1_2[[#This Row],[Transaction date]])</f>
        <v>5</v>
      </c>
    </row>
    <row r="54" spans="1:12" x14ac:dyDescent="0.3">
      <c r="A54" t="str">
        <f t="shared" si="0"/>
        <v>06-Jan 2009</v>
      </c>
      <c r="B54" s="10">
        <v>39819</v>
      </c>
      <c r="C54">
        <v>2009</v>
      </c>
      <c r="D54" s="11">
        <v>0.45</v>
      </c>
      <c r="E54" t="s">
        <v>1738</v>
      </c>
      <c r="F54" t="s">
        <v>11</v>
      </c>
      <c r="G54">
        <v>1200</v>
      </c>
      <c r="H54" t="s">
        <v>17</v>
      </c>
      <c r="I54" t="s">
        <v>140</v>
      </c>
      <c r="J54" t="s">
        <v>141</v>
      </c>
      <c r="K54" t="s">
        <v>16</v>
      </c>
      <c r="L54" s="9">
        <f>WEEKDAY(Table1_2[[#This Row],[Transaction date]])</f>
        <v>3</v>
      </c>
    </row>
    <row r="55" spans="1:12" x14ac:dyDescent="0.3">
      <c r="A55" t="str">
        <f t="shared" si="0"/>
        <v>14-Jan 2009</v>
      </c>
      <c r="B55" s="10">
        <v>39827</v>
      </c>
      <c r="C55">
        <v>2009</v>
      </c>
      <c r="D55" s="11">
        <v>0.38194444444444442</v>
      </c>
      <c r="E55" t="s">
        <v>1738</v>
      </c>
      <c r="F55" t="s">
        <v>11</v>
      </c>
      <c r="G55">
        <v>1200</v>
      </c>
      <c r="H55" t="s">
        <v>17</v>
      </c>
      <c r="I55" t="s">
        <v>142</v>
      </c>
      <c r="J55" t="s">
        <v>143</v>
      </c>
      <c r="K55" t="s">
        <v>16</v>
      </c>
      <c r="L55" s="9">
        <f>WEEKDAY(Table1_2[[#This Row],[Transaction date]])</f>
        <v>4</v>
      </c>
    </row>
    <row r="56" spans="1:12" x14ac:dyDescent="0.3">
      <c r="A56" t="str">
        <f t="shared" si="0"/>
        <v>14-Jan 2009</v>
      </c>
      <c r="B56" s="10">
        <v>39827</v>
      </c>
      <c r="C56">
        <v>2009</v>
      </c>
      <c r="D56" s="11">
        <v>0.44722222222222224</v>
      </c>
      <c r="E56" t="s">
        <v>1738</v>
      </c>
      <c r="F56" t="s">
        <v>11</v>
      </c>
      <c r="G56">
        <v>1200</v>
      </c>
      <c r="H56" t="s">
        <v>12</v>
      </c>
      <c r="I56" t="s">
        <v>145</v>
      </c>
      <c r="J56" t="s">
        <v>146</v>
      </c>
      <c r="K56" t="s">
        <v>16</v>
      </c>
      <c r="L56" s="9">
        <f>WEEKDAY(Table1_2[[#This Row],[Transaction date]])</f>
        <v>4</v>
      </c>
    </row>
    <row r="57" spans="1:12" x14ac:dyDescent="0.3">
      <c r="A57" t="str">
        <f t="shared" si="0"/>
        <v>15-Jan 2009</v>
      </c>
      <c r="B57" s="10">
        <v>39828</v>
      </c>
      <c r="C57">
        <v>2009</v>
      </c>
      <c r="D57" s="11">
        <v>0.5229166666666667</v>
      </c>
      <c r="E57" t="s">
        <v>1739</v>
      </c>
      <c r="F57" t="s">
        <v>11</v>
      </c>
      <c r="G57">
        <v>1200</v>
      </c>
      <c r="H57" t="s">
        <v>12</v>
      </c>
      <c r="I57" t="s">
        <v>147</v>
      </c>
      <c r="J57" t="s">
        <v>148</v>
      </c>
      <c r="K57" t="s">
        <v>16</v>
      </c>
      <c r="L57" s="9">
        <f>WEEKDAY(Table1_2[[#This Row],[Transaction date]])</f>
        <v>5</v>
      </c>
    </row>
    <row r="58" spans="1:12" x14ac:dyDescent="0.3">
      <c r="A58" t="str">
        <f t="shared" si="0"/>
        <v>14-Jan 2009</v>
      </c>
      <c r="B58" s="10">
        <v>39827</v>
      </c>
      <c r="C58">
        <v>2009</v>
      </c>
      <c r="D58" s="11">
        <v>0.4826388888888889</v>
      </c>
      <c r="E58" t="s">
        <v>1738</v>
      </c>
      <c r="F58" t="s">
        <v>11</v>
      </c>
      <c r="G58">
        <v>1200</v>
      </c>
      <c r="H58" t="s">
        <v>12</v>
      </c>
      <c r="I58" t="s">
        <v>149</v>
      </c>
      <c r="J58" t="s">
        <v>150</v>
      </c>
      <c r="K58" t="s">
        <v>16</v>
      </c>
      <c r="L58" s="9">
        <f>WEEKDAY(Table1_2[[#This Row],[Transaction date]])</f>
        <v>4</v>
      </c>
    </row>
    <row r="59" spans="1:12" x14ac:dyDescent="0.3">
      <c r="A59" t="str">
        <f t="shared" si="0"/>
        <v>14-Jan 2009</v>
      </c>
      <c r="B59" s="10">
        <v>39827</v>
      </c>
      <c r="C59">
        <v>2009</v>
      </c>
      <c r="D59" s="11">
        <v>0.15277777777777779</v>
      </c>
      <c r="E59" t="s">
        <v>1738</v>
      </c>
      <c r="F59" t="s">
        <v>11</v>
      </c>
      <c r="G59">
        <v>1200</v>
      </c>
      <c r="H59" t="s">
        <v>65</v>
      </c>
      <c r="I59" t="s">
        <v>151</v>
      </c>
      <c r="J59" t="s">
        <v>152</v>
      </c>
      <c r="K59" t="s">
        <v>16</v>
      </c>
      <c r="L59" s="9">
        <f>WEEKDAY(Table1_2[[#This Row],[Transaction date]])</f>
        <v>4</v>
      </c>
    </row>
    <row r="60" spans="1:12" x14ac:dyDescent="0.3">
      <c r="A60" t="str">
        <f t="shared" si="0"/>
        <v>03-Jan 2009</v>
      </c>
      <c r="B60" s="10">
        <v>39816</v>
      </c>
      <c r="C60">
        <v>2009</v>
      </c>
      <c r="D60" s="11">
        <v>0.46388888888888891</v>
      </c>
      <c r="E60" t="s">
        <v>1738</v>
      </c>
      <c r="F60" t="s">
        <v>11</v>
      </c>
      <c r="G60">
        <v>1200</v>
      </c>
      <c r="H60" t="s">
        <v>65</v>
      </c>
      <c r="I60" t="s">
        <v>153</v>
      </c>
      <c r="J60" t="s">
        <v>154</v>
      </c>
      <c r="K60" t="s">
        <v>16</v>
      </c>
      <c r="L60" s="9">
        <f>WEEKDAY(Table1_2[[#This Row],[Transaction date]])</f>
        <v>7</v>
      </c>
    </row>
    <row r="61" spans="1:12" x14ac:dyDescent="0.3">
      <c r="A61" t="str">
        <f t="shared" si="0"/>
        <v>16-Jan 2009</v>
      </c>
      <c r="B61" s="10">
        <v>39829</v>
      </c>
      <c r="C61">
        <v>2009</v>
      </c>
      <c r="D61" s="11">
        <v>0.30625000000000002</v>
      </c>
      <c r="E61" t="s">
        <v>1738</v>
      </c>
      <c r="F61" t="s">
        <v>11</v>
      </c>
      <c r="G61">
        <v>2100</v>
      </c>
      <c r="H61" t="s">
        <v>17</v>
      </c>
      <c r="I61" t="s">
        <v>155</v>
      </c>
      <c r="J61" t="s">
        <v>156</v>
      </c>
      <c r="K61" t="s">
        <v>16</v>
      </c>
      <c r="L61" s="9">
        <f>WEEKDAY(Table1_2[[#This Row],[Transaction date]])</f>
        <v>6</v>
      </c>
    </row>
    <row r="62" spans="1:12" x14ac:dyDescent="0.3">
      <c r="A62" t="str">
        <f t="shared" si="0"/>
        <v>03-Jan 2009</v>
      </c>
      <c r="B62" s="10">
        <v>39816</v>
      </c>
      <c r="C62">
        <v>2009</v>
      </c>
      <c r="D62" s="11">
        <v>0.41388888888888886</v>
      </c>
      <c r="E62" t="s">
        <v>1738</v>
      </c>
      <c r="F62" t="s">
        <v>11</v>
      </c>
      <c r="G62">
        <v>1200</v>
      </c>
      <c r="H62" t="s">
        <v>12</v>
      </c>
      <c r="I62" t="s">
        <v>157</v>
      </c>
      <c r="J62" t="s">
        <v>158</v>
      </c>
      <c r="K62" t="s">
        <v>16</v>
      </c>
      <c r="L62" s="9">
        <f>WEEKDAY(Table1_2[[#This Row],[Transaction date]])</f>
        <v>7</v>
      </c>
    </row>
    <row r="63" spans="1:12" x14ac:dyDescent="0.3">
      <c r="A63" t="str">
        <f t="shared" si="0"/>
        <v>16-Jan 2009</v>
      </c>
      <c r="B63" s="10">
        <v>39829</v>
      </c>
      <c r="C63">
        <v>2009</v>
      </c>
      <c r="D63" s="11">
        <v>0.23680555555555555</v>
      </c>
      <c r="E63" t="s">
        <v>1738</v>
      </c>
      <c r="F63" t="s">
        <v>11</v>
      </c>
      <c r="G63">
        <v>1200</v>
      </c>
      <c r="H63" t="s">
        <v>12</v>
      </c>
      <c r="I63" t="s">
        <v>159</v>
      </c>
      <c r="J63" t="s">
        <v>160</v>
      </c>
      <c r="K63" t="s">
        <v>16</v>
      </c>
      <c r="L63" s="9">
        <f>WEEKDAY(Table1_2[[#This Row],[Transaction date]])</f>
        <v>6</v>
      </c>
    </row>
    <row r="64" spans="1:12" x14ac:dyDescent="0.3">
      <c r="A64" t="str">
        <f t="shared" si="0"/>
        <v>05-Jan 2009</v>
      </c>
      <c r="B64" s="10">
        <v>39818</v>
      </c>
      <c r="C64">
        <v>2009</v>
      </c>
      <c r="D64" s="11">
        <v>0.23125000000000001</v>
      </c>
      <c r="E64" t="s">
        <v>1738</v>
      </c>
      <c r="F64" t="s">
        <v>11</v>
      </c>
      <c r="G64">
        <v>1200</v>
      </c>
      <c r="H64" t="s">
        <v>12</v>
      </c>
      <c r="I64" t="s">
        <v>161</v>
      </c>
      <c r="J64" t="s">
        <v>162</v>
      </c>
      <c r="K64" t="s">
        <v>16</v>
      </c>
      <c r="L64" s="9">
        <f>WEEKDAY(Table1_2[[#This Row],[Transaction date]])</f>
        <v>2</v>
      </c>
    </row>
    <row r="65" spans="1:12" x14ac:dyDescent="0.3">
      <c r="A65" t="str">
        <f t="shared" si="0"/>
        <v>11-Jan 2009</v>
      </c>
      <c r="B65" s="10">
        <v>39824</v>
      </c>
      <c r="C65">
        <v>2009</v>
      </c>
      <c r="D65" s="11">
        <v>0.37430555555555556</v>
      </c>
      <c r="E65" t="s">
        <v>1738</v>
      </c>
      <c r="F65" t="s">
        <v>11</v>
      </c>
      <c r="G65">
        <v>1200</v>
      </c>
      <c r="H65" t="s">
        <v>12</v>
      </c>
      <c r="I65" t="s">
        <v>163</v>
      </c>
      <c r="J65" t="s">
        <v>164</v>
      </c>
      <c r="K65" t="s">
        <v>16</v>
      </c>
      <c r="L65" s="9">
        <f>WEEKDAY(Table1_2[[#This Row],[Transaction date]])</f>
        <v>1</v>
      </c>
    </row>
    <row r="66" spans="1:12" x14ac:dyDescent="0.3">
      <c r="A66" t="str">
        <f t="shared" ref="A66:A129" si="1">TEXT(B66, "dd-mmm") &amp; " " &amp; C66</f>
        <v>15-Jan 2009</v>
      </c>
      <c r="B66" s="10">
        <v>39828</v>
      </c>
      <c r="C66">
        <v>2009</v>
      </c>
      <c r="D66" s="11">
        <v>0.16388888888888889</v>
      </c>
      <c r="E66" t="s">
        <v>1738</v>
      </c>
      <c r="F66" t="s">
        <v>11</v>
      </c>
      <c r="G66">
        <v>1200</v>
      </c>
      <c r="H66" t="s">
        <v>65</v>
      </c>
      <c r="I66" t="s">
        <v>165</v>
      </c>
      <c r="J66" t="s">
        <v>166</v>
      </c>
      <c r="K66" t="s">
        <v>16</v>
      </c>
      <c r="L66" s="9">
        <f>WEEKDAY(Table1_2[[#This Row],[Transaction date]])</f>
        <v>5</v>
      </c>
    </row>
    <row r="67" spans="1:12" x14ac:dyDescent="0.3">
      <c r="A67" t="str">
        <f t="shared" si="1"/>
        <v>01-Jan 2009</v>
      </c>
      <c r="B67" s="10">
        <v>39814</v>
      </c>
      <c r="C67">
        <v>2009</v>
      </c>
      <c r="D67" s="11">
        <v>0.5131944444444444</v>
      </c>
      <c r="E67" t="s">
        <v>1739</v>
      </c>
      <c r="F67" t="s">
        <v>11</v>
      </c>
      <c r="G67">
        <v>1200</v>
      </c>
      <c r="H67" t="s">
        <v>12</v>
      </c>
      <c r="I67" t="s">
        <v>167</v>
      </c>
      <c r="J67" t="s">
        <v>168</v>
      </c>
      <c r="K67" t="s">
        <v>16</v>
      </c>
      <c r="L67" s="9">
        <f>WEEKDAY(Table1_2[[#This Row],[Transaction date]])</f>
        <v>5</v>
      </c>
    </row>
    <row r="68" spans="1:12" x14ac:dyDescent="0.3">
      <c r="A68" t="str">
        <f t="shared" si="1"/>
        <v>06-Jan 2009</v>
      </c>
      <c r="B68" s="10">
        <v>39819</v>
      </c>
      <c r="C68">
        <v>2009</v>
      </c>
      <c r="D68" s="11">
        <v>8.5416666666666669E-2</v>
      </c>
      <c r="E68" t="s">
        <v>1738</v>
      </c>
      <c r="F68" t="s">
        <v>11</v>
      </c>
      <c r="G68">
        <v>1200</v>
      </c>
      <c r="H68" t="s">
        <v>12</v>
      </c>
      <c r="I68" t="s">
        <v>170</v>
      </c>
      <c r="J68" t="s">
        <v>35</v>
      </c>
      <c r="K68" t="s">
        <v>16</v>
      </c>
      <c r="L68" s="9">
        <f>WEEKDAY(Table1_2[[#This Row],[Transaction date]])</f>
        <v>3</v>
      </c>
    </row>
    <row r="69" spans="1:12" x14ac:dyDescent="0.3">
      <c r="A69" t="str">
        <f t="shared" si="1"/>
        <v>12-Jan 2009</v>
      </c>
      <c r="B69" s="10">
        <v>39825</v>
      </c>
      <c r="C69">
        <v>2009</v>
      </c>
      <c r="D69" s="11">
        <v>0.52569444444444446</v>
      </c>
      <c r="E69" t="s">
        <v>1739</v>
      </c>
      <c r="F69" t="s">
        <v>11</v>
      </c>
      <c r="G69">
        <v>1200</v>
      </c>
      <c r="H69" t="s">
        <v>12</v>
      </c>
      <c r="I69" t="s">
        <v>171</v>
      </c>
      <c r="J69" t="s">
        <v>172</v>
      </c>
      <c r="K69" t="s">
        <v>16</v>
      </c>
      <c r="L69" s="9">
        <f>WEEKDAY(Table1_2[[#This Row],[Transaction date]])</f>
        <v>2</v>
      </c>
    </row>
    <row r="70" spans="1:12" x14ac:dyDescent="0.3">
      <c r="A70" t="str">
        <f t="shared" si="1"/>
        <v>04-Jan 2009</v>
      </c>
      <c r="B70" s="10">
        <v>39817</v>
      </c>
      <c r="C70">
        <v>2009</v>
      </c>
      <c r="D70" s="11">
        <v>0.3215277777777778</v>
      </c>
      <c r="E70" t="s">
        <v>1738</v>
      </c>
      <c r="F70" t="s">
        <v>11</v>
      </c>
      <c r="G70">
        <v>1200</v>
      </c>
      <c r="H70" t="s">
        <v>17</v>
      </c>
      <c r="I70" t="s">
        <v>173</v>
      </c>
      <c r="J70" t="s">
        <v>73</v>
      </c>
      <c r="K70" t="s">
        <v>16</v>
      </c>
      <c r="L70" s="9">
        <f>WEEKDAY(Table1_2[[#This Row],[Transaction date]])</f>
        <v>1</v>
      </c>
    </row>
    <row r="71" spans="1:12" x14ac:dyDescent="0.3">
      <c r="A71" t="str">
        <f t="shared" si="1"/>
        <v>17-Jan 2009</v>
      </c>
      <c r="B71" s="10">
        <v>39830</v>
      </c>
      <c r="C71">
        <v>2009</v>
      </c>
      <c r="D71" s="11">
        <v>0.18194444444444444</v>
      </c>
      <c r="E71" t="s">
        <v>1738</v>
      </c>
      <c r="F71" t="s">
        <v>11</v>
      </c>
      <c r="G71">
        <v>1200</v>
      </c>
      <c r="H71" t="s">
        <v>12</v>
      </c>
      <c r="I71" t="s">
        <v>174</v>
      </c>
      <c r="J71" t="s">
        <v>175</v>
      </c>
      <c r="K71" t="s">
        <v>16</v>
      </c>
      <c r="L71" s="9">
        <f>WEEKDAY(Table1_2[[#This Row],[Transaction date]])</f>
        <v>7</v>
      </c>
    </row>
    <row r="72" spans="1:12" x14ac:dyDescent="0.3">
      <c r="A72" t="str">
        <f t="shared" si="1"/>
        <v>18-Jan 2009</v>
      </c>
      <c r="B72" s="10">
        <v>39831</v>
      </c>
      <c r="C72">
        <v>2009</v>
      </c>
      <c r="D72" s="11">
        <v>0.22708333333333333</v>
      </c>
      <c r="E72" t="s">
        <v>1738</v>
      </c>
      <c r="F72" t="s">
        <v>11</v>
      </c>
      <c r="G72">
        <v>1200</v>
      </c>
      <c r="H72" t="s">
        <v>12</v>
      </c>
      <c r="I72" t="s">
        <v>176</v>
      </c>
      <c r="J72" t="s">
        <v>177</v>
      </c>
      <c r="K72" t="s">
        <v>16</v>
      </c>
      <c r="L72" s="9">
        <f>WEEKDAY(Table1_2[[#This Row],[Transaction date]])</f>
        <v>1</v>
      </c>
    </row>
    <row r="73" spans="1:12" x14ac:dyDescent="0.3">
      <c r="A73" t="str">
        <f t="shared" si="1"/>
        <v>04-Jan 2009</v>
      </c>
      <c r="B73" s="10">
        <v>39817</v>
      </c>
      <c r="C73">
        <v>2009</v>
      </c>
      <c r="D73" s="11">
        <v>0.20972222222222223</v>
      </c>
      <c r="E73" t="s">
        <v>1738</v>
      </c>
      <c r="F73" t="s">
        <v>11</v>
      </c>
      <c r="G73">
        <v>1200</v>
      </c>
      <c r="H73" t="s">
        <v>17</v>
      </c>
      <c r="I73" t="s">
        <v>120</v>
      </c>
      <c r="J73" t="s">
        <v>178</v>
      </c>
      <c r="K73" t="s">
        <v>16</v>
      </c>
      <c r="L73" s="9">
        <f>WEEKDAY(Table1_2[[#This Row],[Transaction date]])</f>
        <v>1</v>
      </c>
    </row>
    <row r="74" spans="1:12" x14ac:dyDescent="0.3">
      <c r="A74" t="str">
        <f t="shared" si="1"/>
        <v>18-Jan 2009</v>
      </c>
      <c r="B74" s="10">
        <v>39831</v>
      </c>
      <c r="C74">
        <v>2009</v>
      </c>
      <c r="D74" s="11">
        <v>9.4444444444444442E-2</v>
      </c>
      <c r="E74" t="s">
        <v>1738</v>
      </c>
      <c r="F74" t="s">
        <v>11</v>
      </c>
      <c r="G74">
        <v>1200</v>
      </c>
      <c r="H74" t="s">
        <v>12</v>
      </c>
      <c r="I74" t="s">
        <v>179</v>
      </c>
      <c r="J74" t="s">
        <v>180</v>
      </c>
      <c r="K74" t="s">
        <v>16</v>
      </c>
      <c r="L74" s="9">
        <f>WEEKDAY(Table1_2[[#This Row],[Transaction date]])</f>
        <v>1</v>
      </c>
    </row>
    <row r="75" spans="1:12" x14ac:dyDescent="0.3">
      <c r="A75" t="str">
        <f t="shared" si="1"/>
        <v>18-Jan 2009</v>
      </c>
      <c r="B75" s="10">
        <v>39831</v>
      </c>
      <c r="C75">
        <v>2009</v>
      </c>
      <c r="D75" s="11">
        <v>0.49513888888888891</v>
      </c>
      <c r="E75" t="s">
        <v>1738</v>
      </c>
      <c r="F75" t="s">
        <v>11</v>
      </c>
      <c r="G75">
        <v>1200</v>
      </c>
      <c r="H75" t="s">
        <v>12</v>
      </c>
      <c r="I75" t="s">
        <v>182</v>
      </c>
      <c r="J75" t="s">
        <v>183</v>
      </c>
      <c r="K75" t="s">
        <v>16</v>
      </c>
      <c r="L75" s="9">
        <f>WEEKDAY(Table1_2[[#This Row],[Transaction date]])</f>
        <v>1</v>
      </c>
    </row>
    <row r="76" spans="1:12" x14ac:dyDescent="0.3">
      <c r="A76" t="str">
        <f t="shared" si="1"/>
        <v>18-Jan 2009</v>
      </c>
      <c r="B76" s="10">
        <v>39831</v>
      </c>
      <c r="C76">
        <v>2009</v>
      </c>
      <c r="D76" s="11">
        <v>0.50277777777777777</v>
      </c>
      <c r="E76" t="s">
        <v>1739</v>
      </c>
      <c r="F76" t="s">
        <v>11</v>
      </c>
      <c r="G76">
        <v>1200</v>
      </c>
      <c r="H76" t="s">
        <v>12</v>
      </c>
      <c r="I76" t="s">
        <v>184</v>
      </c>
      <c r="J76" t="s">
        <v>183</v>
      </c>
      <c r="K76" t="s">
        <v>16</v>
      </c>
      <c r="L76" s="9">
        <f>WEEKDAY(Table1_2[[#This Row],[Transaction date]])</f>
        <v>1</v>
      </c>
    </row>
    <row r="77" spans="1:12" x14ac:dyDescent="0.3">
      <c r="A77" t="str">
        <f t="shared" si="1"/>
        <v>13-Jan 2009</v>
      </c>
      <c r="B77" s="10">
        <v>39826</v>
      </c>
      <c r="C77">
        <v>2009</v>
      </c>
      <c r="D77" s="11">
        <v>0.32916666666666666</v>
      </c>
      <c r="E77" t="s">
        <v>1738</v>
      </c>
      <c r="F77" t="s">
        <v>11</v>
      </c>
      <c r="G77">
        <v>1200</v>
      </c>
      <c r="H77" t="s">
        <v>12</v>
      </c>
      <c r="I77" t="s">
        <v>185</v>
      </c>
      <c r="J77" t="s">
        <v>186</v>
      </c>
      <c r="K77" t="s">
        <v>16</v>
      </c>
      <c r="L77" s="9">
        <f>WEEKDAY(Table1_2[[#This Row],[Transaction date]])</f>
        <v>3</v>
      </c>
    </row>
    <row r="78" spans="1:12" x14ac:dyDescent="0.3">
      <c r="A78" t="str">
        <f t="shared" si="1"/>
        <v>05-Jan 2009</v>
      </c>
      <c r="B78" s="10">
        <v>39818</v>
      </c>
      <c r="C78">
        <v>2009</v>
      </c>
      <c r="D78" s="11">
        <v>0.37916666666666665</v>
      </c>
      <c r="E78" t="s">
        <v>1738</v>
      </c>
      <c r="F78" t="s">
        <v>11</v>
      </c>
      <c r="G78">
        <v>1200</v>
      </c>
      <c r="H78" t="s">
        <v>17</v>
      </c>
      <c r="I78" t="s">
        <v>187</v>
      </c>
      <c r="J78" t="s">
        <v>188</v>
      </c>
      <c r="K78" t="s">
        <v>16</v>
      </c>
      <c r="L78" s="9">
        <f>WEEKDAY(Table1_2[[#This Row],[Transaction date]])</f>
        <v>2</v>
      </c>
    </row>
    <row r="79" spans="1:12" x14ac:dyDescent="0.3">
      <c r="A79" t="str">
        <f t="shared" si="1"/>
        <v>14-Jan 2009</v>
      </c>
      <c r="B79" s="10">
        <v>39827</v>
      </c>
      <c r="C79">
        <v>2009</v>
      </c>
      <c r="D79" s="11">
        <v>0.2722222222222222</v>
      </c>
      <c r="E79" t="s">
        <v>1738</v>
      </c>
      <c r="F79" t="s">
        <v>11</v>
      </c>
      <c r="G79">
        <v>1200</v>
      </c>
      <c r="H79" t="s">
        <v>12</v>
      </c>
      <c r="I79" t="s">
        <v>189</v>
      </c>
      <c r="J79" t="s">
        <v>190</v>
      </c>
      <c r="K79" t="s">
        <v>16</v>
      </c>
      <c r="L79" s="9">
        <f>WEEKDAY(Table1_2[[#This Row],[Transaction date]])</f>
        <v>4</v>
      </c>
    </row>
    <row r="80" spans="1:12" x14ac:dyDescent="0.3">
      <c r="A80" t="str">
        <f t="shared" si="1"/>
        <v>18-Jan 2009</v>
      </c>
      <c r="B80" s="10">
        <v>39831</v>
      </c>
      <c r="C80">
        <v>2009</v>
      </c>
      <c r="D80" s="11">
        <v>0.18888888888888888</v>
      </c>
      <c r="E80" t="s">
        <v>1738</v>
      </c>
      <c r="F80" t="s">
        <v>21</v>
      </c>
      <c r="G80">
        <v>3600</v>
      </c>
      <c r="H80" t="s">
        <v>12</v>
      </c>
      <c r="I80" t="s">
        <v>191</v>
      </c>
      <c r="J80" t="s">
        <v>166</v>
      </c>
      <c r="K80" t="s">
        <v>16</v>
      </c>
      <c r="L80" s="9">
        <f>WEEKDAY(Table1_2[[#This Row],[Transaction date]])</f>
        <v>1</v>
      </c>
    </row>
    <row r="81" spans="1:12" x14ac:dyDescent="0.3">
      <c r="A81" t="str">
        <f t="shared" si="1"/>
        <v>18-Jan 2009</v>
      </c>
      <c r="B81" s="10">
        <v>39831</v>
      </c>
      <c r="C81">
        <v>2009</v>
      </c>
      <c r="D81" s="11">
        <v>0.21111111111111111</v>
      </c>
      <c r="E81" t="s">
        <v>1738</v>
      </c>
      <c r="F81" t="s">
        <v>21</v>
      </c>
      <c r="G81">
        <v>3600</v>
      </c>
      <c r="H81" t="s">
        <v>12</v>
      </c>
      <c r="I81" t="s">
        <v>192</v>
      </c>
      <c r="J81" t="s">
        <v>35</v>
      </c>
      <c r="K81" t="s">
        <v>16</v>
      </c>
      <c r="L81" s="9">
        <f>WEEKDAY(Table1_2[[#This Row],[Transaction date]])</f>
        <v>1</v>
      </c>
    </row>
    <row r="82" spans="1:12" x14ac:dyDescent="0.3">
      <c r="A82" t="str">
        <f t="shared" si="1"/>
        <v>18-Jan 2009</v>
      </c>
      <c r="B82" s="10">
        <v>39831</v>
      </c>
      <c r="C82">
        <v>2009</v>
      </c>
      <c r="D82" s="11">
        <v>0.22222222222222221</v>
      </c>
      <c r="E82" t="s">
        <v>1738</v>
      </c>
      <c r="F82" t="s">
        <v>21</v>
      </c>
      <c r="G82">
        <v>3600</v>
      </c>
      <c r="H82" t="s">
        <v>12</v>
      </c>
      <c r="I82" t="s">
        <v>193</v>
      </c>
      <c r="J82" t="s">
        <v>194</v>
      </c>
      <c r="K82" t="s">
        <v>16</v>
      </c>
      <c r="L82" s="9">
        <f>WEEKDAY(Table1_2[[#This Row],[Transaction date]])</f>
        <v>1</v>
      </c>
    </row>
    <row r="83" spans="1:12" x14ac:dyDescent="0.3">
      <c r="A83" t="str">
        <f t="shared" si="1"/>
        <v>18-Jan 2009</v>
      </c>
      <c r="B83" s="10">
        <v>39831</v>
      </c>
      <c r="C83">
        <v>2009</v>
      </c>
      <c r="D83" s="11">
        <v>0.23541666666666666</v>
      </c>
      <c r="E83" t="s">
        <v>1738</v>
      </c>
      <c r="F83" t="s">
        <v>21</v>
      </c>
      <c r="G83">
        <v>3600</v>
      </c>
      <c r="H83" t="s">
        <v>12</v>
      </c>
      <c r="I83" t="s">
        <v>196</v>
      </c>
      <c r="J83" t="s">
        <v>35</v>
      </c>
      <c r="K83" t="s">
        <v>16</v>
      </c>
      <c r="L83" s="9">
        <f>WEEKDAY(Table1_2[[#This Row],[Transaction date]])</f>
        <v>1</v>
      </c>
    </row>
    <row r="84" spans="1:12" x14ac:dyDescent="0.3">
      <c r="A84" t="str">
        <f t="shared" si="1"/>
        <v>11-Jan 2009</v>
      </c>
      <c r="B84" s="10">
        <v>39824</v>
      </c>
      <c r="C84">
        <v>2009</v>
      </c>
      <c r="D84" s="11">
        <v>0.47222222222222221</v>
      </c>
      <c r="E84" t="s">
        <v>1738</v>
      </c>
      <c r="F84" t="s">
        <v>11</v>
      </c>
      <c r="G84">
        <v>1200</v>
      </c>
      <c r="H84" t="s">
        <v>12</v>
      </c>
      <c r="I84" t="s">
        <v>197</v>
      </c>
      <c r="J84" t="s">
        <v>198</v>
      </c>
      <c r="K84" t="s">
        <v>16</v>
      </c>
      <c r="L84" s="9">
        <f>WEEKDAY(Table1_2[[#This Row],[Transaction date]])</f>
        <v>1</v>
      </c>
    </row>
    <row r="85" spans="1:12" x14ac:dyDescent="0.3">
      <c r="A85" t="str">
        <f t="shared" si="1"/>
        <v>12-Jan 2009</v>
      </c>
      <c r="B85" s="10">
        <v>39825</v>
      </c>
      <c r="C85">
        <v>2009</v>
      </c>
      <c r="D85" s="11">
        <v>0.2013888888888889</v>
      </c>
      <c r="E85" t="s">
        <v>1738</v>
      </c>
      <c r="F85" t="s">
        <v>11</v>
      </c>
      <c r="G85">
        <v>1200</v>
      </c>
      <c r="H85" t="s">
        <v>12</v>
      </c>
      <c r="I85" t="s">
        <v>199</v>
      </c>
      <c r="J85" t="s">
        <v>200</v>
      </c>
      <c r="K85" t="s">
        <v>16</v>
      </c>
      <c r="L85" s="9">
        <f>WEEKDAY(Table1_2[[#This Row],[Transaction date]])</f>
        <v>2</v>
      </c>
    </row>
    <row r="86" spans="1:12" x14ac:dyDescent="0.3">
      <c r="A86" t="str">
        <f t="shared" si="1"/>
        <v>12-Jan 2009</v>
      </c>
      <c r="B86" s="10">
        <v>39825</v>
      </c>
      <c r="C86">
        <v>2009</v>
      </c>
      <c r="D86" s="11">
        <v>0.13333333333333333</v>
      </c>
      <c r="E86" t="s">
        <v>1738</v>
      </c>
      <c r="F86" t="s">
        <v>11</v>
      </c>
      <c r="G86">
        <v>1200</v>
      </c>
      <c r="H86" t="s">
        <v>17</v>
      </c>
      <c r="I86" t="s">
        <v>201</v>
      </c>
      <c r="J86" t="s">
        <v>202</v>
      </c>
      <c r="K86" t="s">
        <v>16</v>
      </c>
      <c r="L86" s="9">
        <f>WEEKDAY(Table1_2[[#This Row],[Transaction date]])</f>
        <v>2</v>
      </c>
    </row>
    <row r="87" spans="1:12" x14ac:dyDescent="0.3">
      <c r="A87" t="str">
        <f t="shared" si="1"/>
        <v>09-Jan 2009</v>
      </c>
      <c r="B87" s="10">
        <v>39822</v>
      </c>
      <c r="C87">
        <v>2009</v>
      </c>
      <c r="D87" s="11">
        <v>0.28611111111111109</v>
      </c>
      <c r="E87" t="s">
        <v>1738</v>
      </c>
      <c r="F87" t="s">
        <v>11</v>
      </c>
      <c r="G87">
        <v>1200</v>
      </c>
      <c r="H87" t="s">
        <v>12</v>
      </c>
      <c r="I87" t="s">
        <v>201</v>
      </c>
      <c r="J87" t="s">
        <v>203</v>
      </c>
      <c r="K87" t="s">
        <v>16</v>
      </c>
      <c r="L87" s="9">
        <f>WEEKDAY(Table1_2[[#This Row],[Transaction date]])</f>
        <v>6</v>
      </c>
    </row>
    <row r="88" spans="1:12" x14ac:dyDescent="0.3">
      <c r="A88" t="str">
        <f t="shared" si="1"/>
        <v>18-Jan 2009</v>
      </c>
      <c r="B88" s="10">
        <v>39831</v>
      </c>
      <c r="C88">
        <v>2009</v>
      </c>
      <c r="D88" s="11">
        <v>0.47013888888888888</v>
      </c>
      <c r="E88" t="s">
        <v>1738</v>
      </c>
      <c r="F88" t="s">
        <v>11</v>
      </c>
      <c r="G88">
        <v>1200</v>
      </c>
      <c r="H88" t="s">
        <v>12</v>
      </c>
      <c r="I88" t="s">
        <v>204</v>
      </c>
      <c r="J88" t="s">
        <v>205</v>
      </c>
      <c r="K88" t="s">
        <v>16</v>
      </c>
      <c r="L88" s="9">
        <f>WEEKDAY(Table1_2[[#This Row],[Transaction date]])</f>
        <v>1</v>
      </c>
    </row>
    <row r="89" spans="1:12" x14ac:dyDescent="0.3">
      <c r="A89" t="str">
        <f t="shared" si="1"/>
        <v>05-Jan 2009</v>
      </c>
      <c r="B89" s="10">
        <v>39818</v>
      </c>
      <c r="C89">
        <v>2009</v>
      </c>
      <c r="D89" s="11">
        <v>0.31736111111111109</v>
      </c>
      <c r="E89" t="s">
        <v>1738</v>
      </c>
      <c r="F89" t="s">
        <v>11</v>
      </c>
      <c r="G89">
        <v>1200</v>
      </c>
      <c r="H89" t="s">
        <v>65</v>
      </c>
      <c r="I89" t="s">
        <v>207</v>
      </c>
      <c r="J89" t="s">
        <v>205</v>
      </c>
      <c r="K89" t="s">
        <v>16</v>
      </c>
      <c r="L89" s="9">
        <f>WEEKDAY(Table1_2[[#This Row],[Transaction date]])</f>
        <v>2</v>
      </c>
    </row>
    <row r="90" spans="1:12" x14ac:dyDescent="0.3">
      <c r="A90" t="str">
        <f t="shared" si="1"/>
        <v>14-Jan 2009</v>
      </c>
      <c r="B90" s="10">
        <v>39827</v>
      </c>
      <c r="C90">
        <v>2009</v>
      </c>
      <c r="D90" s="11">
        <v>0.26458333333333334</v>
      </c>
      <c r="E90" t="s">
        <v>1738</v>
      </c>
      <c r="F90" t="s">
        <v>11</v>
      </c>
      <c r="G90">
        <v>1200</v>
      </c>
      <c r="H90" t="s">
        <v>12</v>
      </c>
      <c r="I90" t="s">
        <v>208</v>
      </c>
      <c r="J90" t="s">
        <v>209</v>
      </c>
      <c r="K90" t="s">
        <v>16</v>
      </c>
      <c r="L90" s="9">
        <f>WEEKDAY(Table1_2[[#This Row],[Transaction date]])</f>
        <v>4</v>
      </c>
    </row>
    <row r="91" spans="1:12" x14ac:dyDescent="0.3">
      <c r="A91" t="str">
        <f t="shared" si="1"/>
        <v>11-Jan 2009</v>
      </c>
      <c r="B91" s="10">
        <v>39824</v>
      </c>
      <c r="C91">
        <v>2009</v>
      </c>
      <c r="D91" s="11">
        <v>0.29236111111111113</v>
      </c>
      <c r="E91" t="s">
        <v>1738</v>
      </c>
      <c r="F91" t="s">
        <v>11</v>
      </c>
      <c r="G91">
        <v>1200</v>
      </c>
      <c r="H91" t="s">
        <v>12</v>
      </c>
      <c r="I91" t="s">
        <v>210</v>
      </c>
      <c r="J91" t="s">
        <v>211</v>
      </c>
      <c r="K91" t="s">
        <v>16</v>
      </c>
      <c r="L91" s="9">
        <f>WEEKDAY(Table1_2[[#This Row],[Transaction date]])</f>
        <v>1</v>
      </c>
    </row>
    <row r="92" spans="1:12" x14ac:dyDescent="0.3">
      <c r="A92" t="str">
        <f t="shared" si="1"/>
        <v>15-Jan 2009</v>
      </c>
      <c r="B92" s="10">
        <v>39828</v>
      </c>
      <c r="C92">
        <v>2009</v>
      </c>
      <c r="D92" s="11">
        <v>0.33819444444444446</v>
      </c>
      <c r="E92" t="s">
        <v>1738</v>
      </c>
      <c r="F92" t="s">
        <v>11</v>
      </c>
      <c r="G92">
        <v>1200</v>
      </c>
      <c r="H92" t="s">
        <v>12</v>
      </c>
      <c r="I92" t="s">
        <v>212</v>
      </c>
      <c r="J92" t="s">
        <v>213</v>
      </c>
      <c r="K92" t="s">
        <v>16</v>
      </c>
      <c r="L92" s="9">
        <f>WEEKDAY(Table1_2[[#This Row],[Transaction date]])</f>
        <v>5</v>
      </c>
    </row>
    <row r="93" spans="1:12" x14ac:dyDescent="0.3">
      <c r="A93" t="str">
        <f t="shared" si="1"/>
        <v>15-Jan 2009</v>
      </c>
      <c r="B93" s="10">
        <v>39828</v>
      </c>
      <c r="C93">
        <v>2009</v>
      </c>
      <c r="D93" s="11">
        <v>0.34027777777777779</v>
      </c>
      <c r="E93" t="s">
        <v>1738</v>
      </c>
      <c r="F93" t="s">
        <v>11</v>
      </c>
      <c r="G93">
        <v>1200</v>
      </c>
      <c r="H93" t="s">
        <v>12</v>
      </c>
      <c r="I93" t="s">
        <v>214</v>
      </c>
      <c r="J93" t="s">
        <v>213</v>
      </c>
      <c r="K93" t="s">
        <v>16</v>
      </c>
      <c r="L93" s="9">
        <f>WEEKDAY(Table1_2[[#This Row],[Transaction date]])</f>
        <v>5</v>
      </c>
    </row>
    <row r="94" spans="1:12" x14ac:dyDescent="0.3">
      <c r="A94" t="str">
        <f t="shared" si="1"/>
        <v>02-Jan 2009</v>
      </c>
      <c r="B94" s="10">
        <v>39815</v>
      </c>
      <c r="C94">
        <v>2009</v>
      </c>
      <c r="D94" s="11">
        <v>0.23958333333333334</v>
      </c>
      <c r="E94" t="s">
        <v>1738</v>
      </c>
      <c r="F94" t="s">
        <v>11</v>
      </c>
      <c r="G94">
        <v>1200</v>
      </c>
      <c r="H94" t="s">
        <v>17</v>
      </c>
      <c r="I94" t="s">
        <v>215</v>
      </c>
      <c r="J94" t="s">
        <v>216</v>
      </c>
      <c r="K94" t="s">
        <v>16</v>
      </c>
      <c r="L94" s="9">
        <f>WEEKDAY(Table1_2[[#This Row],[Transaction date]])</f>
        <v>6</v>
      </c>
    </row>
    <row r="95" spans="1:12" x14ac:dyDescent="0.3">
      <c r="A95" t="str">
        <f t="shared" si="1"/>
        <v>19-Jan 2009</v>
      </c>
      <c r="B95" s="10">
        <v>39832</v>
      </c>
      <c r="C95">
        <v>2009</v>
      </c>
      <c r="D95" s="11">
        <v>0.1736111111111111</v>
      </c>
      <c r="E95" t="s">
        <v>1738</v>
      </c>
      <c r="F95" t="s">
        <v>11</v>
      </c>
      <c r="G95">
        <v>1200</v>
      </c>
      <c r="H95" t="s">
        <v>17</v>
      </c>
      <c r="I95" t="s">
        <v>218</v>
      </c>
      <c r="J95" t="s">
        <v>219</v>
      </c>
      <c r="K95" t="s">
        <v>16</v>
      </c>
      <c r="L95" s="9">
        <f>WEEKDAY(Table1_2[[#This Row],[Transaction date]])</f>
        <v>2</v>
      </c>
    </row>
    <row r="96" spans="1:12" x14ac:dyDescent="0.3">
      <c r="A96" t="str">
        <f t="shared" si="1"/>
        <v>19-Jan 2009</v>
      </c>
      <c r="B96" s="10">
        <v>39832</v>
      </c>
      <c r="C96">
        <v>2009</v>
      </c>
      <c r="D96" s="11">
        <v>0.2048611111111111</v>
      </c>
      <c r="E96" t="s">
        <v>1738</v>
      </c>
      <c r="F96" t="s">
        <v>11</v>
      </c>
      <c r="G96">
        <v>1200</v>
      </c>
      <c r="H96" t="s">
        <v>17</v>
      </c>
      <c r="I96" t="s">
        <v>221</v>
      </c>
      <c r="J96" t="s">
        <v>222</v>
      </c>
      <c r="K96" t="s">
        <v>16</v>
      </c>
      <c r="L96" s="9">
        <f>WEEKDAY(Table1_2[[#This Row],[Transaction date]])</f>
        <v>2</v>
      </c>
    </row>
    <row r="97" spans="1:12" x14ac:dyDescent="0.3">
      <c r="A97" t="str">
        <f t="shared" si="1"/>
        <v>10-Jan 2009</v>
      </c>
      <c r="B97" s="10">
        <v>39823</v>
      </c>
      <c r="C97">
        <v>2009</v>
      </c>
      <c r="D97" s="11">
        <v>0.23680555555555555</v>
      </c>
      <c r="E97" t="s">
        <v>1738</v>
      </c>
      <c r="F97" t="s">
        <v>11</v>
      </c>
      <c r="G97">
        <v>1200</v>
      </c>
      <c r="H97" t="s">
        <v>12</v>
      </c>
      <c r="I97" t="s">
        <v>223</v>
      </c>
      <c r="J97" t="s">
        <v>224</v>
      </c>
      <c r="K97" t="s">
        <v>16</v>
      </c>
      <c r="L97" s="9">
        <f>WEEKDAY(Table1_2[[#This Row],[Transaction date]])</f>
        <v>7</v>
      </c>
    </row>
    <row r="98" spans="1:12" x14ac:dyDescent="0.3">
      <c r="A98" t="str">
        <f t="shared" si="1"/>
        <v>18-Jan 2009</v>
      </c>
      <c r="B98" s="10">
        <v>39831</v>
      </c>
      <c r="C98">
        <v>2009</v>
      </c>
      <c r="D98" s="11">
        <v>7.5694444444444439E-2</v>
      </c>
      <c r="E98" t="s">
        <v>1738</v>
      </c>
      <c r="F98" t="s">
        <v>21</v>
      </c>
      <c r="G98">
        <v>3600</v>
      </c>
      <c r="H98" t="s">
        <v>12</v>
      </c>
      <c r="I98" t="s">
        <v>225</v>
      </c>
      <c r="J98" t="s">
        <v>226</v>
      </c>
      <c r="K98" t="s">
        <v>16</v>
      </c>
      <c r="L98" s="9">
        <f>WEEKDAY(Table1_2[[#This Row],[Transaction date]])</f>
        <v>1</v>
      </c>
    </row>
    <row r="99" spans="1:12" x14ac:dyDescent="0.3">
      <c r="A99" t="str">
        <f t="shared" si="1"/>
        <v>15-Jan 2009</v>
      </c>
      <c r="B99" s="10">
        <v>39828</v>
      </c>
      <c r="C99">
        <v>2009</v>
      </c>
      <c r="D99" s="11">
        <v>0.24097222222222223</v>
      </c>
      <c r="E99" t="s">
        <v>1738</v>
      </c>
      <c r="F99" t="s">
        <v>11</v>
      </c>
      <c r="G99">
        <v>1200</v>
      </c>
      <c r="H99" t="s">
        <v>12</v>
      </c>
      <c r="I99" t="s">
        <v>227</v>
      </c>
      <c r="J99" t="s">
        <v>228</v>
      </c>
      <c r="K99" t="s">
        <v>16</v>
      </c>
      <c r="L99" s="9">
        <f>WEEKDAY(Table1_2[[#This Row],[Transaction date]])</f>
        <v>5</v>
      </c>
    </row>
    <row r="100" spans="1:12" x14ac:dyDescent="0.3">
      <c r="A100" t="str">
        <f t="shared" si="1"/>
        <v>19-Jan 2009</v>
      </c>
      <c r="B100" s="10">
        <v>39832</v>
      </c>
      <c r="C100">
        <v>2009</v>
      </c>
      <c r="D100" s="11">
        <v>0.46250000000000002</v>
      </c>
      <c r="E100" t="s">
        <v>1738</v>
      </c>
      <c r="F100" t="s">
        <v>11</v>
      </c>
      <c r="G100">
        <v>1200</v>
      </c>
      <c r="H100" t="s">
        <v>17</v>
      </c>
      <c r="I100" t="s">
        <v>229</v>
      </c>
      <c r="J100" t="s">
        <v>228</v>
      </c>
      <c r="K100" t="s">
        <v>16</v>
      </c>
      <c r="L100" s="9">
        <f>WEEKDAY(Table1_2[[#This Row],[Transaction date]])</f>
        <v>2</v>
      </c>
    </row>
    <row r="101" spans="1:12" x14ac:dyDescent="0.3">
      <c r="A101" t="str">
        <f t="shared" si="1"/>
        <v>03-Jan 2009</v>
      </c>
      <c r="B101" s="10">
        <v>39816</v>
      </c>
      <c r="C101">
        <v>2009</v>
      </c>
      <c r="D101" s="11">
        <v>0.45277777777777778</v>
      </c>
      <c r="E101" t="s">
        <v>1738</v>
      </c>
      <c r="F101" t="s">
        <v>11</v>
      </c>
      <c r="G101">
        <v>1200</v>
      </c>
      <c r="H101" t="s">
        <v>12</v>
      </c>
      <c r="I101" t="s">
        <v>230</v>
      </c>
      <c r="J101" t="s">
        <v>231</v>
      </c>
      <c r="K101" t="s">
        <v>16</v>
      </c>
      <c r="L101" s="9">
        <f>WEEKDAY(Table1_2[[#This Row],[Transaction date]])</f>
        <v>7</v>
      </c>
    </row>
    <row r="102" spans="1:12" x14ac:dyDescent="0.3">
      <c r="A102" t="str">
        <f t="shared" si="1"/>
        <v>20-Jan 2009</v>
      </c>
      <c r="B102" s="10">
        <v>39833</v>
      </c>
      <c r="C102">
        <v>2009</v>
      </c>
      <c r="D102" s="11">
        <v>0.22500000000000001</v>
      </c>
      <c r="E102" t="s">
        <v>1738</v>
      </c>
      <c r="F102" t="s">
        <v>64</v>
      </c>
      <c r="G102">
        <v>7500</v>
      </c>
      <c r="H102" t="s">
        <v>17</v>
      </c>
      <c r="I102" t="s">
        <v>232</v>
      </c>
      <c r="J102" t="s">
        <v>233</v>
      </c>
      <c r="K102" t="s">
        <v>16</v>
      </c>
      <c r="L102" s="9">
        <f>WEEKDAY(Table1_2[[#This Row],[Transaction date]])</f>
        <v>3</v>
      </c>
    </row>
    <row r="103" spans="1:12" x14ac:dyDescent="0.3">
      <c r="A103" t="str">
        <f t="shared" si="1"/>
        <v>20-Jan 2009</v>
      </c>
      <c r="B103" s="10">
        <v>39833</v>
      </c>
      <c r="C103">
        <v>2009</v>
      </c>
      <c r="D103" s="11">
        <v>0.25208333333333333</v>
      </c>
      <c r="E103" t="s">
        <v>1738</v>
      </c>
      <c r="F103" t="s">
        <v>11</v>
      </c>
      <c r="G103">
        <v>1200</v>
      </c>
      <c r="H103" t="s">
        <v>17</v>
      </c>
      <c r="I103" t="s">
        <v>235</v>
      </c>
      <c r="J103" t="s">
        <v>233</v>
      </c>
      <c r="K103" t="s">
        <v>16</v>
      </c>
      <c r="L103" s="9">
        <f>WEEKDAY(Table1_2[[#This Row],[Transaction date]])</f>
        <v>3</v>
      </c>
    </row>
    <row r="104" spans="1:12" x14ac:dyDescent="0.3">
      <c r="A104" t="str">
        <f t="shared" si="1"/>
        <v>10-Jan 2009</v>
      </c>
      <c r="B104" s="10">
        <v>39823</v>
      </c>
      <c r="C104">
        <v>2009</v>
      </c>
      <c r="D104" s="11">
        <v>0.48402777777777778</v>
      </c>
      <c r="E104" t="s">
        <v>1738</v>
      </c>
      <c r="F104" t="s">
        <v>11</v>
      </c>
      <c r="G104">
        <v>1200</v>
      </c>
      <c r="H104" t="s">
        <v>65</v>
      </c>
      <c r="I104" t="s">
        <v>236</v>
      </c>
      <c r="J104" t="s">
        <v>237</v>
      </c>
      <c r="K104" t="s">
        <v>16</v>
      </c>
      <c r="L104" s="9">
        <f>WEEKDAY(Table1_2[[#This Row],[Transaction date]])</f>
        <v>7</v>
      </c>
    </row>
    <row r="105" spans="1:12" x14ac:dyDescent="0.3">
      <c r="A105" t="str">
        <f t="shared" si="1"/>
        <v>19-Jan 2009</v>
      </c>
      <c r="B105" s="10">
        <v>39832</v>
      </c>
      <c r="C105">
        <v>2009</v>
      </c>
      <c r="D105" s="11">
        <v>0.18888888888888888</v>
      </c>
      <c r="E105" t="s">
        <v>1738</v>
      </c>
      <c r="F105" t="s">
        <v>11</v>
      </c>
      <c r="G105">
        <v>1200</v>
      </c>
      <c r="H105" t="s">
        <v>65</v>
      </c>
      <c r="I105" t="s">
        <v>238</v>
      </c>
      <c r="J105" t="s">
        <v>239</v>
      </c>
      <c r="K105" t="s">
        <v>16</v>
      </c>
      <c r="L105" s="9">
        <f>WEEKDAY(Table1_2[[#This Row],[Transaction date]])</f>
        <v>2</v>
      </c>
    </row>
    <row r="106" spans="1:12" x14ac:dyDescent="0.3">
      <c r="A106" t="str">
        <f t="shared" si="1"/>
        <v>18-Jan 2009</v>
      </c>
      <c r="B106" s="10">
        <v>39831</v>
      </c>
      <c r="C106">
        <v>2009</v>
      </c>
      <c r="D106" s="11">
        <v>0.44583333333333336</v>
      </c>
      <c r="E106" t="s">
        <v>1738</v>
      </c>
      <c r="F106" t="s">
        <v>11</v>
      </c>
      <c r="G106">
        <v>1200</v>
      </c>
      <c r="H106" t="s">
        <v>12</v>
      </c>
      <c r="I106" t="s">
        <v>241</v>
      </c>
      <c r="J106" t="s">
        <v>242</v>
      </c>
      <c r="K106" t="s">
        <v>16</v>
      </c>
      <c r="L106" s="9">
        <f>WEEKDAY(Table1_2[[#This Row],[Transaction date]])</f>
        <v>1</v>
      </c>
    </row>
    <row r="107" spans="1:12" x14ac:dyDescent="0.3">
      <c r="A107" t="str">
        <f t="shared" si="1"/>
        <v>20-Jan 2009</v>
      </c>
      <c r="B107" s="10">
        <v>39833</v>
      </c>
      <c r="C107">
        <v>2009</v>
      </c>
      <c r="D107" s="11">
        <v>0.52361111111111114</v>
      </c>
      <c r="E107" t="s">
        <v>1739</v>
      </c>
      <c r="F107" t="s">
        <v>11</v>
      </c>
      <c r="G107">
        <v>1200</v>
      </c>
      <c r="H107" t="s">
        <v>17</v>
      </c>
      <c r="I107" t="s">
        <v>243</v>
      </c>
      <c r="J107" t="s">
        <v>244</v>
      </c>
      <c r="K107" t="s">
        <v>16</v>
      </c>
      <c r="L107" s="9">
        <f>WEEKDAY(Table1_2[[#This Row],[Transaction date]])</f>
        <v>3</v>
      </c>
    </row>
    <row r="108" spans="1:12" x14ac:dyDescent="0.3">
      <c r="A108" t="str">
        <f t="shared" si="1"/>
        <v>15-Jan 2009</v>
      </c>
      <c r="B108" s="10">
        <v>39828</v>
      </c>
      <c r="C108">
        <v>2009</v>
      </c>
      <c r="D108" s="11">
        <v>0.47638888888888886</v>
      </c>
      <c r="E108" t="s">
        <v>1738</v>
      </c>
      <c r="F108" t="s">
        <v>11</v>
      </c>
      <c r="G108">
        <v>1200</v>
      </c>
      <c r="H108" t="s">
        <v>12</v>
      </c>
      <c r="I108" t="s">
        <v>83</v>
      </c>
      <c r="J108" t="s">
        <v>245</v>
      </c>
      <c r="K108" t="s">
        <v>16</v>
      </c>
      <c r="L108" s="9">
        <f>WEEKDAY(Table1_2[[#This Row],[Transaction date]])</f>
        <v>5</v>
      </c>
    </row>
    <row r="109" spans="1:12" x14ac:dyDescent="0.3">
      <c r="A109" t="str">
        <f t="shared" si="1"/>
        <v>12-Jan 2009</v>
      </c>
      <c r="B109" s="10">
        <v>39825</v>
      </c>
      <c r="C109">
        <v>2009</v>
      </c>
      <c r="D109" s="11">
        <v>0.32430555555555557</v>
      </c>
      <c r="E109" t="s">
        <v>1738</v>
      </c>
      <c r="F109" t="s">
        <v>11</v>
      </c>
      <c r="G109">
        <v>1200</v>
      </c>
      <c r="H109" t="s">
        <v>17</v>
      </c>
      <c r="I109" t="s">
        <v>246</v>
      </c>
      <c r="J109" t="s">
        <v>247</v>
      </c>
      <c r="K109" t="s">
        <v>16</v>
      </c>
      <c r="L109" s="9">
        <f>WEEKDAY(Table1_2[[#This Row],[Transaction date]])</f>
        <v>2</v>
      </c>
    </row>
    <row r="110" spans="1:12" x14ac:dyDescent="0.3">
      <c r="A110" t="str">
        <f t="shared" si="1"/>
        <v>04-Jan 2009</v>
      </c>
      <c r="B110" s="10">
        <v>39817</v>
      </c>
      <c r="C110">
        <v>2009</v>
      </c>
      <c r="D110" s="11">
        <v>0.30555555555555558</v>
      </c>
      <c r="E110" t="s">
        <v>1738</v>
      </c>
      <c r="F110" t="s">
        <v>11</v>
      </c>
      <c r="G110">
        <v>1200</v>
      </c>
      <c r="H110" t="s">
        <v>65</v>
      </c>
      <c r="I110" t="s">
        <v>248</v>
      </c>
      <c r="J110" t="s">
        <v>249</v>
      </c>
      <c r="K110" t="s">
        <v>16</v>
      </c>
      <c r="L110" s="9">
        <f>WEEKDAY(Table1_2[[#This Row],[Transaction date]])</f>
        <v>1</v>
      </c>
    </row>
    <row r="111" spans="1:12" x14ac:dyDescent="0.3">
      <c r="A111" t="str">
        <f t="shared" si="1"/>
        <v>10-Jan 2009</v>
      </c>
      <c r="B111" s="10">
        <v>39823</v>
      </c>
      <c r="C111">
        <v>2009</v>
      </c>
      <c r="D111" s="11">
        <v>0.35625000000000001</v>
      </c>
      <c r="E111" t="s">
        <v>1738</v>
      </c>
      <c r="F111" t="s">
        <v>21</v>
      </c>
      <c r="G111">
        <v>3600</v>
      </c>
      <c r="H111" t="s">
        <v>17</v>
      </c>
      <c r="I111" t="s">
        <v>250</v>
      </c>
      <c r="J111" t="s">
        <v>251</v>
      </c>
      <c r="K111" t="s">
        <v>16</v>
      </c>
      <c r="L111" s="9">
        <f>WEEKDAY(Table1_2[[#This Row],[Transaction date]])</f>
        <v>7</v>
      </c>
    </row>
    <row r="112" spans="1:12" x14ac:dyDescent="0.3">
      <c r="A112" t="str">
        <f t="shared" si="1"/>
        <v>16-Jan 2009</v>
      </c>
      <c r="B112" s="10">
        <v>39829</v>
      </c>
      <c r="C112">
        <v>2009</v>
      </c>
      <c r="D112" s="11">
        <v>0.11180555555555556</v>
      </c>
      <c r="E112" t="s">
        <v>1738</v>
      </c>
      <c r="F112" t="s">
        <v>64</v>
      </c>
      <c r="G112">
        <v>7500</v>
      </c>
      <c r="H112" t="s">
        <v>12</v>
      </c>
      <c r="I112" t="s">
        <v>252</v>
      </c>
      <c r="J112" t="s">
        <v>253</v>
      </c>
      <c r="K112" t="s">
        <v>16</v>
      </c>
      <c r="L112" s="9">
        <f>WEEKDAY(Table1_2[[#This Row],[Transaction date]])</f>
        <v>6</v>
      </c>
    </row>
    <row r="113" spans="1:12" x14ac:dyDescent="0.3">
      <c r="A113" t="str">
        <f t="shared" si="1"/>
        <v>20-Jan 2009</v>
      </c>
      <c r="B113" s="10">
        <v>39833</v>
      </c>
      <c r="C113">
        <v>2009</v>
      </c>
      <c r="D113" s="11">
        <v>0.34027777777777779</v>
      </c>
      <c r="E113" t="s">
        <v>1738</v>
      </c>
      <c r="F113" t="s">
        <v>11</v>
      </c>
      <c r="G113">
        <v>1200</v>
      </c>
      <c r="H113" t="s">
        <v>65</v>
      </c>
      <c r="I113" t="s">
        <v>254</v>
      </c>
      <c r="J113" t="s">
        <v>63</v>
      </c>
      <c r="K113" t="s">
        <v>16</v>
      </c>
      <c r="L113" s="9">
        <f>WEEKDAY(Table1_2[[#This Row],[Transaction date]])</f>
        <v>3</v>
      </c>
    </row>
    <row r="114" spans="1:12" x14ac:dyDescent="0.3">
      <c r="A114" t="str">
        <f t="shared" si="1"/>
        <v>06-Jan 2009</v>
      </c>
      <c r="B114" s="10">
        <v>39819</v>
      </c>
      <c r="C114">
        <v>2009</v>
      </c>
      <c r="D114" s="11">
        <v>0.53125</v>
      </c>
      <c r="E114" t="s">
        <v>1739</v>
      </c>
      <c r="F114" t="s">
        <v>64</v>
      </c>
      <c r="G114">
        <v>3600</v>
      </c>
      <c r="H114" t="s">
        <v>65</v>
      </c>
      <c r="I114" t="s">
        <v>255</v>
      </c>
      <c r="J114" t="s">
        <v>256</v>
      </c>
      <c r="K114" t="s">
        <v>16</v>
      </c>
      <c r="L114" s="9">
        <f>WEEKDAY(Table1_2[[#This Row],[Transaction date]])</f>
        <v>3</v>
      </c>
    </row>
    <row r="115" spans="1:12" x14ac:dyDescent="0.3">
      <c r="A115" t="str">
        <f t="shared" si="1"/>
        <v>10-Jan 2009</v>
      </c>
      <c r="B115" s="10">
        <v>39823</v>
      </c>
      <c r="C115">
        <v>2009</v>
      </c>
      <c r="D115" s="11">
        <v>0.34236111111111112</v>
      </c>
      <c r="E115" t="s">
        <v>1738</v>
      </c>
      <c r="F115" t="s">
        <v>11</v>
      </c>
      <c r="G115">
        <v>1200</v>
      </c>
      <c r="H115" t="s">
        <v>12</v>
      </c>
      <c r="I115" t="s">
        <v>257</v>
      </c>
      <c r="J115" t="s">
        <v>258</v>
      </c>
      <c r="K115" t="s">
        <v>16</v>
      </c>
      <c r="L115" s="9">
        <f>WEEKDAY(Table1_2[[#This Row],[Transaction date]])</f>
        <v>7</v>
      </c>
    </row>
    <row r="116" spans="1:12" x14ac:dyDescent="0.3">
      <c r="A116" t="str">
        <f t="shared" si="1"/>
        <v>07-Jan 2009</v>
      </c>
      <c r="B116" s="10">
        <v>39820</v>
      </c>
      <c r="C116">
        <v>2009</v>
      </c>
      <c r="D116" s="11">
        <v>9.375E-2</v>
      </c>
      <c r="E116" t="s">
        <v>1738</v>
      </c>
      <c r="F116" t="s">
        <v>11</v>
      </c>
      <c r="G116">
        <v>1200</v>
      </c>
      <c r="H116" t="s">
        <v>17</v>
      </c>
      <c r="I116" t="s">
        <v>259</v>
      </c>
      <c r="J116" t="s">
        <v>260</v>
      </c>
      <c r="K116" t="s">
        <v>16</v>
      </c>
      <c r="L116" s="9">
        <f>WEEKDAY(Table1_2[[#This Row],[Transaction date]])</f>
        <v>4</v>
      </c>
    </row>
    <row r="117" spans="1:12" x14ac:dyDescent="0.3">
      <c r="A117" t="str">
        <f t="shared" si="1"/>
        <v>08-Jan 2009</v>
      </c>
      <c r="B117" s="10">
        <v>39821</v>
      </c>
      <c r="C117">
        <v>2009</v>
      </c>
      <c r="D117" s="11">
        <v>0.14374999999999999</v>
      </c>
      <c r="E117" t="s">
        <v>1738</v>
      </c>
      <c r="F117" t="s">
        <v>11</v>
      </c>
      <c r="G117">
        <v>1200</v>
      </c>
      <c r="H117" t="s">
        <v>17</v>
      </c>
      <c r="I117" t="s">
        <v>261</v>
      </c>
      <c r="J117" t="s">
        <v>158</v>
      </c>
      <c r="K117" t="s">
        <v>16</v>
      </c>
      <c r="L117" s="9">
        <f>WEEKDAY(Table1_2[[#This Row],[Transaction date]])</f>
        <v>5</v>
      </c>
    </row>
    <row r="118" spans="1:12" x14ac:dyDescent="0.3">
      <c r="A118" t="str">
        <f t="shared" si="1"/>
        <v>21-Jan 2009</v>
      </c>
      <c r="B118" s="10">
        <v>39834</v>
      </c>
      <c r="C118">
        <v>2009</v>
      </c>
      <c r="D118" s="11">
        <v>8.7499999999999994E-2</v>
      </c>
      <c r="E118" t="s">
        <v>1738</v>
      </c>
      <c r="F118" t="s">
        <v>11</v>
      </c>
      <c r="G118">
        <v>1200</v>
      </c>
      <c r="H118" t="s">
        <v>12</v>
      </c>
      <c r="I118" t="s">
        <v>37</v>
      </c>
      <c r="J118" t="s">
        <v>262</v>
      </c>
      <c r="K118" t="s">
        <v>16</v>
      </c>
      <c r="L118" s="9">
        <f>WEEKDAY(Table1_2[[#This Row],[Transaction date]])</f>
        <v>4</v>
      </c>
    </row>
    <row r="119" spans="1:12" x14ac:dyDescent="0.3">
      <c r="A119" t="str">
        <f t="shared" si="1"/>
        <v>19-Jan 2009</v>
      </c>
      <c r="B119" s="10">
        <v>39832</v>
      </c>
      <c r="C119">
        <v>2009</v>
      </c>
      <c r="D119" s="11">
        <v>0.29652777777777778</v>
      </c>
      <c r="E119" t="s">
        <v>1738</v>
      </c>
      <c r="F119" t="s">
        <v>11</v>
      </c>
      <c r="G119">
        <v>1200</v>
      </c>
      <c r="H119" t="s">
        <v>12</v>
      </c>
      <c r="I119" t="s">
        <v>263</v>
      </c>
      <c r="J119" t="s">
        <v>264</v>
      </c>
      <c r="K119" t="s">
        <v>16</v>
      </c>
      <c r="L119" s="9">
        <f>WEEKDAY(Table1_2[[#This Row],[Transaction date]])</f>
        <v>2</v>
      </c>
    </row>
    <row r="120" spans="1:12" x14ac:dyDescent="0.3">
      <c r="A120" t="str">
        <f t="shared" si="1"/>
        <v>18-Jan 2009</v>
      </c>
      <c r="B120" s="10">
        <v>39831</v>
      </c>
      <c r="C120">
        <v>2009</v>
      </c>
      <c r="D120" s="11">
        <v>0.26874999999999999</v>
      </c>
      <c r="E120" t="s">
        <v>1738</v>
      </c>
      <c r="F120" t="s">
        <v>11</v>
      </c>
      <c r="G120">
        <v>1200</v>
      </c>
      <c r="H120" t="s">
        <v>17</v>
      </c>
      <c r="I120" t="s">
        <v>265</v>
      </c>
      <c r="J120" t="s">
        <v>266</v>
      </c>
      <c r="K120" t="s">
        <v>16</v>
      </c>
      <c r="L120" s="9">
        <f>WEEKDAY(Table1_2[[#This Row],[Transaction date]])</f>
        <v>1</v>
      </c>
    </row>
    <row r="121" spans="1:12" x14ac:dyDescent="0.3">
      <c r="A121" t="str">
        <f t="shared" si="1"/>
        <v>20-Jan 2009</v>
      </c>
      <c r="B121" s="10">
        <v>39833</v>
      </c>
      <c r="C121">
        <v>2009</v>
      </c>
      <c r="D121" s="11">
        <v>0.49861111111111112</v>
      </c>
      <c r="E121" t="s">
        <v>1738</v>
      </c>
      <c r="F121" t="s">
        <v>11</v>
      </c>
      <c r="G121">
        <v>1200</v>
      </c>
      <c r="H121" t="s">
        <v>17</v>
      </c>
      <c r="I121" t="s">
        <v>267</v>
      </c>
      <c r="J121" t="s">
        <v>268</v>
      </c>
      <c r="K121" t="s">
        <v>16</v>
      </c>
      <c r="L121" s="9">
        <f>WEEKDAY(Table1_2[[#This Row],[Transaction date]])</f>
        <v>3</v>
      </c>
    </row>
    <row r="122" spans="1:12" x14ac:dyDescent="0.3">
      <c r="A122" t="str">
        <f t="shared" si="1"/>
        <v>20-Jan 2009</v>
      </c>
      <c r="B122" s="10">
        <v>39833</v>
      </c>
      <c r="C122">
        <v>2009</v>
      </c>
      <c r="D122" s="11">
        <v>0.18888888888888888</v>
      </c>
      <c r="E122" t="s">
        <v>1738</v>
      </c>
      <c r="F122" t="s">
        <v>11</v>
      </c>
      <c r="G122">
        <v>1200</v>
      </c>
      <c r="H122" t="s">
        <v>12</v>
      </c>
      <c r="I122" t="s">
        <v>269</v>
      </c>
      <c r="J122" t="s">
        <v>270</v>
      </c>
      <c r="K122" t="s">
        <v>16</v>
      </c>
      <c r="L122" s="9">
        <f>WEEKDAY(Table1_2[[#This Row],[Transaction date]])</f>
        <v>3</v>
      </c>
    </row>
    <row r="123" spans="1:12" x14ac:dyDescent="0.3">
      <c r="A123" t="str">
        <f t="shared" si="1"/>
        <v>01-Jan 2009</v>
      </c>
      <c r="B123" s="10">
        <v>39814</v>
      </c>
      <c r="C123">
        <v>2009</v>
      </c>
      <c r="D123" s="11">
        <v>0.29791666666666666</v>
      </c>
      <c r="E123" t="s">
        <v>1738</v>
      </c>
      <c r="F123" t="s">
        <v>11</v>
      </c>
      <c r="G123">
        <v>1200</v>
      </c>
      <c r="H123" t="s">
        <v>65</v>
      </c>
      <c r="I123" t="s">
        <v>271</v>
      </c>
      <c r="J123" t="s">
        <v>272</v>
      </c>
      <c r="K123" t="s">
        <v>16</v>
      </c>
      <c r="L123" s="9">
        <f>WEEKDAY(Table1_2[[#This Row],[Transaction date]])</f>
        <v>5</v>
      </c>
    </row>
    <row r="124" spans="1:12" x14ac:dyDescent="0.3">
      <c r="A124" t="str">
        <f t="shared" si="1"/>
        <v>21-Jan 2009</v>
      </c>
      <c r="B124" s="10">
        <v>39834</v>
      </c>
      <c r="C124">
        <v>2009</v>
      </c>
      <c r="D124" s="11">
        <v>0.12152777777777778</v>
      </c>
      <c r="E124" t="s">
        <v>1738</v>
      </c>
      <c r="F124" t="s">
        <v>11</v>
      </c>
      <c r="G124">
        <v>1200</v>
      </c>
      <c r="H124" t="s">
        <v>12</v>
      </c>
      <c r="I124" t="s">
        <v>273</v>
      </c>
      <c r="J124" t="s">
        <v>35</v>
      </c>
      <c r="K124" t="s">
        <v>16</v>
      </c>
      <c r="L124" s="9">
        <f>WEEKDAY(Table1_2[[#This Row],[Transaction date]])</f>
        <v>4</v>
      </c>
    </row>
    <row r="125" spans="1:12" x14ac:dyDescent="0.3">
      <c r="A125" t="str">
        <f t="shared" si="1"/>
        <v>07-Jan 2009</v>
      </c>
      <c r="B125" s="10">
        <v>39820</v>
      </c>
      <c r="C125">
        <v>2009</v>
      </c>
      <c r="D125" s="11">
        <v>0.43680555555555556</v>
      </c>
      <c r="E125" t="s">
        <v>1738</v>
      </c>
      <c r="F125" t="s">
        <v>11</v>
      </c>
      <c r="G125">
        <v>1200</v>
      </c>
      <c r="H125" t="s">
        <v>17</v>
      </c>
      <c r="I125" t="s">
        <v>274</v>
      </c>
      <c r="J125" t="s">
        <v>275</v>
      </c>
      <c r="K125" t="s">
        <v>16</v>
      </c>
      <c r="L125" s="9">
        <f>WEEKDAY(Table1_2[[#This Row],[Transaction date]])</f>
        <v>4</v>
      </c>
    </row>
    <row r="126" spans="1:12" x14ac:dyDescent="0.3">
      <c r="A126" t="str">
        <f t="shared" si="1"/>
        <v>18-Jan 2009</v>
      </c>
      <c r="B126" s="10">
        <v>39831</v>
      </c>
      <c r="C126">
        <v>2009</v>
      </c>
      <c r="D126" s="11">
        <v>0.2013888888888889</v>
      </c>
      <c r="E126" t="s">
        <v>1738</v>
      </c>
      <c r="F126" t="s">
        <v>11</v>
      </c>
      <c r="G126">
        <v>1200</v>
      </c>
      <c r="H126" t="s">
        <v>12</v>
      </c>
      <c r="I126" t="s">
        <v>277</v>
      </c>
      <c r="J126" t="s">
        <v>278</v>
      </c>
      <c r="K126" t="s">
        <v>16</v>
      </c>
      <c r="L126" s="9">
        <f>WEEKDAY(Table1_2[[#This Row],[Transaction date]])</f>
        <v>1</v>
      </c>
    </row>
    <row r="127" spans="1:12" x14ac:dyDescent="0.3">
      <c r="A127" t="str">
        <f t="shared" si="1"/>
        <v>21-Jan 2009</v>
      </c>
      <c r="B127" s="10">
        <v>39834</v>
      </c>
      <c r="C127">
        <v>2009</v>
      </c>
      <c r="D127" s="11">
        <v>0.50555555555555554</v>
      </c>
      <c r="E127" t="s">
        <v>1739</v>
      </c>
      <c r="F127" t="s">
        <v>21</v>
      </c>
      <c r="G127">
        <v>3600</v>
      </c>
      <c r="H127" t="s">
        <v>12</v>
      </c>
      <c r="I127" t="s">
        <v>279</v>
      </c>
      <c r="J127" t="s">
        <v>280</v>
      </c>
      <c r="K127" t="s">
        <v>16</v>
      </c>
      <c r="L127" s="9">
        <f>WEEKDAY(Table1_2[[#This Row],[Transaction date]])</f>
        <v>4</v>
      </c>
    </row>
    <row r="128" spans="1:12" x14ac:dyDescent="0.3">
      <c r="A128" t="str">
        <f t="shared" si="1"/>
        <v>22-Jan 2009</v>
      </c>
      <c r="B128" s="10">
        <v>39835</v>
      </c>
      <c r="C128">
        <v>2009</v>
      </c>
      <c r="D128" s="11">
        <v>0.27847222222222223</v>
      </c>
      <c r="E128" t="s">
        <v>1738</v>
      </c>
      <c r="F128" t="s">
        <v>11</v>
      </c>
      <c r="G128">
        <v>1200</v>
      </c>
      <c r="H128" t="s">
        <v>12</v>
      </c>
      <c r="I128" t="s">
        <v>281</v>
      </c>
      <c r="J128" t="s">
        <v>282</v>
      </c>
      <c r="K128" t="s">
        <v>16</v>
      </c>
      <c r="L128" s="9">
        <f>WEEKDAY(Table1_2[[#This Row],[Transaction date]])</f>
        <v>5</v>
      </c>
    </row>
    <row r="129" spans="1:12" x14ac:dyDescent="0.3">
      <c r="A129" t="str">
        <f t="shared" si="1"/>
        <v>12-Jan 2009</v>
      </c>
      <c r="B129" s="10">
        <v>39825</v>
      </c>
      <c r="C129">
        <v>2009</v>
      </c>
      <c r="D129" s="11">
        <v>0.39097222222222222</v>
      </c>
      <c r="E129" t="s">
        <v>1738</v>
      </c>
      <c r="F129" t="s">
        <v>11</v>
      </c>
      <c r="G129">
        <v>1200</v>
      </c>
      <c r="H129" t="s">
        <v>17</v>
      </c>
      <c r="I129" t="s">
        <v>283</v>
      </c>
      <c r="J129" t="s">
        <v>284</v>
      </c>
      <c r="K129" t="s">
        <v>16</v>
      </c>
      <c r="L129" s="9">
        <f>WEEKDAY(Table1_2[[#This Row],[Transaction date]])</f>
        <v>2</v>
      </c>
    </row>
    <row r="130" spans="1:12" x14ac:dyDescent="0.3">
      <c r="A130" t="str">
        <f t="shared" ref="A130:A193" si="2">TEXT(B130, "dd-mmm") &amp; " " &amp; C130</f>
        <v>22-Jan 2009</v>
      </c>
      <c r="B130" s="10">
        <v>39835</v>
      </c>
      <c r="C130">
        <v>2009</v>
      </c>
      <c r="D130" s="11">
        <v>0.34930555555555554</v>
      </c>
      <c r="E130" t="s">
        <v>1738</v>
      </c>
      <c r="F130" t="s">
        <v>11</v>
      </c>
      <c r="G130">
        <v>1200</v>
      </c>
      <c r="H130" t="s">
        <v>12</v>
      </c>
      <c r="I130" t="s">
        <v>285</v>
      </c>
      <c r="J130" t="s">
        <v>286</v>
      </c>
      <c r="K130" t="s">
        <v>16</v>
      </c>
      <c r="L130" s="9">
        <f>WEEKDAY(Table1_2[[#This Row],[Transaction date]])</f>
        <v>5</v>
      </c>
    </row>
    <row r="131" spans="1:12" x14ac:dyDescent="0.3">
      <c r="A131" t="str">
        <f t="shared" si="2"/>
        <v>20-Jan 2009</v>
      </c>
      <c r="B131" s="10">
        <v>39833</v>
      </c>
      <c r="C131">
        <v>2009</v>
      </c>
      <c r="D131" s="11">
        <v>0.36875000000000002</v>
      </c>
      <c r="E131" t="s">
        <v>1738</v>
      </c>
      <c r="F131" t="s">
        <v>11</v>
      </c>
      <c r="G131">
        <v>1200</v>
      </c>
      <c r="H131" t="s">
        <v>12</v>
      </c>
      <c r="I131" t="s">
        <v>78</v>
      </c>
      <c r="J131" t="s">
        <v>287</v>
      </c>
      <c r="K131" t="s">
        <v>16</v>
      </c>
      <c r="L131" s="9">
        <f>WEEKDAY(Table1_2[[#This Row],[Transaction date]])</f>
        <v>3</v>
      </c>
    </row>
    <row r="132" spans="1:12" x14ac:dyDescent="0.3">
      <c r="A132" t="str">
        <f t="shared" si="2"/>
        <v>06-Jan 2009</v>
      </c>
      <c r="B132" s="10">
        <v>39819</v>
      </c>
      <c r="C132">
        <v>2009</v>
      </c>
      <c r="D132" s="11">
        <v>0.35694444444444445</v>
      </c>
      <c r="E132" t="s">
        <v>1738</v>
      </c>
      <c r="F132" t="s">
        <v>11</v>
      </c>
      <c r="G132">
        <v>1200</v>
      </c>
      <c r="H132" t="s">
        <v>12</v>
      </c>
      <c r="I132" t="s">
        <v>288</v>
      </c>
      <c r="J132" t="s">
        <v>289</v>
      </c>
      <c r="K132" t="s">
        <v>16</v>
      </c>
      <c r="L132" s="9">
        <f>WEEKDAY(Table1_2[[#This Row],[Transaction date]])</f>
        <v>3</v>
      </c>
    </row>
    <row r="133" spans="1:12" x14ac:dyDescent="0.3">
      <c r="A133" t="str">
        <f t="shared" si="2"/>
        <v>23-Jan 2009</v>
      </c>
      <c r="B133" s="10">
        <v>39836</v>
      </c>
      <c r="C133">
        <v>2009</v>
      </c>
      <c r="D133" s="11">
        <v>0.14791666666666667</v>
      </c>
      <c r="E133" t="s">
        <v>1738</v>
      </c>
      <c r="F133" t="s">
        <v>21</v>
      </c>
      <c r="G133">
        <v>3600</v>
      </c>
      <c r="H133" t="s">
        <v>17</v>
      </c>
      <c r="I133" t="s">
        <v>290</v>
      </c>
      <c r="J133" t="s">
        <v>194</v>
      </c>
      <c r="K133" t="s">
        <v>16</v>
      </c>
      <c r="L133" s="9">
        <f>WEEKDAY(Table1_2[[#This Row],[Transaction date]])</f>
        <v>6</v>
      </c>
    </row>
    <row r="134" spans="1:12" x14ac:dyDescent="0.3">
      <c r="A134" t="str">
        <f t="shared" si="2"/>
        <v>21-Jan 2009</v>
      </c>
      <c r="B134" s="10">
        <v>39834</v>
      </c>
      <c r="C134">
        <v>2009</v>
      </c>
      <c r="D134" s="11">
        <v>9.375E-2</v>
      </c>
      <c r="E134" t="s">
        <v>1738</v>
      </c>
      <c r="F134" t="s">
        <v>11</v>
      </c>
      <c r="G134">
        <v>1200</v>
      </c>
      <c r="H134" t="s">
        <v>65</v>
      </c>
      <c r="I134" t="s">
        <v>291</v>
      </c>
      <c r="J134" t="s">
        <v>292</v>
      </c>
      <c r="K134" t="s">
        <v>16</v>
      </c>
      <c r="L134" s="9">
        <f>WEEKDAY(Table1_2[[#This Row],[Transaction date]])</f>
        <v>4</v>
      </c>
    </row>
    <row r="135" spans="1:12" x14ac:dyDescent="0.3">
      <c r="A135" t="str">
        <f t="shared" si="2"/>
        <v>21-Jan 2009</v>
      </c>
      <c r="B135" s="10">
        <v>39834</v>
      </c>
      <c r="C135">
        <v>2009</v>
      </c>
      <c r="D135" s="11">
        <v>0.27708333333333335</v>
      </c>
      <c r="E135" t="s">
        <v>1738</v>
      </c>
      <c r="F135" t="s">
        <v>11</v>
      </c>
      <c r="G135">
        <v>1200</v>
      </c>
      <c r="H135" t="s">
        <v>65</v>
      </c>
      <c r="I135" t="s">
        <v>294</v>
      </c>
      <c r="J135" t="s">
        <v>228</v>
      </c>
      <c r="K135" t="s">
        <v>16</v>
      </c>
      <c r="L135" s="9">
        <f>WEEKDAY(Table1_2[[#This Row],[Transaction date]])</f>
        <v>4</v>
      </c>
    </row>
    <row r="136" spans="1:12" x14ac:dyDescent="0.3">
      <c r="A136" t="str">
        <f t="shared" si="2"/>
        <v>19-Jan 2009</v>
      </c>
      <c r="B136" s="10">
        <v>39832</v>
      </c>
      <c r="C136">
        <v>2009</v>
      </c>
      <c r="D136" s="11">
        <v>0.34305555555555556</v>
      </c>
      <c r="E136" t="s">
        <v>1738</v>
      </c>
      <c r="F136" t="s">
        <v>11</v>
      </c>
      <c r="G136">
        <v>1200</v>
      </c>
      <c r="H136" t="s">
        <v>12</v>
      </c>
      <c r="I136" t="s">
        <v>295</v>
      </c>
      <c r="J136" t="s">
        <v>73</v>
      </c>
      <c r="K136" t="s">
        <v>16</v>
      </c>
      <c r="L136" s="9">
        <f>WEEKDAY(Table1_2[[#This Row],[Transaction date]])</f>
        <v>2</v>
      </c>
    </row>
    <row r="137" spans="1:12" x14ac:dyDescent="0.3">
      <c r="A137" t="str">
        <f t="shared" si="2"/>
        <v>22-Jan 2009</v>
      </c>
      <c r="B137" s="10">
        <v>39835</v>
      </c>
      <c r="C137">
        <v>2009</v>
      </c>
      <c r="D137" s="11">
        <v>0.4826388888888889</v>
      </c>
      <c r="E137" t="s">
        <v>1738</v>
      </c>
      <c r="F137" t="s">
        <v>11</v>
      </c>
      <c r="G137">
        <v>1200</v>
      </c>
      <c r="H137" t="s">
        <v>17</v>
      </c>
      <c r="I137" t="s">
        <v>296</v>
      </c>
      <c r="J137" t="s">
        <v>297</v>
      </c>
      <c r="K137" t="s">
        <v>16</v>
      </c>
      <c r="L137" s="9">
        <f>WEEKDAY(Table1_2[[#This Row],[Transaction date]])</f>
        <v>5</v>
      </c>
    </row>
    <row r="138" spans="1:12" x14ac:dyDescent="0.3">
      <c r="A138" t="str">
        <f t="shared" si="2"/>
        <v>21-Jan 2009</v>
      </c>
      <c r="B138" s="10">
        <v>39834</v>
      </c>
      <c r="C138">
        <v>2009</v>
      </c>
      <c r="D138" s="11">
        <v>0.33263888888888887</v>
      </c>
      <c r="E138" t="s">
        <v>1738</v>
      </c>
      <c r="F138" t="s">
        <v>11</v>
      </c>
      <c r="G138">
        <v>1200</v>
      </c>
      <c r="H138" t="s">
        <v>12</v>
      </c>
      <c r="I138" t="s">
        <v>298</v>
      </c>
      <c r="J138" t="s">
        <v>299</v>
      </c>
      <c r="K138" t="s">
        <v>16</v>
      </c>
      <c r="L138" s="9">
        <f>WEEKDAY(Table1_2[[#This Row],[Transaction date]])</f>
        <v>4</v>
      </c>
    </row>
    <row r="139" spans="1:12" x14ac:dyDescent="0.3">
      <c r="A139" t="str">
        <f t="shared" si="2"/>
        <v>23-Jan 2009</v>
      </c>
      <c r="B139" s="10">
        <v>39836</v>
      </c>
      <c r="C139">
        <v>2009</v>
      </c>
      <c r="D139" s="11">
        <v>0.31736111111111109</v>
      </c>
      <c r="E139" t="s">
        <v>1738</v>
      </c>
      <c r="F139" t="s">
        <v>64</v>
      </c>
      <c r="G139">
        <v>3600</v>
      </c>
      <c r="H139" t="s">
        <v>65</v>
      </c>
      <c r="I139" t="s">
        <v>300</v>
      </c>
      <c r="J139" t="s">
        <v>60</v>
      </c>
      <c r="K139" t="s">
        <v>16</v>
      </c>
      <c r="L139" s="9">
        <f>WEEKDAY(Table1_2[[#This Row],[Transaction date]])</f>
        <v>6</v>
      </c>
    </row>
    <row r="140" spans="1:12" x14ac:dyDescent="0.3">
      <c r="A140" t="str">
        <f t="shared" si="2"/>
        <v>18-Jan 2009</v>
      </c>
      <c r="B140" s="10">
        <v>39831</v>
      </c>
      <c r="C140">
        <v>2009</v>
      </c>
      <c r="D140" s="11">
        <v>0.11041666666666666</v>
      </c>
      <c r="E140" t="s">
        <v>1738</v>
      </c>
      <c r="F140" t="s">
        <v>11</v>
      </c>
      <c r="G140">
        <v>1200</v>
      </c>
      <c r="H140" t="s">
        <v>12</v>
      </c>
      <c r="I140" t="s">
        <v>301</v>
      </c>
      <c r="J140" t="s">
        <v>302</v>
      </c>
      <c r="K140" t="s">
        <v>16</v>
      </c>
      <c r="L140" s="9">
        <f>WEEKDAY(Table1_2[[#This Row],[Transaction date]])</f>
        <v>1</v>
      </c>
    </row>
    <row r="141" spans="1:12" x14ac:dyDescent="0.3">
      <c r="A141" t="str">
        <f t="shared" si="2"/>
        <v>17-Jan 2009</v>
      </c>
      <c r="B141" s="10">
        <v>39830</v>
      </c>
      <c r="C141">
        <v>2009</v>
      </c>
      <c r="D141" s="11">
        <v>0.30763888888888891</v>
      </c>
      <c r="E141" t="s">
        <v>1738</v>
      </c>
      <c r="F141" t="s">
        <v>11</v>
      </c>
      <c r="G141">
        <v>1200</v>
      </c>
      <c r="H141" t="s">
        <v>12</v>
      </c>
      <c r="I141" t="s">
        <v>303</v>
      </c>
      <c r="J141" t="s">
        <v>304</v>
      </c>
      <c r="K141" t="s">
        <v>16</v>
      </c>
      <c r="L141" s="9">
        <f>WEEKDAY(Table1_2[[#This Row],[Transaction date]])</f>
        <v>7</v>
      </c>
    </row>
    <row r="142" spans="1:12" x14ac:dyDescent="0.3">
      <c r="A142" t="str">
        <f t="shared" si="2"/>
        <v>23-Jan 2009</v>
      </c>
      <c r="B142" s="10">
        <v>39836</v>
      </c>
      <c r="C142">
        <v>2009</v>
      </c>
      <c r="D142" s="11">
        <v>0.48402777777777778</v>
      </c>
      <c r="E142" t="s">
        <v>1738</v>
      </c>
      <c r="F142" t="s">
        <v>11</v>
      </c>
      <c r="G142">
        <v>1200</v>
      </c>
      <c r="H142" t="s">
        <v>12</v>
      </c>
      <c r="I142" t="s">
        <v>305</v>
      </c>
      <c r="J142" t="s">
        <v>112</v>
      </c>
      <c r="K142" t="s">
        <v>16</v>
      </c>
      <c r="L142" s="9">
        <f>WEEKDAY(Table1_2[[#This Row],[Transaction date]])</f>
        <v>6</v>
      </c>
    </row>
    <row r="143" spans="1:12" x14ac:dyDescent="0.3">
      <c r="A143" t="str">
        <f t="shared" si="2"/>
        <v>19-Jan 2009</v>
      </c>
      <c r="B143" s="10">
        <v>39832</v>
      </c>
      <c r="C143">
        <v>2009</v>
      </c>
      <c r="D143" s="11">
        <v>0.12638888888888888</v>
      </c>
      <c r="E143" t="s">
        <v>1738</v>
      </c>
      <c r="F143" t="s">
        <v>11</v>
      </c>
      <c r="G143">
        <v>1200</v>
      </c>
      <c r="H143" t="s">
        <v>17</v>
      </c>
      <c r="I143" t="s">
        <v>306</v>
      </c>
      <c r="J143" t="s">
        <v>307</v>
      </c>
      <c r="K143" t="s">
        <v>16</v>
      </c>
      <c r="L143" s="9">
        <f>WEEKDAY(Table1_2[[#This Row],[Transaction date]])</f>
        <v>2</v>
      </c>
    </row>
    <row r="144" spans="1:12" x14ac:dyDescent="0.3">
      <c r="A144" t="str">
        <f t="shared" si="2"/>
        <v>07-Jan 2009</v>
      </c>
      <c r="B144" s="10">
        <v>39820</v>
      </c>
      <c r="C144">
        <v>2009</v>
      </c>
      <c r="D144" s="11">
        <v>0.29375000000000001</v>
      </c>
      <c r="E144" t="s">
        <v>1738</v>
      </c>
      <c r="F144" t="s">
        <v>21</v>
      </c>
      <c r="G144">
        <v>3600</v>
      </c>
      <c r="H144" t="s">
        <v>17</v>
      </c>
      <c r="I144" t="s">
        <v>308</v>
      </c>
      <c r="J144" t="s">
        <v>131</v>
      </c>
      <c r="K144" t="s">
        <v>16</v>
      </c>
      <c r="L144" s="9">
        <f>WEEKDAY(Table1_2[[#This Row],[Transaction date]])</f>
        <v>4</v>
      </c>
    </row>
    <row r="145" spans="1:12" x14ac:dyDescent="0.3">
      <c r="A145" t="str">
        <f t="shared" si="2"/>
        <v>17-Jan 2009</v>
      </c>
      <c r="B145" s="10">
        <v>39830</v>
      </c>
      <c r="C145">
        <v>2009</v>
      </c>
      <c r="D145" s="11">
        <v>8.4722222222222227E-2</v>
      </c>
      <c r="E145" t="s">
        <v>1738</v>
      </c>
      <c r="F145" t="s">
        <v>11</v>
      </c>
      <c r="G145">
        <v>1200</v>
      </c>
      <c r="H145" t="s">
        <v>12</v>
      </c>
      <c r="I145" t="s">
        <v>309</v>
      </c>
      <c r="J145" t="s">
        <v>307</v>
      </c>
      <c r="K145" t="s">
        <v>16</v>
      </c>
      <c r="L145" s="9">
        <f>WEEKDAY(Table1_2[[#This Row],[Transaction date]])</f>
        <v>7</v>
      </c>
    </row>
    <row r="146" spans="1:12" x14ac:dyDescent="0.3">
      <c r="A146" t="str">
        <f t="shared" si="2"/>
        <v>25-Jan 2009</v>
      </c>
      <c r="B146" s="10">
        <v>39838</v>
      </c>
      <c r="C146">
        <v>2009</v>
      </c>
      <c r="D146" s="11">
        <v>0.50624999999999998</v>
      </c>
      <c r="E146" t="s">
        <v>1739</v>
      </c>
      <c r="F146" t="s">
        <v>11</v>
      </c>
      <c r="G146">
        <v>1200</v>
      </c>
      <c r="H146" t="s">
        <v>12</v>
      </c>
      <c r="I146" t="s">
        <v>310</v>
      </c>
      <c r="J146" t="s">
        <v>311</v>
      </c>
      <c r="K146" t="s">
        <v>16</v>
      </c>
      <c r="L146" s="9">
        <f>WEEKDAY(Table1_2[[#This Row],[Transaction date]])</f>
        <v>1</v>
      </c>
    </row>
    <row r="147" spans="1:12" x14ac:dyDescent="0.3">
      <c r="A147" t="str">
        <f t="shared" si="2"/>
        <v>06-Jan 2009</v>
      </c>
      <c r="B147" s="10">
        <v>39819</v>
      </c>
      <c r="C147">
        <v>2009</v>
      </c>
      <c r="D147" s="11">
        <v>0.41111111111111109</v>
      </c>
      <c r="E147" t="s">
        <v>1738</v>
      </c>
      <c r="F147" t="s">
        <v>11</v>
      </c>
      <c r="G147">
        <v>1200</v>
      </c>
      <c r="H147" t="s">
        <v>17</v>
      </c>
      <c r="I147" t="s">
        <v>176</v>
      </c>
      <c r="J147" t="s">
        <v>178</v>
      </c>
      <c r="K147" t="s">
        <v>16</v>
      </c>
      <c r="L147" s="9">
        <f>WEEKDAY(Table1_2[[#This Row],[Transaction date]])</f>
        <v>3</v>
      </c>
    </row>
    <row r="148" spans="1:12" x14ac:dyDescent="0.3">
      <c r="A148" t="str">
        <f t="shared" si="2"/>
        <v>13-Jan 2009</v>
      </c>
      <c r="B148" s="10">
        <v>39826</v>
      </c>
      <c r="C148">
        <v>2009</v>
      </c>
      <c r="D148" s="11">
        <v>0.12013888888888889</v>
      </c>
      <c r="E148" t="s">
        <v>1738</v>
      </c>
      <c r="F148" t="s">
        <v>11</v>
      </c>
      <c r="G148">
        <v>1200</v>
      </c>
      <c r="H148" t="s">
        <v>12</v>
      </c>
      <c r="I148" t="s">
        <v>312</v>
      </c>
      <c r="J148" t="s">
        <v>313</v>
      </c>
      <c r="K148" t="s">
        <v>16</v>
      </c>
      <c r="L148" s="9">
        <f>WEEKDAY(Table1_2[[#This Row],[Transaction date]])</f>
        <v>3</v>
      </c>
    </row>
    <row r="149" spans="1:12" x14ac:dyDescent="0.3">
      <c r="A149" t="str">
        <f t="shared" si="2"/>
        <v>06-Jan 2009</v>
      </c>
      <c r="B149" s="10">
        <v>39819</v>
      </c>
      <c r="C149">
        <v>2009</v>
      </c>
      <c r="D149" s="11">
        <v>0.19236111111111112</v>
      </c>
      <c r="E149" t="s">
        <v>1738</v>
      </c>
      <c r="F149" t="s">
        <v>11</v>
      </c>
      <c r="G149">
        <v>1200</v>
      </c>
      <c r="H149" t="s">
        <v>12</v>
      </c>
      <c r="I149" t="s">
        <v>314</v>
      </c>
      <c r="J149" t="s">
        <v>315</v>
      </c>
      <c r="K149" t="s">
        <v>16</v>
      </c>
      <c r="L149" s="9">
        <f>WEEKDAY(Table1_2[[#This Row],[Transaction date]])</f>
        <v>3</v>
      </c>
    </row>
    <row r="150" spans="1:12" x14ac:dyDescent="0.3">
      <c r="A150" t="str">
        <f t="shared" si="2"/>
        <v>18-Jan 2009</v>
      </c>
      <c r="B150" s="10">
        <v>39831</v>
      </c>
      <c r="C150">
        <v>2009</v>
      </c>
      <c r="D150" s="11">
        <v>0.22291666666666668</v>
      </c>
      <c r="E150" t="s">
        <v>1738</v>
      </c>
      <c r="F150" t="s">
        <v>11</v>
      </c>
      <c r="G150">
        <v>1200</v>
      </c>
      <c r="H150" t="s">
        <v>17</v>
      </c>
      <c r="I150" t="s">
        <v>316</v>
      </c>
      <c r="J150" t="s">
        <v>317</v>
      </c>
      <c r="K150" t="s">
        <v>16</v>
      </c>
      <c r="L150" s="9">
        <f>WEEKDAY(Table1_2[[#This Row],[Transaction date]])</f>
        <v>1</v>
      </c>
    </row>
    <row r="151" spans="1:12" x14ac:dyDescent="0.3">
      <c r="A151" t="str">
        <f t="shared" si="2"/>
        <v>13-Jan 2009</v>
      </c>
      <c r="B151" s="10">
        <v>39826</v>
      </c>
      <c r="C151">
        <v>2009</v>
      </c>
      <c r="D151" s="11">
        <v>0.13750000000000001</v>
      </c>
      <c r="E151" t="s">
        <v>1738</v>
      </c>
      <c r="F151" t="s">
        <v>11</v>
      </c>
      <c r="G151">
        <v>1200</v>
      </c>
      <c r="H151" t="s">
        <v>65</v>
      </c>
      <c r="I151" t="s">
        <v>318</v>
      </c>
      <c r="J151" t="s">
        <v>319</v>
      </c>
      <c r="K151" t="s">
        <v>16</v>
      </c>
      <c r="L151" s="9">
        <f>WEEKDAY(Table1_2[[#This Row],[Transaction date]])</f>
        <v>3</v>
      </c>
    </row>
    <row r="152" spans="1:12" x14ac:dyDescent="0.3">
      <c r="A152" t="str">
        <f t="shared" si="2"/>
        <v>18-Jan 2009</v>
      </c>
      <c r="B152" s="10">
        <v>39831</v>
      </c>
      <c r="C152">
        <v>2009</v>
      </c>
      <c r="D152" s="11">
        <v>4.583333333333333E-2</v>
      </c>
      <c r="E152" t="s">
        <v>1738</v>
      </c>
      <c r="F152" t="s">
        <v>11</v>
      </c>
      <c r="G152">
        <v>1200</v>
      </c>
      <c r="H152" t="s">
        <v>12</v>
      </c>
      <c r="I152" t="s">
        <v>320</v>
      </c>
      <c r="J152" t="s">
        <v>321</v>
      </c>
      <c r="K152" t="s">
        <v>16</v>
      </c>
      <c r="L152" s="9">
        <f>WEEKDAY(Table1_2[[#This Row],[Transaction date]])</f>
        <v>1</v>
      </c>
    </row>
    <row r="153" spans="1:12" x14ac:dyDescent="0.3">
      <c r="A153" t="str">
        <f t="shared" si="2"/>
        <v>22-Jan 2009</v>
      </c>
      <c r="B153" s="10">
        <v>39835</v>
      </c>
      <c r="C153">
        <v>2009</v>
      </c>
      <c r="D153" s="11">
        <v>0.28055555555555556</v>
      </c>
      <c r="E153" t="s">
        <v>1738</v>
      </c>
      <c r="F153" t="s">
        <v>11</v>
      </c>
      <c r="G153">
        <v>1200</v>
      </c>
      <c r="H153" t="s">
        <v>12</v>
      </c>
      <c r="I153" t="s">
        <v>107</v>
      </c>
      <c r="J153" t="s">
        <v>322</v>
      </c>
      <c r="K153" t="s">
        <v>16</v>
      </c>
      <c r="L153" s="9">
        <f>WEEKDAY(Table1_2[[#This Row],[Transaction date]])</f>
        <v>5</v>
      </c>
    </row>
    <row r="154" spans="1:12" x14ac:dyDescent="0.3">
      <c r="A154" t="str">
        <f t="shared" si="2"/>
        <v>08-Jan 2009</v>
      </c>
      <c r="B154" s="10">
        <v>39821</v>
      </c>
      <c r="C154">
        <v>2009</v>
      </c>
      <c r="D154" s="11">
        <v>0.37361111111111112</v>
      </c>
      <c r="E154" t="s">
        <v>1738</v>
      </c>
      <c r="F154" t="s">
        <v>11</v>
      </c>
      <c r="G154">
        <v>1200</v>
      </c>
      <c r="H154" t="s">
        <v>17</v>
      </c>
      <c r="I154" t="s">
        <v>323</v>
      </c>
      <c r="J154" t="s">
        <v>324</v>
      </c>
      <c r="K154" t="s">
        <v>16</v>
      </c>
      <c r="L154" s="9">
        <f>WEEKDAY(Table1_2[[#This Row],[Transaction date]])</f>
        <v>5</v>
      </c>
    </row>
    <row r="155" spans="1:12" x14ac:dyDescent="0.3">
      <c r="A155" t="str">
        <f t="shared" si="2"/>
        <v>04-Jan 2009</v>
      </c>
      <c r="B155" s="10">
        <v>39817</v>
      </c>
      <c r="C155">
        <v>2009</v>
      </c>
      <c r="D155" s="11">
        <v>0.41249999999999998</v>
      </c>
      <c r="E155" t="s">
        <v>1738</v>
      </c>
      <c r="F155" t="s">
        <v>11</v>
      </c>
      <c r="G155">
        <v>1200</v>
      </c>
      <c r="H155" t="s">
        <v>17</v>
      </c>
      <c r="I155" t="s">
        <v>325</v>
      </c>
      <c r="J155" t="s">
        <v>326</v>
      </c>
      <c r="K155" t="s">
        <v>16</v>
      </c>
      <c r="L155" s="9">
        <f>WEEKDAY(Table1_2[[#This Row],[Transaction date]])</f>
        <v>1</v>
      </c>
    </row>
    <row r="156" spans="1:12" x14ac:dyDescent="0.3">
      <c r="A156" t="str">
        <f t="shared" si="2"/>
        <v>09-Jan 2009</v>
      </c>
      <c r="B156" s="10">
        <v>39822</v>
      </c>
      <c r="C156">
        <v>2009</v>
      </c>
      <c r="D156" s="11">
        <v>0.43194444444444446</v>
      </c>
      <c r="E156" t="s">
        <v>1738</v>
      </c>
      <c r="F156" t="s">
        <v>11</v>
      </c>
      <c r="G156">
        <v>1200</v>
      </c>
      <c r="H156" t="s">
        <v>17</v>
      </c>
      <c r="I156" t="s">
        <v>327</v>
      </c>
      <c r="J156" t="s">
        <v>328</v>
      </c>
      <c r="K156" t="s">
        <v>16</v>
      </c>
      <c r="L156" s="9">
        <f>WEEKDAY(Table1_2[[#This Row],[Transaction date]])</f>
        <v>6</v>
      </c>
    </row>
    <row r="157" spans="1:12" x14ac:dyDescent="0.3">
      <c r="A157" t="str">
        <f t="shared" si="2"/>
        <v>26-Jan 2009</v>
      </c>
      <c r="B157" s="10">
        <v>39839</v>
      </c>
      <c r="C157">
        <v>2009</v>
      </c>
      <c r="D157" s="11">
        <v>0.15486111111111112</v>
      </c>
      <c r="E157" t="s">
        <v>1738</v>
      </c>
      <c r="F157" t="s">
        <v>11</v>
      </c>
      <c r="G157">
        <v>1200</v>
      </c>
      <c r="H157" t="s">
        <v>17</v>
      </c>
      <c r="I157" t="s">
        <v>329</v>
      </c>
      <c r="J157" t="s">
        <v>330</v>
      </c>
      <c r="K157" t="s">
        <v>16</v>
      </c>
      <c r="L157" s="9">
        <f>WEEKDAY(Table1_2[[#This Row],[Transaction date]])</f>
        <v>2</v>
      </c>
    </row>
    <row r="158" spans="1:12" x14ac:dyDescent="0.3">
      <c r="A158" t="str">
        <f t="shared" si="2"/>
        <v>11-Jan 2009</v>
      </c>
      <c r="B158" s="10">
        <v>39824</v>
      </c>
      <c r="C158">
        <v>2009</v>
      </c>
      <c r="D158" s="11">
        <v>5.2777777777777778E-2</v>
      </c>
      <c r="E158" t="s">
        <v>1738</v>
      </c>
      <c r="F158" t="s">
        <v>21</v>
      </c>
      <c r="G158">
        <v>3600</v>
      </c>
      <c r="H158" t="s">
        <v>12</v>
      </c>
      <c r="I158" t="s">
        <v>331</v>
      </c>
      <c r="J158" t="s">
        <v>332</v>
      </c>
      <c r="K158" t="s">
        <v>16</v>
      </c>
      <c r="L158" s="9">
        <f>WEEKDAY(Table1_2[[#This Row],[Transaction date]])</f>
        <v>1</v>
      </c>
    </row>
    <row r="159" spans="1:12" x14ac:dyDescent="0.3">
      <c r="A159" t="str">
        <f t="shared" si="2"/>
        <v>21-Jan 2009</v>
      </c>
      <c r="B159" s="10">
        <v>39834</v>
      </c>
      <c r="C159">
        <v>2009</v>
      </c>
      <c r="D159" s="11">
        <v>0.4777777777777778</v>
      </c>
      <c r="E159" t="s">
        <v>1738</v>
      </c>
      <c r="F159" t="s">
        <v>64</v>
      </c>
      <c r="G159">
        <v>800</v>
      </c>
      <c r="H159" t="s">
        <v>65</v>
      </c>
      <c r="I159" t="s">
        <v>333</v>
      </c>
      <c r="J159" t="s">
        <v>334</v>
      </c>
      <c r="K159" t="s">
        <v>16</v>
      </c>
      <c r="L159" s="9">
        <f>WEEKDAY(Table1_2[[#This Row],[Transaction date]])</f>
        <v>4</v>
      </c>
    </row>
    <row r="160" spans="1:12" x14ac:dyDescent="0.3">
      <c r="A160" t="str">
        <f t="shared" si="2"/>
        <v>26-Jan 2009</v>
      </c>
      <c r="B160" s="10">
        <v>39839</v>
      </c>
      <c r="C160">
        <v>2009</v>
      </c>
      <c r="D160" s="11">
        <v>0.1875</v>
      </c>
      <c r="E160" t="s">
        <v>1738</v>
      </c>
      <c r="F160" t="s">
        <v>11</v>
      </c>
      <c r="G160">
        <v>1200</v>
      </c>
      <c r="H160" t="s">
        <v>12</v>
      </c>
      <c r="I160" t="s">
        <v>335</v>
      </c>
      <c r="J160" t="s">
        <v>336</v>
      </c>
      <c r="K160" t="s">
        <v>16</v>
      </c>
      <c r="L160" s="9">
        <f>WEEKDAY(Table1_2[[#This Row],[Transaction date]])</f>
        <v>2</v>
      </c>
    </row>
    <row r="161" spans="1:12" x14ac:dyDescent="0.3">
      <c r="A161" t="str">
        <f t="shared" si="2"/>
        <v>07-Jan 2009</v>
      </c>
      <c r="B161" s="10">
        <v>39820</v>
      </c>
      <c r="C161">
        <v>2009</v>
      </c>
      <c r="D161" s="11">
        <v>0.24374999999999999</v>
      </c>
      <c r="E161" t="s">
        <v>1738</v>
      </c>
      <c r="F161" t="s">
        <v>11</v>
      </c>
      <c r="G161">
        <v>1200</v>
      </c>
      <c r="H161" t="s">
        <v>12</v>
      </c>
      <c r="I161" t="s">
        <v>78</v>
      </c>
      <c r="J161" t="s">
        <v>338</v>
      </c>
      <c r="K161" t="s">
        <v>16</v>
      </c>
      <c r="L161" s="9">
        <f>WEEKDAY(Table1_2[[#This Row],[Transaction date]])</f>
        <v>4</v>
      </c>
    </row>
    <row r="162" spans="1:12" x14ac:dyDescent="0.3">
      <c r="A162" t="str">
        <f t="shared" si="2"/>
        <v>18-Jan 2009</v>
      </c>
      <c r="B162" s="10">
        <v>39831</v>
      </c>
      <c r="C162">
        <v>2009</v>
      </c>
      <c r="D162" s="11">
        <v>0.34444444444444444</v>
      </c>
      <c r="E162" t="s">
        <v>1738</v>
      </c>
      <c r="F162" t="s">
        <v>11</v>
      </c>
      <c r="G162">
        <v>1200</v>
      </c>
      <c r="H162" t="s">
        <v>17</v>
      </c>
      <c r="I162" t="s">
        <v>51</v>
      </c>
      <c r="J162" t="s">
        <v>339</v>
      </c>
      <c r="K162" t="s">
        <v>16</v>
      </c>
      <c r="L162" s="9">
        <f>WEEKDAY(Table1_2[[#This Row],[Transaction date]])</f>
        <v>1</v>
      </c>
    </row>
    <row r="163" spans="1:12" x14ac:dyDescent="0.3">
      <c r="A163" t="str">
        <f t="shared" si="2"/>
        <v>24-Jan 2009</v>
      </c>
      <c r="B163" s="10">
        <v>39837</v>
      </c>
      <c r="C163">
        <v>2009</v>
      </c>
      <c r="D163" s="11">
        <v>0.27986111111111112</v>
      </c>
      <c r="E163" t="s">
        <v>1738</v>
      </c>
      <c r="F163" t="s">
        <v>11</v>
      </c>
      <c r="G163">
        <v>1200</v>
      </c>
      <c r="H163" t="s">
        <v>12</v>
      </c>
      <c r="I163" t="s">
        <v>340</v>
      </c>
      <c r="J163" t="s">
        <v>341</v>
      </c>
      <c r="K163" t="s">
        <v>16</v>
      </c>
      <c r="L163" s="9">
        <f>WEEKDAY(Table1_2[[#This Row],[Transaction date]])</f>
        <v>7</v>
      </c>
    </row>
    <row r="164" spans="1:12" x14ac:dyDescent="0.3">
      <c r="A164" t="str">
        <f t="shared" si="2"/>
        <v>26-Jan 2009</v>
      </c>
      <c r="B164" s="10">
        <v>39839</v>
      </c>
      <c r="C164">
        <v>2009</v>
      </c>
      <c r="D164" s="11">
        <v>0.2673611111111111</v>
      </c>
      <c r="E164" t="s">
        <v>1738</v>
      </c>
      <c r="F164" t="s">
        <v>11</v>
      </c>
      <c r="G164">
        <v>1200</v>
      </c>
      <c r="H164" t="s">
        <v>12</v>
      </c>
      <c r="I164" t="s">
        <v>342</v>
      </c>
      <c r="J164" t="s">
        <v>343</v>
      </c>
      <c r="K164" t="s">
        <v>16</v>
      </c>
      <c r="L164" s="9">
        <f>WEEKDAY(Table1_2[[#This Row],[Transaction date]])</f>
        <v>2</v>
      </c>
    </row>
    <row r="165" spans="1:12" x14ac:dyDescent="0.3">
      <c r="A165" t="str">
        <f t="shared" si="2"/>
        <v>21-Jan 2009</v>
      </c>
      <c r="B165" s="10">
        <v>39834</v>
      </c>
      <c r="C165">
        <v>2009</v>
      </c>
      <c r="D165" s="11">
        <v>0.20624999999999999</v>
      </c>
      <c r="E165" t="s">
        <v>1738</v>
      </c>
      <c r="F165" t="s">
        <v>11</v>
      </c>
      <c r="G165">
        <v>1200</v>
      </c>
      <c r="H165" t="s">
        <v>17</v>
      </c>
      <c r="I165" t="s">
        <v>344</v>
      </c>
      <c r="J165" t="s">
        <v>73</v>
      </c>
      <c r="K165" t="s">
        <v>16</v>
      </c>
      <c r="L165" s="9">
        <f>WEEKDAY(Table1_2[[#This Row],[Transaction date]])</f>
        <v>4</v>
      </c>
    </row>
    <row r="166" spans="1:12" x14ac:dyDescent="0.3">
      <c r="A166" t="str">
        <f t="shared" si="2"/>
        <v>20-Jan 2009</v>
      </c>
      <c r="B166" s="10">
        <v>39833</v>
      </c>
      <c r="C166">
        <v>2009</v>
      </c>
      <c r="D166" s="11">
        <v>0.29722222222222222</v>
      </c>
      <c r="E166" t="s">
        <v>1738</v>
      </c>
      <c r="F166" t="s">
        <v>21</v>
      </c>
      <c r="G166">
        <v>3600</v>
      </c>
      <c r="H166" t="s">
        <v>12</v>
      </c>
      <c r="I166" t="s">
        <v>345</v>
      </c>
      <c r="J166" t="s">
        <v>346</v>
      </c>
      <c r="K166" t="s">
        <v>16</v>
      </c>
      <c r="L166" s="9">
        <f>WEEKDAY(Table1_2[[#This Row],[Transaction date]])</f>
        <v>3</v>
      </c>
    </row>
    <row r="167" spans="1:12" x14ac:dyDescent="0.3">
      <c r="A167" t="str">
        <f t="shared" si="2"/>
        <v>27-Jan 2009</v>
      </c>
      <c r="B167" s="10">
        <v>39840</v>
      </c>
      <c r="C167">
        <v>2009</v>
      </c>
      <c r="D167" s="11">
        <v>0.10138888888888889</v>
      </c>
      <c r="E167" t="s">
        <v>1738</v>
      </c>
      <c r="F167" t="s">
        <v>11</v>
      </c>
      <c r="G167">
        <v>1200</v>
      </c>
      <c r="H167" t="s">
        <v>12</v>
      </c>
      <c r="I167" t="s">
        <v>347</v>
      </c>
      <c r="J167" t="s">
        <v>348</v>
      </c>
      <c r="K167" t="s">
        <v>16</v>
      </c>
      <c r="L167" s="9">
        <f>WEEKDAY(Table1_2[[#This Row],[Transaction date]])</f>
        <v>3</v>
      </c>
    </row>
    <row r="168" spans="1:12" x14ac:dyDescent="0.3">
      <c r="A168" t="str">
        <f t="shared" si="2"/>
        <v>13-Jan 2009</v>
      </c>
      <c r="B168" s="10">
        <v>39826</v>
      </c>
      <c r="C168">
        <v>2009</v>
      </c>
      <c r="D168" s="11">
        <v>0.34097222222222223</v>
      </c>
      <c r="E168" t="s">
        <v>1738</v>
      </c>
      <c r="F168" t="s">
        <v>21</v>
      </c>
      <c r="G168">
        <v>3600</v>
      </c>
      <c r="H168" t="s">
        <v>12</v>
      </c>
      <c r="I168" t="s">
        <v>349</v>
      </c>
      <c r="J168" t="s">
        <v>350</v>
      </c>
      <c r="K168" t="s">
        <v>16</v>
      </c>
      <c r="L168" s="9">
        <f>WEEKDAY(Table1_2[[#This Row],[Transaction date]])</f>
        <v>3</v>
      </c>
    </row>
    <row r="169" spans="1:12" x14ac:dyDescent="0.3">
      <c r="A169" t="str">
        <f t="shared" si="2"/>
        <v>08-Jan 2009</v>
      </c>
      <c r="B169" s="10">
        <v>39821</v>
      </c>
      <c r="C169">
        <v>2009</v>
      </c>
      <c r="D169" s="11">
        <v>0.28611111111111109</v>
      </c>
      <c r="E169" t="s">
        <v>1738</v>
      </c>
      <c r="F169" t="s">
        <v>11</v>
      </c>
      <c r="G169">
        <v>1200</v>
      </c>
      <c r="H169" t="s">
        <v>12</v>
      </c>
      <c r="I169" t="s">
        <v>351</v>
      </c>
      <c r="J169" t="s">
        <v>352</v>
      </c>
      <c r="K169" t="s">
        <v>16</v>
      </c>
      <c r="L169" s="9">
        <f>WEEKDAY(Table1_2[[#This Row],[Transaction date]])</f>
        <v>5</v>
      </c>
    </row>
    <row r="170" spans="1:12" x14ac:dyDescent="0.3">
      <c r="A170" t="str">
        <f t="shared" si="2"/>
        <v>27-Jan 2009</v>
      </c>
      <c r="B170" s="10">
        <v>39840</v>
      </c>
      <c r="C170">
        <v>2009</v>
      </c>
      <c r="D170" s="11">
        <v>0.14444444444444443</v>
      </c>
      <c r="E170" t="s">
        <v>1738</v>
      </c>
      <c r="F170" t="s">
        <v>11</v>
      </c>
      <c r="G170">
        <v>1200</v>
      </c>
      <c r="H170" t="s">
        <v>12</v>
      </c>
      <c r="I170" t="s">
        <v>58</v>
      </c>
      <c r="J170" t="s">
        <v>354</v>
      </c>
      <c r="K170" t="s">
        <v>16</v>
      </c>
      <c r="L170" s="9">
        <f>WEEKDAY(Table1_2[[#This Row],[Transaction date]])</f>
        <v>3</v>
      </c>
    </row>
    <row r="171" spans="1:12" x14ac:dyDescent="0.3">
      <c r="A171" t="str">
        <f t="shared" si="2"/>
        <v>08-Jan 2009</v>
      </c>
      <c r="B171" s="10">
        <v>39821</v>
      </c>
      <c r="C171">
        <v>2009</v>
      </c>
      <c r="D171" s="11">
        <v>0.27847222222222223</v>
      </c>
      <c r="E171" t="s">
        <v>1738</v>
      </c>
      <c r="F171" t="s">
        <v>11</v>
      </c>
      <c r="G171">
        <v>1200</v>
      </c>
      <c r="H171" t="s">
        <v>12</v>
      </c>
      <c r="I171" t="s">
        <v>356</v>
      </c>
      <c r="J171" t="s">
        <v>357</v>
      </c>
      <c r="K171" t="s">
        <v>16</v>
      </c>
      <c r="L171" s="9">
        <f>WEEKDAY(Table1_2[[#This Row],[Transaction date]])</f>
        <v>5</v>
      </c>
    </row>
    <row r="172" spans="1:12" x14ac:dyDescent="0.3">
      <c r="A172" t="str">
        <f t="shared" si="2"/>
        <v>04-Jan 2009</v>
      </c>
      <c r="B172" s="10">
        <v>39817</v>
      </c>
      <c r="C172">
        <v>2009</v>
      </c>
      <c r="D172" s="11">
        <v>0.27361111111111114</v>
      </c>
      <c r="E172" t="s">
        <v>1738</v>
      </c>
      <c r="F172" t="s">
        <v>11</v>
      </c>
      <c r="G172">
        <v>1200</v>
      </c>
      <c r="H172" t="s">
        <v>12</v>
      </c>
      <c r="I172" t="s">
        <v>358</v>
      </c>
      <c r="J172" t="s">
        <v>359</v>
      </c>
      <c r="K172" t="s">
        <v>16</v>
      </c>
      <c r="L172" s="9">
        <f>WEEKDAY(Table1_2[[#This Row],[Transaction date]])</f>
        <v>1</v>
      </c>
    </row>
    <row r="173" spans="1:12" x14ac:dyDescent="0.3">
      <c r="A173" t="str">
        <f t="shared" si="2"/>
        <v>28-Jan 2009</v>
      </c>
      <c r="B173" s="10">
        <v>39841</v>
      </c>
      <c r="C173">
        <v>2009</v>
      </c>
      <c r="D173" s="11">
        <v>0.52777777777777779</v>
      </c>
      <c r="E173" t="s">
        <v>1739</v>
      </c>
      <c r="F173" t="s">
        <v>11</v>
      </c>
      <c r="G173">
        <v>1200</v>
      </c>
      <c r="H173" t="s">
        <v>17</v>
      </c>
      <c r="I173" t="s">
        <v>360</v>
      </c>
      <c r="J173" t="s">
        <v>361</v>
      </c>
      <c r="K173" t="s">
        <v>16</v>
      </c>
      <c r="L173" s="9">
        <f>WEEKDAY(Table1_2[[#This Row],[Transaction date]])</f>
        <v>4</v>
      </c>
    </row>
    <row r="174" spans="1:12" x14ac:dyDescent="0.3">
      <c r="A174" t="str">
        <f t="shared" si="2"/>
        <v>28-Jan 2009</v>
      </c>
      <c r="B174" s="10">
        <v>39841</v>
      </c>
      <c r="C174">
        <v>2009</v>
      </c>
      <c r="D174" s="11">
        <v>0.31319444444444444</v>
      </c>
      <c r="E174" t="s">
        <v>1738</v>
      </c>
      <c r="F174" t="s">
        <v>11</v>
      </c>
      <c r="G174">
        <v>1200</v>
      </c>
      <c r="H174" t="s">
        <v>12</v>
      </c>
      <c r="I174" t="s">
        <v>362</v>
      </c>
      <c r="J174" t="s">
        <v>363</v>
      </c>
      <c r="K174" t="s">
        <v>16</v>
      </c>
      <c r="L174" s="9">
        <f>WEEKDAY(Table1_2[[#This Row],[Transaction date]])</f>
        <v>4</v>
      </c>
    </row>
    <row r="175" spans="1:12" x14ac:dyDescent="0.3">
      <c r="A175" t="str">
        <f t="shared" si="2"/>
        <v>28-Jan 2009</v>
      </c>
      <c r="B175" s="10">
        <v>39841</v>
      </c>
      <c r="C175">
        <v>2009</v>
      </c>
      <c r="D175" s="11">
        <v>0.32569444444444445</v>
      </c>
      <c r="E175" t="s">
        <v>1738</v>
      </c>
      <c r="F175" t="s">
        <v>11</v>
      </c>
      <c r="G175">
        <v>1200</v>
      </c>
      <c r="H175" t="s">
        <v>12</v>
      </c>
      <c r="I175" t="s">
        <v>364</v>
      </c>
      <c r="J175" t="s">
        <v>365</v>
      </c>
      <c r="K175" t="s">
        <v>16</v>
      </c>
      <c r="L175" s="9">
        <f>WEEKDAY(Table1_2[[#This Row],[Transaction date]])</f>
        <v>4</v>
      </c>
    </row>
    <row r="176" spans="1:12" x14ac:dyDescent="0.3">
      <c r="A176" t="str">
        <f t="shared" si="2"/>
        <v>06-Jan 2009</v>
      </c>
      <c r="B176" s="10">
        <v>39819</v>
      </c>
      <c r="C176">
        <v>2009</v>
      </c>
      <c r="D176" s="11">
        <v>0.47013888888888888</v>
      </c>
      <c r="E176" t="s">
        <v>1738</v>
      </c>
      <c r="F176" t="s">
        <v>21</v>
      </c>
      <c r="G176">
        <v>3600</v>
      </c>
      <c r="H176" t="s">
        <v>12</v>
      </c>
      <c r="I176" t="s">
        <v>366</v>
      </c>
      <c r="J176" t="s">
        <v>367</v>
      </c>
      <c r="K176" t="s">
        <v>16</v>
      </c>
      <c r="L176" s="9">
        <f>WEEKDAY(Table1_2[[#This Row],[Transaction date]])</f>
        <v>3</v>
      </c>
    </row>
    <row r="177" spans="1:12" x14ac:dyDescent="0.3">
      <c r="A177" t="str">
        <f t="shared" si="2"/>
        <v>09-Jan 2009</v>
      </c>
      <c r="B177" s="10">
        <v>39822</v>
      </c>
      <c r="C177">
        <v>2009</v>
      </c>
      <c r="D177" s="11">
        <v>0.44097222222222221</v>
      </c>
      <c r="E177" t="s">
        <v>1738</v>
      </c>
      <c r="F177" t="s">
        <v>21</v>
      </c>
      <c r="G177">
        <v>3600</v>
      </c>
      <c r="H177" t="s">
        <v>12</v>
      </c>
      <c r="I177" t="s">
        <v>369</v>
      </c>
      <c r="J177" t="s">
        <v>370</v>
      </c>
      <c r="K177" t="s">
        <v>16</v>
      </c>
      <c r="L177" s="9">
        <f>WEEKDAY(Table1_2[[#This Row],[Transaction date]])</f>
        <v>6</v>
      </c>
    </row>
    <row r="178" spans="1:12" x14ac:dyDescent="0.3">
      <c r="A178" t="str">
        <f t="shared" si="2"/>
        <v>02-Jan 2009</v>
      </c>
      <c r="B178" s="10">
        <v>39815</v>
      </c>
      <c r="C178">
        <v>2009</v>
      </c>
      <c r="D178" s="11">
        <v>0.51111111111111107</v>
      </c>
      <c r="E178" t="s">
        <v>1739</v>
      </c>
      <c r="F178" t="s">
        <v>11</v>
      </c>
      <c r="G178">
        <v>1200</v>
      </c>
      <c r="H178" t="s">
        <v>17</v>
      </c>
      <c r="I178" t="s">
        <v>372</v>
      </c>
      <c r="J178" t="s">
        <v>373</v>
      </c>
      <c r="K178" t="s">
        <v>16</v>
      </c>
      <c r="L178" s="9">
        <f>WEEKDAY(Table1_2[[#This Row],[Transaction date]])</f>
        <v>6</v>
      </c>
    </row>
    <row r="179" spans="1:12" x14ac:dyDescent="0.3">
      <c r="A179" t="str">
        <f t="shared" si="2"/>
        <v>28-Jan 2009</v>
      </c>
      <c r="B179" s="10">
        <v>39841</v>
      </c>
      <c r="C179">
        <v>2009</v>
      </c>
      <c r="D179" s="11">
        <v>0.52152777777777781</v>
      </c>
      <c r="E179" t="s">
        <v>1739</v>
      </c>
      <c r="F179" t="s">
        <v>11</v>
      </c>
      <c r="G179">
        <v>1200</v>
      </c>
      <c r="H179" t="s">
        <v>12</v>
      </c>
      <c r="I179" t="s">
        <v>374</v>
      </c>
      <c r="J179" t="s">
        <v>63</v>
      </c>
      <c r="K179" t="s">
        <v>16</v>
      </c>
      <c r="L179" s="9">
        <f>WEEKDAY(Table1_2[[#This Row],[Transaction date]])</f>
        <v>4</v>
      </c>
    </row>
    <row r="180" spans="1:12" x14ac:dyDescent="0.3">
      <c r="A180" t="str">
        <f t="shared" si="2"/>
        <v>14-Jan 2009</v>
      </c>
      <c r="B180" s="10">
        <v>39827</v>
      </c>
      <c r="C180">
        <v>2009</v>
      </c>
      <c r="D180" s="11">
        <v>0.50486111111111109</v>
      </c>
      <c r="E180" t="s">
        <v>1739</v>
      </c>
      <c r="F180" t="s">
        <v>11</v>
      </c>
      <c r="G180">
        <v>1200</v>
      </c>
      <c r="H180" t="s">
        <v>17</v>
      </c>
      <c r="I180" t="s">
        <v>375</v>
      </c>
      <c r="J180" t="s">
        <v>376</v>
      </c>
      <c r="K180" t="s">
        <v>16</v>
      </c>
      <c r="L180" s="9">
        <f>WEEKDAY(Table1_2[[#This Row],[Transaction date]])</f>
        <v>4</v>
      </c>
    </row>
    <row r="181" spans="1:12" x14ac:dyDescent="0.3">
      <c r="A181" t="str">
        <f t="shared" si="2"/>
        <v>07-Jan 2009</v>
      </c>
      <c r="B181" s="10">
        <v>39820</v>
      </c>
      <c r="C181">
        <v>2009</v>
      </c>
      <c r="D181" s="11">
        <v>0.53819444444444442</v>
      </c>
      <c r="E181" t="s">
        <v>1739</v>
      </c>
      <c r="F181" t="s">
        <v>11</v>
      </c>
      <c r="G181">
        <v>1200</v>
      </c>
      <c r="H181" t="s">
        <v>65</v>
      </c>
      <c r="I181" t="s">
        <v>377</v>
      </c>
      <c r="J181" t="s">
        <v>378</v>
      </c>
      <c r="K181" t="s">
        <v>16</v>
      </c>
      <c r="L181" s="9">
        <f>WEEKDAY(Table1_2[[#This Row],[Transaction date]])</f>
        <v>4</v>
      </c>
    </row>
    <row r="182" spans="1:12" x14ac:dyDescent="0.3">
      <c r="A182" t="str">
        <f t="shared" si="2"/>
        <v>18-Jan 2009</v>
      </c>
      <c r="B182" s="10">
        <v>39831</v>
      </c>
      <c r="C182">
        <v>2009</v>
      </c>
      <c r="D182" s="11">
        <v>0.37222222222222223</v>
      </c>
      <c r="E182" t="s">
        <v>1738</v>
      </c>
      <c r="F182" t="s">
        <v>11</v>
      </c>
      <c r="G182">
        <v>1200</v>
      </c>
      <c r="H182" t="s">
        <v>17</v>
      </c>
      <c r="I182" t="s">
        <v>379</v>
      </c>
      <c r="J182" t="s">
        <v>380</v>
      </c>
      <c r="K182" t="s">
        <v>16</v>
      </c>
      <c r="L182" s="9">
        <f>WEEKDAY(Table1_2[[#This Row],[Transaction date]])</f>
        <v>1</v>
      </c>
    </row>
    <row r="183" spans="1:12" x14ac:dyDescent="0.3">
      <c r="A183" t="str">
        <f t="shared" si="2"/>
        <v>04-Jan 2009</v>
      </c>
      <c r="B183" s="10">
        <v>39817</v>
      </c>
      <c r="C183">
        <v>2009</v>
      </c>
      <c r="D183" s="11">
        <v>0.24583333333333332</v>
      </c>
      <c r="E183" t="s">
        <v>1738</v>
      </c>
      <c r="F183" t="s">
        <v>11</v>
      </c>
      <c r="G183">
        <v>1200</v>
      </c>
      <c r="H183" t="s">
        <v>65</v>
      </c>
      <c r="I183" t="s">
        <v>381</v>
      </c>
      <c r="J183" t="s">
        <v>382</v>
      </c>
      <c r="K183" t="s">
        <v>16</v>
      </c>
      <c r="L183" s="9">
        <f>WEEKDAY(Table1_2[[#This Row],[Transaction date]])</f>
        <v>1</v>
      </c>
    </row>
    <row r="184" spans="1:12" x14ac:dyDescent="0.3">
      <c r="A184" t="str">
        <f t="shared" si="2"/>
        <v>05-Jan 2009</v>
      </c>
      <c r="B184" s="10">
        <v>39818</v>
      </c>
      <c r="C184">
        <v>2009</v>
      </c>
      <c r="D184" s="11">
        <v>7.3611111111111113E-2</v>
      </c>
      <c r="E184" t="s">
        <v>1738</v>
      </c>
      <c r="F184" t="s">
        <v>11</v>
      </c>
      <c r="G184">
        <v>1200</v>
      </c>
      <c r="H184" t="s">
        <v>12</v>
      </c>
      <c r="I184" t="s">
        <v>383</v>
      </c>
      <c r="J184" t="s">
        <v>384</v>
      </c>
      <c r="K184" t="s">
        <v>16</v>
      </c>
      <c r="L184" s="9">
        <f>WEEKDAY(Table1_2[[#This Row],[Transaction date]])</f>
        <v>2</v>
      </c>
    </row>
    <row r="185" spans="1:12" x14ac:dyDescent="0.3">
      <c r="A185" t="str">
        <f t="shared" si="2"/>
        <v>05-Jan 2009</v>
      </c>
      <c r="B185" s="10">
        <v>39818</v>
      </c>
      <c r="C185">
        <v>2009</v>
      </c>
      <c r="D185" s="11">
        <v>0.45069444444444445</v>
      </c>
      <c r="E185" t="s">
        <v>1738</v>
      </c>
      <c r="F185" t="s">
        <v>64</v>
      </c>
      <c r="G185">
        <v>3600</v>
      </c>
      <c r="H185" t="s">
        <v>65</v>
      </c>
      <c r="I185" t="s">
        <v>383</v>
      </c>
      <c r="J185" t="s">
        <v>385</v>
      </c>
      <c r="K185" t="s">
        <v>16</v>
      </c>
      <c r="L185" s="9">
        <f>WEEKDAY(Table1_2[[#This Row],[Transaction date]])</f>
        <v>2</v>
      </c>
    </row>
    <row r="186" spans="1:12" x14ac:dyDescent="0.3">
      <c r="A186" t="str">
        <f t="shared" si="2"/>
        <v>12-Jan 2009</v>
      </c>
      <c r="B186" s="10">
        <v>39825</v>
      </c>
      <c r="C186">
        <v>2009</v>
      </c>
      <c r="D186" s="11">
        <v>0.26666666666666666</v>
      </c>
      <c r="E186" t="s">
        <v>1738</v>
      </c>
      <c r="F186" t="s">
        <v>11</v>
      </c>
      <c r="G186">
        <v>1200</v>
      </c>
      <c r="H186" t="s">
        <v>12</v>
      </c>
      <c r="I186" t="s">
        <v>386</v>
      </c>
      <c r="J186" t="s">
        <v>387</v>
      </c>
      <c r="K186" t="s">
        <v>16</v>
      </c>
      <c r="L186" s="9">
        <f>WEEKDAY(Table1_2[[#This Row],[Transaction date]])</f>
        <v>2</v>
      </c>
    </row>
    <row r="187" spans="1:12" x14ac:dyDescent="0.3">
      <c r="A187" t="str">
        <f t="shared" si="2"/>
        <v>18-Jan 2009</v>
      </c>
      <c r="B187" s="10">
        <v>39831</v>
      </c>
      <c r="C187">
        <v>2009</v>
      </c>
      <c r="D187" s="11">
        <v>0.1673611111111111</v>
      </c>
      <c r="E187" t="s">
        <v>1738</v>
      </c>
      <c r="F187" t="s">
        <v>11</v>
      </c>
      <c r="G187">
        <v>1200</v>
      </c>
      <c r="H187" t="s">
        <v>12</v>
      </c>
      <c r="I187" t="s">
        <v>388</v>
      </c>
      <c r="J187" t="s">
        <v>389</v>
      </c>
      <c r="K187" t="s">
        <v>16</v>
      </c>
      <c r="L187" s="9">
        <f>WEEKDAY(Table1_2[[#This Row],[Transaction date]])</f>
        <v>1</v>
      </c>
    </row>
    <row r="188" spans="1:12" x14ac:dyDescent="0.3">
      <c r="A188" t="str">
        <f t="shared" si="2"/>
        <v>28-Jan 2009</v>
      </c>
      <c r="B188" s="10">
        <v>39841</v>
      </c>
      <c r="C188">
        <v>2009</v>
      </c>
      <c r="D188" s="11">
        <v>4.6527777777777779E-2</v>
      </c>
      <c r="E188" t="s">
        <v>1738</v>
      </c>
      <c r="F188" t="s">
        <v>11</v>
      </c>
      <c r="G188">
        <v>1200</v>
      </c>
      <c r="H188" t="s">
        <v>65</v>
      </c>
      <c r="I188" t="s">
        <v>390</v>
      </c>
      <c r="J188" t="s">
        <v>391</v>
      </c>
      <c r="K188" t="s">
        <v>16</v>
      </c>
      <c r="L188" s="9">
        <f>WEEKDAY(Table1_2[[#This Row],[Transaction date]])</f>
        <v>4</v>
      </c>
    </row>
    <row r="189" spans="1:12" x14ac:dyDescent="0.3">
      <c r="A189" t="str">
        <f t="shared" si="2"/>
        <v>29-Jan 2009</v>
      </c>
      <c r="B189" s="10">
        <v>39842</v>
      </c>
      <c r="C189">
        <v>2009</v>
      </c>
      <c r="D189" s="11">
        <v>0.23819444444444443</v>
      </c>
      <c r="E189" t="s">
        <v>1738</v>
      </c>
      <c r="F189" t="s">
        <v>11</v>
      </c>
      <c r="G189">
        <v>1200</v>
      </c>
      <c r="H189" t="s">
        <v>12</v>
      </c>
      <c r="I189" t="s">
        <v>392</v>
      </c>
      <c r="J189" t="s">
        <v>393</v>
      </c>
      <c r="K189" t="s">
        <v>16</v>
      </c>
      <c r="L189" s="9">
        <f>WEEKDAY(Table1_2[[#This Row],[Transaction date]])</f>
        <v>5</v>
      </c>
    </row>
    <row r="190" spans="1:12" x14ac:dyDescent="0.3">
      <c r="A190" t="str">
        <f t="shared" si="2"/>
        <v>29-Jan 2009</v>
      </c>
      <c r="B190" s="10">
        <v>39842</v>
      </c>
      <c r="C190">
        <v>2009</v>
      </c>
      <c r="D190" s="11">
        <v>0.22916666666666666</v>
      </c>
      <c r="E190" t="s">
        <v>1738</v>
      </c>
      <c r="F190" t="s">
        <v>11</v>
      </c>
      <c r="G190">
        <v>1200</v>
      </c>
      <c r="H190" t="s">
        <v>12</v>
      </c>
      <c r="I190" t="s">
        <v>86</v>
      </c>
      <c r="J190" t="s">
        <v>394</v>
      </c>
      <c r="K190" t="s">
        <v>16</v>
      </c>
      <c r="L190" s="9">
        <f>WEEKDAY(Table1_2[[#This Row],[Transaction date]])</f>
        <v>5</v>
      </c>
    </row>
    <row r="191" spans="1:12" x14ac:dyDescent="0.3">
      <c r="A191" t="str">
        <f t="shared" si="2"/>
        <v>13-Jan 2009</v>
      </c>
      <c r="B191" s="10">
        <v>39826</v>
      </c>
      <c r="C191">
        <v>2009</v>
      </c>
      <c r="D191" s="11">
        <v>0.25555555555555554</v>
      </c>
      <c r="E191" t="s">
        <v>1738</v>
      </c>
      <c r="F191" t="s">
        <v>11</v>
      </c>
      <c r="G191">
        <v>1200</v>
      </c>
      <c r="H191" t="s">
        <v>65</v>
      </c>
      <c r="I191" t="s">
        <v>232</v>
      </c>
      <c r="J191" t="s">
        <v>73</v>
      </c>
      <c r="K191" t="s">
        <v>16</v>
      </c>
      <c r="L191" s="9">
        <f>WEEKDAY(Table1_2[[#This Row],[Transaction date]])</f>
        <v>3</v>
      </c>
    </row>
    <row r="192" spans="1:12" x14ac:dyDescent="0.3">
      <c r="A192" t="str">
        <f t="shared" si="2"/>
        <v>09-Jan 2009</v>
      </c>
      <c r="B192" s="10">
        <v>39822</v>
      </c>
      <c r="C192">
        <v>2009</v>
      </c>
      <c r="D192" s="11">
        <v>0.14166666666666666</v>
      </c>
      <c r="E192" t="s">
        <v>1738</v>
      </c>
      <c r="F192" t="s">
        <v>11</v>
      </c>
      <c r="G192">
        <v>1200</v>
      </c>
      <c r="H192" t="s">
        <v>17</v>
      </c>
      <c r="I192" t="s">
        <v>395</v>
      </c>
      <c r="J192" t="s">
        <v>396</v>
      </c>
      <c r="K192" t="s">
        <v>16</v>
      </c>
      <c r="L192" s="9">
        <f>WEEKDAY(Table1_2[[#This Row],[Transaction date]])</f>
        <v>6</v>
      </c>
    </row>
    <row r="193" spans="1:12" x14ac:dyDescent="0.3">
      <c r="A193" t="str">
        <f t="shared" si="2"/>
        <v>23-Jan 2009</v>
      </c>
      <c r="B193" s="10">
        <v>39836</v>
      </c>
      <c r="C193">
        <v>2009</v>
      </c>
      <c r="D193" s="11">
        <v>0.14791666666666667</v>
      </c>
      <c r="E193" t="s">
        <v>1738</v>
      </c>
      <c r="F193" t="s">
        <v>11</v>
      </c>
      <c r="G193">
        <v>1200</v>
      </c>
      <c r="H193" t="s">
        <v>17</v>
      </c>
      <c r="I193" t="s">
        <v>397</v>
      </c>
      <c r="J193" t="s">
        <v>63</v>
      </c>
      <c r="K193" t="s">
        <v>16</v>
      </c>
      <c r="L193" s="9">
        <f>WEEKDAY(Table1_2[[#This Row],[Transaction date]])</f>
        <v>6</v>
      </c>
    </row>
    <row r="194" spans="1:12" x14ac:dyDescent="0.3">
      <c r="A194" t="str">
        <f t="shared" ref="A194:A257" si="3">TEXT(B194, "dd-mmm") &amp; " " &amp; C194</f>
        <v>29-Jan 2009</v>
      </c>
      <c r="B194" s="10">
        <v>39842</v>
      </c>
      <c r="C194">
        <v>2009</v>
      </c>
      <c r="D194" s="11">
        <v>0.51944444444444449</v>
      </c>
      <c r="E194" t="s">
        <v>1739</v>
      </c>
      <c r="F194" t="s">
        <v>11</v>
      </c>
      <c r="G194">
        <v>1200</v>
      </c>
      <c r="H194" t="s">
        <v>17</v>
      </c>
      <c r="I194" t="s">
        <v>398</v>
      </c>
      <c r="J194" t="s">
        <v>336</v>
      </c>
      <c r="K194" t="s">
        <v>16</v>
      </c>
      <c r="L194" s="9">
        <f>WEEKDAY(Table1_2[[#This Row],[Transaction date]])</f>
        <v>5</v>
      </c>
    </row>
    <row r="195" spans="1:12" x14ac:dyDescent="0.3">
      <c r="A195" t="str">
        <f t="shared" si="3"/>
        <v>29-Jan 2009</v>
      </c>
      <c r="B195" s="10">
        <v>39842</v>
      </c>
      <c r="C195">
        <v>2009</v>
      </c>
      <c r="D195" s="11">
        <v>0.42291666666666666</v>
      </c>
      <c r="E195" t="s">
        <v>1738</v>
      </c>
      <c r="F195" t="s">
        <v>21</v>
      </c>
      <c r="G195">
        <v>300000</v>
      </c>
      <c r="H195" t="s">
        <v>17</v>
      </c>
      <c r="I195" t="s">
        <v>399</v>
      </c>
      <c r="J195" t="s">
        <v>400</v>
      </c>
      <c r="K195" t="s">
        <v>16</v>
      </c>
      <c r="L195" s="9">
        <f>WEEKDAY(Table1_2[[#This Row],[Transaction date]])</f>
        <v>5</v>
      </c>
    </row>
    <row r="196" spans="1:12" x14ac:dyDescent="0.3">
      <c r="A196" t="str">
        <f t="shared" si="3"/>
        <v>29-Jan 2009</v>
      </c>
      <c r="B196" s="10">
        <v>39842</v>
      </c>
      <c r="C196">
        <v>2009</v>
      </c>
      <c r="D196" s="11">
        <v>0.13055555555555556</v>
      </c>
      <c r="E196" t="s">
        <v>1738</v>
      </c>
      <c r="F196" t="s">
        <v>11</v>
      </c>
      <c r="G196">
        <v>1200</v>
      </c>
      <c r="H196" t="s">
        <v>12</v>
      </c>
      <c r="I196" t="s">
        <v>401</v>
      </c>
      <c r="J196" t="s">
        <v>393</v>
      </c>
      <c r="K196" t="s">
        <v>16</v>
      </c>
      <c r="L196" s="9">
        <f>WEEKDAY(Table1_2[[#This Row],[Transaction date]])</f>
        <v>5</v>
      </c>
    </row>
    <row r="197" spans="1:12" x14ac:dyDescent="0.3">
      <c r="A197" t="str">
        <f t="shared" si="3"/>
        <v>22-Jan 2009</v>
      </c>
      <c r="B197" s="10">
        <v>39835</v>
      </c>
      <c r="C197">
        <v>2009</v>
      </c>
      <c r="D197" s="11">
        <v>0.42777777777777776</v>
      </c>
      <c r="E197" t="s">
        <v>1738</v>
      </c>
      <c r="F197" t="s">
        <v>21</v>
      </c>
      <c r="G197">
        <v>300000</v>
      </c>
      <c r="H197" t="s">
        <v>17</v>
      </c>
      <c r="I197" t="s">
        <v>402</v>
      </c>
      <c r="J197" t="s">
        <v>403</v>
      </c>
      <c r="K197" t="s">
        <v>16</v>
      </c>
      <c r="L197" s="9">
        <f>WEEKDAY(Table1_2[[#This Row],[Transaction date]])</f>
        <v>5</v>
      </c>
    </row>
    <row r="198" spans="1:12" x14ac:dyDescent="0.3">
      <c r="A198" t="str">
        <f t="shared" si="3"/>
        <v>11-Jan 2009</v>
      </c>
      <c r="B198" s="10">
        <v>39824</v>
      </c>
      <c r="C198">
        <v>2009</v>
      </c>
      <c r="D198" s="11">
        <v>0.51527777777777772</v>
      </c>
      <c r="E198" t="s">
        <v>1739</v>
      </c>
      <c r="F198" t="s">
        <v>11</v>
      </c>
      <c r="G198">
        <v>1200</v>
      </c>
      <c r="H198" t="s">
        <v>12</v>
      </c>
      <c r="I198" t="s">
        <v>404</v>
      </c>
      <c r="J198" t="s">
        <v>405</v>
      </c>
      <c r="K198" t="s">
        <v>16</v>
      </c>
      <c r="L198" s="9">
        <f>WEEKDAY(Table1_2[[#This Row],[Transaction date]])</f>
        <v>1</v>
      </c>
    </row>
    <row r="199" spans="1:12" x14ac:dyDescent="0.3">
      <c r="A199" t="str">
        <f t="shared" si="3"/>
        <v>02-Jan 2009</v>
      </c>
      <c r="B199" s="10">
        <v>39815</v>
      </c>
      <c r="C199">
        <v>2009</v>
      </c>
      <c r="D199" s="11">
        <v>0.39652777777777776</v>
      </c>
      <c r="E199" t="s">
        <v>1738</v>
      </c>
      <c r="F199" t="s">
        <v>11</v>
      </c>
      <c r="G199">
        <v>1200</v>
      </c>
      <c r="H199" t="s">
        <v>12</v>
      </c>
      <c r="I199" t="s">
        <v>406</v>
      </c>
      <c r="J199" t="s">
        <v>158</v>
      </c>
      <c r="K199" t="s">
        <v>16</v>
      </c>
      <c r="L199" s="9">
        <f>WEEKDAY(Table1_2[[#This Row],[Transaction date]])</f>
        <v>6</v>
      </c>
    </row>
    <row r="200" spans="1:12" x14ac:dyDescent="0.3">
      <c r="A200" t="str">
        <f t="shared" si="3"/>
        <v>19-Jan 2009</v>
      </c>
      <c r="B200" s="10">
        <v>39832</v>
      </c>
      <c r="C200">
        <v>2009</v>
      </c>
      <c r="D200" s="11">
        <v>0.43888888888888888</v>
      </c>
      <c r="E200" t="s">
        <v>1738</v>
      </c>
      <c r="F200" t="s">
        <v>11</v>
      </c>
      <c r="G200">
        <v>1200</v>
      </c>
      <c r="H200" t="s">
        <v>17</v>
      </c>
      <c r="I200" t="s">
        <v>407</v>
      </c>
      <c r="J200" t="s">
        <v>408</v>
      </c>
      <c r="K200" t="s">
        <v>16</v>
      </c>
      <c r="L200" s="9">
        <f>WEEKDAY(Table1_2[[#This Row],[Transaction date]])</f>
        <v>2</v>
      </c>
    </row>
    <row r="201" spans="1:12" x14ac:dyDescent="0.3">
      <c r="A201" t="str">
        <f t="shared" si="3"/>
        <v>26-Jan 2009</v>
      </c>
      <c r="B201" s="10">
        <v>39839</v>
      </c>
      <c r="C201">
        <v>2009</v>
      </c>
      <c r="D201" s="11">
        <v>0.50347222222222221</v>
      </c>
      <c r="E201" t="s">
        <v>1739</v>
      </c>
      <c r="F201" t="s">
        <v>11</v>
      </c>
      <c r="G201">
        <v>1250</v>
      </c>
      <c r="H201" t="s">
        <v>17</v>
      </c>
      <c r="I201" t="s">
        <v>409</v>
      </c>
      <c r="J201" t="s">
        <v>408</v>
      </c>
      <c r="K201" t="s">
        <v>16</v>
      </c>
      <c r="L201" s="9">
        <f>WEEKDAY(Table1_2[[#This Row],[Transaction date]])</f>
        <v>2</v>
      </c>
    </row>
    <row r="202" spans="1:12" x14ac:dyDescent="0.3">
      <c r="A202" t="str">
        <f t="shared" si="3"/>
        <v>07-Jan 2009</v>
      </c>
      <c r="B202" s="10">
        <v>39820</v>
      </c>
      <c r="C202">
        <v>2009</v>
      </c>
      <c r="D202" s="11">
        <v>0.28680555555555554</v>
      </c>
      <c r="E202" t="s">
        <v>1738</v>
      </c>
      <c r="F202" t="s">
        <v>11</v>
      </c>
      <c r="G202">
        <v>1200</v>
      </c>
      <c r="H202" t="s">
        <v>12</v>
      </c>
      <c r="I202" t="s">
        <v>410</v>
      </c>
      <c r="J202" t="s">
        <v>411</v>
      </c>
      <c r="K202" t="s">
        <v>16</v>
      </c>
      <c r="L202" s="9">
        <f>WEEKDAY(Table1_2[[#This Row],[Transaction date]])</f>
        <v>4</v>
      </c>
    </row>
    <row r="203" spans="1:12" x14ac:dyDescent="0.3">
      <c r="A203" t="str">
        <f t="shared" si="3"/>
        <v>26-Jan 2009</v>
      </c>
      <c r="B203" s="10">
        <v>39839</v>
      </c>
      <c r="C203">
        <v>2009</v>
      </c>
      <c r="D203" s="11">
        <v>0.48472222222222222</v>
      </c>
      <c r="E203" t="s">
        <v>1738</v>
      </c>
      <c r="F203" t="s">
        <v>11</v>
      </c>
      <c r="G203">
        <v>1200</v>
      </c>
      <c r="H203" t="s">
        <v>17</v>
      </c>
      <c r="I203" t="s">
        <v>412</v>
      </c>
      <c r="J203" t="s">
        <v>315</v>
      </c>
      <c r="K203" t="s">
        <v>16</v>
      </c>
      <c r="L203" s="9">
        <f>WEEKDAY(Table1_2[[#This Row],[Transaction date]])</f>
        <v>2</v>
      </c>
    </row>
    <row r="204" spans="1:12" x14ac:dyDescent="0.3">
      <c r="A204" t="str">
        <f t="shared" si="3"/>
        <v>08-Jan 2009</v>
      </c>
      <c r="B204" s="10">
        <v>39821</v>
      </c>
      <c r="C204">
        <v>2009</v>
      </c>
      <c r="D204" s="11">
        <v>5.486111111111111E-2</v>
      </c>
      <c r="E204" t="s">
        <v>1738</v>
      </c>
      <c r="F204" t="s">
        <v>11</v>
      </c>
      <c r="G204">
        <v>1200</v>
      </c>
      <c r="H204" t="s">
        <v>17</v>
      </c>
      <c r="I204" t="s">
        <v>413</v>
      </c>
      <c r="J204" t="s">
        <v>414</v>
      </c>
      <c r="K204" t="s">
        <v>16</v>
      </c>
      <c r="L204" s="9">
        <f>WEEKDAY(Table1_2[[#This Row],[Transaction date]])</f>
        <v>5</v>
      </c>
    </row>
    <row r="205" spans="1:12" x14ac:dyDescent="0.3">
      <c r="A205" t="str">
        <f t="shared" si="3"/>
        <v>30-Jan 2009</v>
      </c>
      <c r="B205" s="10">
        <v>39843</v>
      </c>
      <c r="C205">
        <v>2009</v>
      </c>
      <c r="D205" s="11">
        <v>0.35833333333333334</v>
      </c>
      <c r="E205" t="s">
        <v>1738</v>
      </c>
      <c r="F205" t="s">
        <v>11</v>
      </c>
      <c r="G205">
        <v>1200</v>
      </c>
      <c r="H205" t="s">
        <v>12</v>
      </c>
      <c r="I205" t="s">
        <v>415</v>
      </c>
      <c r="J205" t="s">
        <v>416</v>
      </c>
      <c r="K205" t="s">
        <v>16</v>
      </c>
      <c r="L205" s="9">
        <f>WEEKDAY(Table1_2[[#This Row],[Transaction date]])</f>
        <v>6</v>
      </c>
    </row>
    <row r="206" spans="1:12" x14ac:dyDescent="0.3">
      <c r="A206" t="str">
        <f t="shared" si="3"/>
        <v>31-Jan 2009</v>
      </c>
      <c r="B206" s="10">
        <v>39844</v>
      </c>
      <c r="C206">
        <v>2009</v>
      </c>
      <c r="D206" s="11">
        <v>0.30694444444444446</v>
      </c>
      <c r="E206" t="s">
        <v>1738</v>
      </c>
      <c r="F206" t="s">
        <v>11</v>
      </c>
      <c r="G206">
        <v>1200</v>
      </c>
      <c r="H206" t="s">
        <v>12</v>
      </c>
      <c r="I206" t="s">
        <v>417</v>
      </c>
      <c r="J206" t="s">
        <v>418</v>
      </c>
      <c r="K206" t="s">
        <v>16</v>
      </c>
      <c r="L206" s="9">
        <f>WEEKDAY(Table1_2[[#This Row],[Transaction date]])</f>
        <v>7</v>
      </c>
    </row>
    <row r="207" spans="1:12" x14ac:dyDescent="0.3">
      <c r="A207" t="str">
        <f t="shared" si="3"/>
        <v>31-Jan 2009</v>
      </c>
      <c r="B207" s="10">
        <v>39844</v>
      </c>
      <c r="C207">
        <v>2009</v>
      </c>
      <c r="D207" s="11">
        <v>0.37222222222222223</v>
      </c>
      <c r="E207" t="s">
        <v>1738</v>
      </c>
      <c r="F207" t="s">
        <v>11</v>
      </c>
      <c r="G207">
        <v>1200</v>
      </c>
      <c r="H207" t="s">
        <v>17</v>
      </c>
      <c r="I207" t="s">
        <v>419</v>
      </c>
      <c r="J207" t="s">
        <v>222</v>
      </c>
      <c r="K207" t="s">
        <v>16</v>
      </c>
      <c r="L207" s="9">
        <f>WEEKDAY(Table1_2[[#This Row],[Transaction date]])</f>
        <v>7</v>
      </c>
    </row>
    <row r="208" spans="1:12" x14ac:dyDescent="0.3">
      <c r="A208" t="str">
        <f t="shared" si="3"/>
        <v>11-Jan 2009</v>
      </c>
      <c r="B208" s="10">
        <v>39824</v>
      </c>
      <c r="C208">
        <v>2009</v>
      </c>
      <c r="D208" s="11">
        <v>8.819444444444445E-2</v>
      </c>
      <c r="E208" t="s">
        <v>1738</v>
      </c>
      <c r="F208" t="s">
        <v>11</v>
      </c>
      <c r="G208">
        <v>1200</v>
      </c>
      <c r="H208" t="s">
        <v>12</v>
      </c>
      <c r="I208" t="s">
        <v>420</v>
      </c>
      <c r="J208" t="s">
        <v>138</v>
      </c>
      <c r="K208" t="s">
        <v>16</v>
      </c>
      <c r="L208" s="9">
        <f>WEEKDAY(Table1_2[[#This Row],[Transaction date]])</f>
        <v>1</v>
      </c>
    </row>
    <row r="209" spans="1:12" x14ac:dyDescent="0.3">
      <c r="A209" t="str">
        <f t="shared" si="3"/>
        <v>31-Jan 2009</v>
      </c>
      <c r="B209" s="10">
        <v>39844</v>
      </c>
      <c r="C209">
        <v>2009</v>
      </c>
      <c r="D209" s="11">
        <v>0.46805555555555556</v>
      </c>
      <c r="E209" t="s">
        <v>1738</v>
      </c>
      <c r="F209" t="s">
        <v>21</v>
      </c>
      <c r="G209">
        <v>300000</v>
      </c>
      <c r="H209" t="s">
        <v>17</v>
      </c>
      <c r="I209" t="s">
        <v>421</v>
      </c>
      <c r="J209" t="s">
        <v>400</v>
      </c>
      <c r="K209" t="s">
        <v>16</v>
      </c>
      <c r="L209" s="9">
        <f>WEEKDAY(Table1_2[[#This Row],[Transaction date]])</f>
        <v>7</v>
      </c>
    </row>
    <row r="210" spans="1:12" x14ac:dyDescent="0.3">
      <c r="A210" t="str">
        <f t="shared" si="3"/>
        <v>02-Jan 2009</v>
      </c>
      <c r="B210" s="10">
        <v>39815</v>
      </c>
      <c r="C210">
        <v>2009</v>
      </c>
      <c r="D210" s="11">
        <v>0.41458333333333336</v>
      </c>
      <c r="E210" t="s">
        <v>1738</v>
      </c>
      <c r="F210" t="s">
        <v>11</v>
      </c>
      <c r="G210">
        <v>1200</v>
      </c>
      <c r="H210" t="s">
        <v>65</v>
      </c>
      <c r="I210" t="s">
        <v>422</v>
      </c>
      <c r="J210" t="s">
        <v>423</v>
      </c>
      <c r="K210" t="s">
        <v>16</v>
      </c>
      <c r="L210" s="9">
        <f>WEEKDAY(Table1_2[[#This Row],[Transaction date]])</f>
        <v>6</v>
      </c>
    </row>
    <row r="211" spans="1:12" x14ac:dyDescent="0.3">
      <c r="A211" t="str">
        <f t="shared" si="3"/>
        <v>04-Jan 2009</v>
      </c>
      <c r="B211" s="10">
        <v>39817</v>
      </c>
      <c r="C211">
        <v>2009</v>
      </c>
      <c r="D211" s="11">
        <v>5.5555555555555552E-2</v>
      </c>
      <c r="E211" t="s">
        <v>1738</v>
      </c>
      <c r="F211" t="s">
        <v>11</v>
      </c>
      <c r="G211">
        <v>1200</v>
      </c>
      <c r="H211" t="s">
        <v>17</v>
      </c>
      <c r="I211" t="s">
        <v>424</v>
      </c>
      <c r="J211" t="s">
        <v>425</v>
      </c>
      <c r="K211" t="s">
        <v>16</v>
      </c>
      <c r="L211" s="9">
        <f>WEEKDAY(Table1_2[[#This Row],[Transaction date]])</f>
        <v>1</v>
      </c>
    </row>
    <row r="212" spans="1:12" x14ac:dyDescent="0.3">
      <c r="A212" t="str">
        <f t="shared" si="3"/>
        <v>18-Jan 2009</v>
      </c>
      <c r="B212" s="10">
        <v>39831</v>
      </c>
      <c r="C212">
        <v>2009</v>
      </c>
      <c r="D212" s="11">
        <v>0.25624999999999998</v>
      </c>
      <c r="E212" t="s">
        <v>1738</v>
      </c>
      <c r="F212" t="s">
        <v>11</v>
      </c>
      <c r="G212">
        <v>1200</v>
      </c>
      <c r="H212" t="s">
        <v>17</v>
      </c>
      <c r="I212" t="s">
        <v>426</v>
      </c>
      <c r="J212" t="s">
        <v>427</v>
      </c>
      <c r="K212" t="s">
        <v>16</v>
      </c>
      <c r="L212" s="9">
        <f>WEEKDAY(Table1_2[[#This Row],[Transaction date]])</f>
        <v>1</v>
      </c>
    </row>
    <row r="213" spans="1:12" x14ac:dyDescent="0.3">
      <c r="A213" t="str">
        <f t="shared" si="3"/>
        <v>24-Jan 2009</v>
      </c>
      <c r="B213" s="10">
        <v>39837</v>
      </c>
      <c r="C213">
        <v>2009</v>
      </c>
      <c r="D213" s="11">
        <v>0.30138888888888887</v>
      </c>
      <c r="E213" t="s">
        <v>1738</v>
      </c>
      <c r="F213" t="s">
        <v>11</v>
      </c>
      <c r="G213">
        <v>1200</v>
      </c>
      <c r="H213" t="s">
        <v>17</v>
      </c>
      <c r="I213" t="s">
        <v>428</v>
      </c>
      <c r="J213" t="s">
        <v>429</v>
      </c>
      <c r="K213" t="s">
        <v>16</v>
      </c>
      <c r="L213" s="9">
        <f>WEEKDAY(Table1_2[[#This Row],[Transaction date]])</f>
        <v>7</v>
      </c>
    </row>
    <row r="214" spans="1:12" x14ac:dyDescent="0.3">
      <c r="A214" t="str">
        <f t="shared" si="3"/>
        <v>24-Jan 2009</v>
      </c>
      <c r="B214" s="10">
        <v>39837</v>
      </c>
      <c r="C214">
        <v>2009</v>
      </c>
      <c r="D214" s="11">
        <v>0.46180555555555558</v>
      </c>
      <c r="E214" t="s">
        <v>1738</v>
      </c>
      <c r="F214" t="s">
        <v>11</v>
      </c>
      <c r="G214">
        <v>1200</v>
      </c>
      <c r="H214" t="s">
        <v>12</v>
      </c>
      <c r="I214" t="s">
        <v>430</v>
      </c>
      <c r="J214" t="s">
        <v>431</v>
      </c>
      <c r="K214" t="s">
        <v>16</v>
      </c>
      <c r="L214" s="9">
        <f>WEEKDAY(Table1_2[[#This Row],[Transaction date]])</f>
        <v>7</v>
      </c>
    </row>
    <row r="215" spans="1:12" x14ac:dyDescent="0.3">
      <c r="A215" t="str">
        <f t="shared" si="3"/>
        <v>06-Jan 2009</v>
      </c>
      <c r="B215" s="10">
        <v>39819</v>
      </c>
      <c r="C215">
        <v>2009</v>
      </c>
      <c r="D215" s="11">
        <v>0.13333333333333333</v>
      </c>
      <c r="E215" t="s">
        <v>1738</v>
      </c>
      <c r="F215" t="s">
        <v>11</v>
      </c>
      <c r="G215">
        <v>1200</v>
      </c>
      <c r="H215" t="s">
        <v>65</v>
      </c>
      <c r="I215" t="s">
        <v>432</v>
      </c>
      <c r="J215" t="s">
        <v>433</v>
      </c>
      <c r="K215" t="s">
        <v>16</v>
      </c>
      <c r="L215" s="9">
        <f>WEEKDAY(Table1_2[[#This Row],[Transaction date]])</f>
        <v>3</v>
      </c>
    </row>
    <row r="216" spans="1:12" x14ac:dyDescent="0.3">
      <c r="A216" t="str">
        <f t="shared" si="3"/>
        <v>03-Jan 2009</v>
      </c>
      <c r="B216" s="10">
        <v>39816</v>
      </c>
      <c r="C216">
        <v>2009</v>
      </c>
      <c r="D216" s="11">
        <v>0.4152777777777778</v>
      </c>
      <c r="E216" t="s">
        <v>1738</v>
      </c>
      <c r="F216" t="s">
        <v>11</v>
      </c>
      <c r="G216">
        <v>1200</v>
      </c>
      <c r="H216" t="s">
        <v>12</v>
      </c>
      <c r="I216" t="s">
        <v>434</v>
      </c>
      <c r="J216" t="s">
        <v>435</v>
      </c>
      <c r="K216" t="s">
        <v>16</v>
      </c>
      <c r="L216" s="9">
        <f>WEEKDAY(Table1_2[[#This Row],[Transaction date]])</f>
        <v>7</v>
      </c>
    </row>
    <row r="217" spans="1:12" x14ac:dyDescent="0.3">
      <c r="A217" t="str">
        <f t="shared" si="3"/>
        <v>12-Jan 2009</v>
      </c>
      <c r="B217" s="10">
        <v>39825</v>
      </c>
      <c r="C217">
        <v>2009</v>
      </c>
      <c r="D217" s="11">
        <v>0.11805555555555555</v>
      </c>
      <c r="E217" t="s">
        <v>1738</v>
      </c>
      <c r="F217" t="s">
        <v>11</v>
      </c>
      <c r="G217">
        <v>1200</v>
      </c>
      <c r="H217" t="s">
        <v>12</v>
      </c>
      <c r="I217" t="s">
        <v>436</v>
      </c>
      <c r="J217" t="s">
        <v>334</v>
      </c>
      <c r="K217" t="s">
        <v>16</v>
      </c>
      <c r="L217" s="9">
        <f>WEEKDAY(Table1_2[[#This Row],[Transaction date]])</f>
        <v>2</v>
      </c>
    </row>
    <row r="218" spans="1:12" x14ac:dyDescent="0.3">
      <c r="A218" t="str">
        <f t="shared" si="3"/>
        <v>07-Jan 2009</v>
      </c>
      <c r="B218" s="10">
        <v>39820</v>
      </c>
      <c r="C218">
        <v>2009</v>
      </c>
      <c r="D218" s="11">
        <v>7.5694444444444439E-2</v>
      </c>
      <c r="E218" t="s">
        <v>1738</v>
      </c>
      <c r="F218" t="s">
        <v>11</v>
      </c>
      <c r="G218">
        <v>1200</v>
      </c>
      <c r="H218" t="s">
        <v>12</v>
      </c>
      <c r="I218" t="s">
        <v>437</v>
      </c>
      <c r="J218" t="s">
        <v>438</v>
      </c>
      <c r="K218" t="s">
        <v>16</v>
      </c>
      <c r="L218" s="9">
        <f>WEEKDAY(Table1_2[[#This Row],[Transaction date]])</f>
        <v>4</v>
      </c>
    </row>
    <row r="219" spans="1:12" x14ac:dyDescent="0.3">
      <c r="A219" t="str">
        <f t="shared" si="3"/>
        <v>09-Jan 2009</v>
      </c>
      <c r="B219" s="10">
        <v>39822</v>
      </c>
      <c r="C219">
        <v>2009</v>
      </c>
      <c r="D219" s="11">
        <v>0.32013888888888886</v>
      </c>
      <c r="E219" t="s">
        <v>1738</v>
      </c>
      <c r="F219" t="s">
        <v>11</v>
      </c>
      <c r="G219">
        <v>1200</v>
      </c>
      <c r="H219" t="s">
        <v>17</v>
      </c>
      <c r="I219" t="s">
        <v>439</v>
      </c>
      <c r="J219" t="s">
        <v>440</v>
      </c>
      <c r="K219" t="s">
        <v>16</v>
      </c>
      <c r="L219" s="9">
        <f>WEEKDAY(Table1_2[[#This Row],[Transaction date]])</f>
        <v>6</v>
      </c>
    </row>
    <row r="220" spans="1:12" x14ac:dyDescent="0.3">
      <c r="A220" t="str">
        <f t="shared" si="3"/>
        <v>23-Jan 2009</v>
      </c>
      <c r="B220" s="10">
        <v>39836</v>
      </c>
      <c r="C220">
        <v>2009</v>
      </c>
      <c r="D220" s="11">
        <v>0.40347222222222223</v>
      </c>
      <c r="E220" t="s">
        <v>1738</v>
      </c>
      <c r="F220" t="s">
        <v>11</v>
      </c>
      <c r="G220">
        <v>1200</v>
      </c>
      <c r="H220" t="s">
        <v>12</v>
      </c>
      <c r="I220" t="s">
        <v>441</v>
      </c>
      <c r="J220" t="s">
        <v>442</v>
      </c>
      <c r="K220" t="s">
        <v>16</v>
      </c>
      <c r="L220" s="9">
        <f>WEEKDAY(Table1_2[[#This Row],[Transaction date]])</f>
        <v>6</v>
      </c>
    </row>
    <row r="221" spans="1:12" x14ac:dyDescent="0.3">
      <c r="A221" t="str">
        <f t="shared" si="3"/>
        <v>06-Jan 2009</v>
      </c>
      <c r="B221" s="10">
        <v>39819</v>
      </c>
      <c r="C221">
        <v>2009</v>
      </c>
      <c r="D221" s="11">
        <v>0.17152777777777778</v>
      </c>
      <c r="E221" t="s">
        <v>1738</v>
      </c>
      <c r="F221" t="s">
        <v>11</v>
      </c>
      <c r="G221">
        <v>1200</v>
      </c>
      <c r="H221" t="s">
        <v>12</v>
      </c>
      <c r="I221" t="s">
        <v>443</v>
      </c>
      <c r="J221" t="s">
        <v>444</v>
      </c>
      <c r="K221" t="s">
        <v>16</v>
      </c>
      <c r="L221" s="9">
        <f>WEEKDAY(Table1_2[[#This Row],[Transaction date]])</f>
        <v>3</v>
      </c>
    </row>
    <row r="222" spans="1:12" x14ac:dyDescent="0.3">
      <c r="A222" t="str">
        <f t="shared" si="3"/>
        <v>28-Jan 2009</v>
      </c>
      <c r="B222" s="10">
        <v>39841</v>
      </c>
      <c r="C222">
        <v>2009</v>
      </c>
      <c r="D222" s="11">
        <v>0.36388888888888887</v>
      </c>
      <c r="E222" t="s">
        <v>1738</v>
      </c>
      <c r="F222" t="s">
        <v>11</v>
      </c>
      <c r="G222">
        <v>1200</v>
      </c>
      <c r="H222" t="s">
        <v>12</v>
      </c>
      <c r="I222" t="s">
        <v>445</v>
      </c>
      <c r="J222" t="s">
        <v>446</v>
      </c>
      <c r="K222" t="s">
        <v>16</v>
      </c>
      <c r="L222" s="9">
        <f>WEEKDAY(Table1_2[[#This Row],[Transaction date]])</f>
        <v>4</v>
      </c>
    </row>
    <row r="223" spans="1:12" x14ac:dyDescent="0.3">
      <c r="A223" t="str">
        <f t="shared" si="3"/>
        <v>19-Jan 2009</v>
      </c>
      <c r="B223" s="10">
        <v>39832</v>
      </c>
      <c r="C223">
        <v>2009</v>
      </c>
      <c r="D223" s="11">
        <v>0.36944444444444446</v>
      </c>
      <c r="E223" t="s">
        <v>1738</v>
      </c>
      <c r="F223" t="s">
        <v>11</v>
      </c>
      <c r="G223">
        <v>1200</v>
      </c>
      <c r="H223" t="s">
        <v>12</v>
      </c>
      <c r="I223" t="s">
        <v>447</v>
      </c>
      <c r="J223" t="s">
        <v>448</v>
      </c>
      <c r="K223" t="s">
        <v>16</v>
      </c>
      <c r="L223" s="9">
        <f>WEEKDAY(Table1_2[[#This Row],[Transaction date]])</f>
        <v>2</v>
      </c>
    </row>
    <row r="224" spans="1:12" x14ac:dyDescent="0.3">
      <c r="A224" t="str">
        <f t="shared" si="3"/>
        <v>30-Jan 2009</v>
      </c>
      <c r="B224" s="10">
        <v>39843</v>
      </c>
      <c r="C224">
        <v>2009</v>
      </c>
      <c r="D224" s="11">
        <v>0.3</v>
      </c>
      <c r="E224" t="s">
        <v>1738</v>
      </c>
      <c r="F224" t="s">
        <v>11</v>
      </c>
      <c r="G224">
        <v>1200</v>
      </c>
      <c r="H224" t="s">
        <v>12</v>
      </c>
      <c r="I224" t="s">
        <v>449</v>
      </c>
      <c r="J224" t="s">
        <v>450</v>
      </c>
      <c r="K224" t="s">
        <v>16</v>
      </c>
      <c r="L224" s="9">
        <f>WEEKDAY(Table1_2[[#This Row],[Transaction date]])</f>
        <v>6</v>
      </c>
    </row>
    <row r="225" spans="1:12" x14ac:dyDescent="0.3">
      <c r="A225" t="str">
        <f t="shared" si="3"/>
        <v>05-Jan 2009</v>
      </c>
      <c r="B225" s="10">
        <v>39818</v>
      </c>
      <c r="C225">
        <v>2009</v>
      </c>
      <c r="D225" s="11">
        <v>0.52847222222222223</v>
      </c>
      <c r="E225" t="s">
        <v>1739</v>
      </c>
      <c r="F225" t="s">
        <v>11</v>
      </c>
      <c r="G225">
        <v>1200</v>
      </c>
      <c r="H225" t="s">
        <v>17</v>
      </c>
      <c r="I225" t="s">
        <v>451</v>
      </c>
      <c r="J225" t="s">
        <v>452</v>
      </c>
      <c r="K225" t="s">
        <v>16</v>
      </c>
      <c r="L225" s="9">
        <f>WEEKDAY(Table1_2[[#This Row],[Transaction date]])</f>
        <v>2</v>
      </c>
    </row>
    <row r="226" spans="1:12" x14ac:dyDescent="0.3">
      <c r="A226" t="str">
        <f t="shared" si="3"/>
        <v>28-Jan 2009</v>
      </c>
      <c r="B226" s="10">
        <v>39841</v>
      </c>
      <c r="C226">
        <v>2009</v>
      </c>
      <c r="D226" s="11">
        <v>0.37430555555555556</v>
      </c>
      <c r="E226" t="s">
        <v>1738</v>
      </c>
      <c r="F226" t="s">
        <v>11</v>
      </c>
      <c r="G226">
        <v>1200</v>
      </c>
      <c r="H226" t="s">
        <v>12</v>
      </c>
      <c r="I226" t="s">
        <v>453</v>
      </c>
      <c r="J226" t="s">
        <v>315</v>
      </c>
      <c r="K226" t="s">
        <v>16</v>
      </c>
      <c r="L226" s="9">
        <f>WEEKDAY(Table1_2[[#This Row],[Transaction date]])</f>
        <v>4</v>
      </c>
    </row>
    <row r="227" spans="1:12" x14ac:dyDescent="0.3">
      <c r="A227" t="str">
        <f t="shared" si="3"/>
        <v>10-Jan 2009</v>
      </c>
      <c r="B227" s="10">
        <v>39823</v>
      </c>
      <c r="C227">
        <v>2009</v>
      </c>
      <c r="D227" s="11">
        <v>0.4</v>
      </c>
      <c r="E227" t="s">
        <v>1738</v>
      </c>
      <c r="F227" t="s">
        <v>11</v>
      </c>
      <c r="G227">
        <v>1200</v>
      </c>
      <c r="H227" t="s">
        <v>12</v>
      </c>
      <c r="I227" t="s">
        <v>454</v>
      </c>
      <c r="J227" t="s">
        <v>200</v>
      </c>
      <c r="K227" t="s">
        <v>16</v>
      </c>
      <c r="L227" s="9">
        <f>WEEKDAY(Table1_2[[#This Row],[Transaction date]])</f>
        <v>7</v>
      </c>
    </row>
    <row r="228" spans="1:12" x14ac:dyDescent="0.3">
      <c r="A228" t="str">
        <f t="shared" si="3"/>
        <v>25-Jan 2009</v>
      </c>
      <c r="B228" s="10">
        <v>39838</v>
      </c>
      <c r="C228">
        <v>2009</v>
      </c>
      <c r="D228" s="11">
        <v>0.33263888888888887</v>
      </c>
      <c r="E228" t="s">
        <v>1738</v>
      </c>
      <c r="F228" t="s">
        <v>11</v>
      </c>
      <c r="G228">
        <v>1200</v>
      </c>
      <c r="H228" t="s">
        <v>12</v>
      </c>
      <c r="I228" t="s">
        <v>455</v>
      </c>
      <c r="J228" t="s">
        <v>200</v>
      </c>
      <c r="K228" t="s">
        <v>16</v>
      </c>
      <c r="L228" s="9">
        <f>WEEKDAY(Table1_2[[#This Row],[Transaction date]])</f>
        <v>1</v>
      </c>
    </row>
    <row r="229" spans="1:12" x14ac:dyDescent="0.3">
      <c r="A229" t="str">
        <f t="shared" si="3"/>
        <v>21-Jan 2009</v>
      </c>
      <c r="B229" s="10">
        <v>39834</v>
      </c>
      <c r="C229">
        <v>2009</v>
      </c>
      <c r="D229" s="11">
        <v>0.37986111111111109</v>
      </c>
      <c r="E229" t="s">
        <v>1738</v>
      </c>
      <c r="F229" t="s">
        <v>11</v>
      </c>
      <c r="G229">
        <v>1200</v>
      </c>
      <c r="H229" t="s">
        <v>12</v>
      </c>
      <c r="I229" t="s">
        <v>456</v>
      </c>
      <c r="J229" t="s">
        <v>224</v>
      </c>
      <c r="K229" t="s">
        <v>16</v>
      </c>
      <c r="L229" s="9">
        <f>WEEKDAY(Table1_2[[#This Row],[Transaction date]])</f>
        <v>4</v>
      </c>
    </row>
    <row r="230" spans="1:12" x14ac:dyDescent="0.3">
      <c r="A230" t="str">
        <f t="shared" si="3"/>
        <v>27-Jan 2009</v>
      </c>
      <c r="B230" s="10">
        <v>39840</v>
      </c>
      <c r="C230">
        <v>2009</v>
      </c>
      <c r="D230" s="11">
        <v>0.34097222222222223</v>
      </c>
      <c r="E230" t="s">
        <v>1738</v>
      </c>
      <c r="F230" t="s">
        <v>11</v>
      </c>
      <c r="G230">
        <v>1200</v>
      </c>
      <c r="H230" t="s">
        <v>12</v>
      </c>
      <c r="I230" t="s">
        <v>457</v>
      </c>
      <c r="J230" t="s">
        <v>458</v>
      </c>
      <c r="K230" t="s">
        <v>16</v>
      </c>
      <c r="L230" s="9">
        <f>WEEKDAY(Table1_2[[#This Row],[Transaction date]])</f>
        <v>3</v>
      </c>
    </row>
    <row r="231" spans="1:12" x14ac:dyDescent="0.3">
      <c r="A231" t="str">
        <f t="shared" si="3"/>
        <v>15-Jan 2009</v>
      </c>
      <c r="B231" s="10">
        <v>39828</v>
      </c>
      <c r="C231">
        <v>2009</v>
      </c>
      <c r="D231" s="11">
        <v>0.41111111111111109</v>
      </c>
      <c r="E231" t="s">
        <v>1738</v>
      </c>
      <c r="F231" t="s">
        <v>11</v>
      </c>
      <c r="G231">
        <v>1200</v>
      </c>
      <c r="H231" t="s">
        <v>65</v>
      </c>
      <c r="I231" t="s">
        <v>459</v>
      </c>
      <c r="J231" t="s">
        <v>460</v>
      </c>
      <c r="K231" t="s">
        <v>16</v>
      </c>
      <c r="L231" s="9">
        <f>WEEKDAY(Table1_2[[#This Row],[Transaction date]])</f>
        <v>5</v>
      </c>
    </row>
    <row r="232" spans="1:12" x14ac:dyDescent="0.3">
      <c r="A232" t="str">
        <f t="shared" si="3"/>
        <v>13-Jan 2009</v>
      </c>
      <c r="B232" s="10">
        <v>39826</v>
      </c>
      <c r="C232">
        <v>2009</v>
      </c>
      <c r="D232" s="11">
        <v>0.49583333333333335</v>
      </c>
      <c r="E232" t="s">
        <v>1738</v>
      </c>
      <c r="F232" t="s">
        <v>11</v>
      </c>
      <c r="G232">
        <v>1200</v>
      </c>
      <c r="H232" t="s">
        <v>12</v>
      </c>
      <c r="I232" t="s">
        <v>461</v>
      </c>
      <c r="J232" t="s">
        <v>462</v>
      </c>
      <c r="K232" t="s">
        <v>16</v>
      </c>
      <c r="L232" s="9">
        <f>WEEKDAY(Table1_2[[#This Row],[Transaction date]])</f>
        <v>3</v>
      </c>
    </row>
    <row r="233" spans="1:12" x14ac:dyDescent="0.3">
      <c r="A233" t="str">
        <f t="shared" si="3"/>
        <v>16-Jan 2009</v>
      </c>
      <c r="B233" s="10">
        <v>39829</v>
      </c>
      <c r="C233">
        <v>2009</v>
      </c>
      <c r="D233" s="11">
        <v>0.49236111111111114</v>
      </c>
      <c r="E233" t="s">
        <v>1738</v>
      </c>
      <c r="F233" t="s">
        <v>11</v>
      </c>
      <c r="G233">
        <v>1200</v>
      </c>
      <c r="H233" t="s">
        <v>17</v>
      </c>
      <c r="I233" t="s">
        <v>463</v>
      </c>
      <c r="J233" t="s">
        <v>464</v>
      </c>
      <c r="K233" t="s">
        <v>16</v>
      </c>
      <c r="L233" s="9">
        <f>WEEKDAY(Table1_2[[#This Row],[Transaction date]])</f>
        <v>6</v>
      </c>
    </row>
    <row r="234" spans="1:12" x14ac:dyDescent="0.3">
      <c r="A234" t="str">
        <f t="shared" si="3"/>
        <v>01-Jan 2009</v>
      </c>
      <c r="B234" s="10">
        <v>39814</v>
      </c>
      <c r="C234">
        <v>2009</v>
      </c>
      <c r="D234" s="11">
        <v>0.39930555555555558</v>
      </c>
      <c r="E234" t="s">
        <v>1738</v>
      </c>
      <c r="F234" t="s">
        <v>11</v>
      </c>
      <c r="G234">
        <v>1200</v>
      </c>
      <c r="H234" t="s">
        <v>17</v>
      </c>
      <c r="I234" t="s">
        <v>465</v>
      </c>
      <c r="J234" t="s">
        <v>466</v>
      </c>
      <c r="K234" t="s">
        <v>16</v>
      </c>
      <c r="L234" s="9">
        <f>WEEKDAY(Table1_2[[#This Row],[Transaction date]])</f>
        <v>5</v>
      </c>
    </row>
    <row r="235" spans="1:12" x14ac:dyDescent="0.3">
      <c r="A235" t="str">
        <f t="shared" si="3"/>
        <v>13-Jan 2009</v>
      </c>
      <c r="B235" s="10">
        <v>39826</v>
      </c>
      <c r="C235">
        <v>2009</v>
      </c>
      <c r="D235" s="11">
        <v>0.24861111111111112</v>
      </c>
      <c r="E235" t="s">
        <v>1738</v>
      </c>
      <c r="F235" t="s">
        <v>11</v>
      </c>
      <c r="G235">
        <v>1200</v>
      </c>
      <c r="H235" t="s">
        <v>17</v>
      </c>
      <c r="I235" t="s">
        <v>467</v>
      </c>
      <c r="J235" t="s">
        <v>468</v>
      </c>
      <c r="K235" t="s">
        <v>16</v>
      </c>
      <c r="L235" s="9">
        <f>WEEKDAY(Table1_2[[#This Row],[Transaction date]])</f>
        <v>3</v>
      </c>
    </row>
    <row r="236" spans="1:12" x14ac:dyDescent="0.3">
      <c r="A236" t="str">
        <f t="shared" si="3"/>
        <v>06-Jan 2009</v>
      </c>
      <c r="B236" s="10">
        <v>39819</v>
      </c>
      <c r="C236">
        <v>2009</v>
      </c>
      <c r="D236" s="11">
        <v>0.17222222222222222</v>
      </c>
      <c r="E236" t="s">
        <v>1738</v>
      </c>
      <c r="F236" t="s">
        <v>21</v>
      </c>
      <c r="G236">
        <v>3600</v>
      </c>
      <c r="H236" t="s">
        <v>12</v>
      </c>
      <c r="I236" t="s">
        <v>469</v>
      </c>
      <c r="J236" t="s">
        <v>200</v>
      </c>
      <c r="K236" t="s">
        <v>16</v>
      </c>
      <c r="L236" s="9">
        <f>WEEKDAY(Table1_2[[#This Row],[Transaction date]])</f>
        <v>3</v>
      </c>
    </row>
    <row r="237" spans="1:12" x14ac:dyDescent="0.3">
      <c r="A237" t="str">
        <f t="shared" si="3"/>
        <v>05-Jan 2009</v>
      </c>
      <c r="B237" s="10">
        <v>39818</v>
      </c>
      <c r="C237">
        <v>2009</v>
      </c>
      <c r="D237" s="11">
        <v>0.43402777777777779</v>
      </c>
      <c r="E237" t="s">
        <v>1738</v>
      </c>
      <c r="F237" t="s">
        <v>11</v>
      </c>
      <c r="G237">
        <v>1200</v>
      </c>
      <c r="H237" t="s">
        <v>65</v>
      </c>
      <c r="I237" t="s">
        <v>470</v>
      </c>
      <c r="J237" t="s">
        <v>334</v>
      </c>
      <c r="K237" t="s">
        <v>16</v>
      </c>
      <c r="L237" s="9">
        <f>WEEKDAY(Table1_2[[#This Row],[Transaction date]])</f>
        <v>2</v>
      </c>
    </row>
    <row r="238" spans="1:12" x14ac:dyDescent="0.3">
      <c r="A238" t="str">
        <f t="shared" si="3"/>
        <v>12-Jan 2009</v>
      </c>
      <c r="B238" s="10">
        <v>39825</v>
      </c>
      <c r="C238">
        <v>2009</v>
      </c>
      <c r="D238" s="11">
        <v>0.36319444444444443</v>
      </c>
      <c r="E238" t="s">
        <v>1738</v>
      </c>
      <c r="F238" t="s">
        <v>11</v>
      </c>
      <c r="G238">
        <v>1200</v>
      </c>
      <c r="H238" t="s">
        <v>12</v>
      </c>
      <c r="I238" t="s">
        <v>471</v>
      </c>
      <c r="J238" t="s">
        <v>472</v>
      </c>
      <c r="K238" t="s">
        <v>16</v>
      </c>
      <c r="L238" s="9">
        <f>WEEKDAY(Table1_2[[#This Row],[Transaction date]])</f>
        <v>2</v>
      </c>
    </row>
    <row r="239" spans="1:12" x14ac:dyDescent="0.3">
      <c r="A239" t="str">
        <f t="shared" si="3"/>
        <v>17-Jan 2009</v>
      </c>
      <c r="B239" s="10">
        <v>39830</v>
      </c>
      <c r="C239">
        <v>2009</v>
      </c>
      <c r="D239" s="11">
        <v>0.14027777777777778</v>
      </c>
      <c r="E239" t="s">
        <v>1738</v>
      </c>
      <c r="F239" t="s">
        <v>11</v>
      </c>
      <c r="G239">
        <v>1200</v>
      </c>
      <c r="H239" t="s">
        <v>12</v>
      </c>
      <c r="I239" t="s">
        <v>473</v>
      </c>
      <c r="J239" t="s">
        <v>474</v>
      </c>
      <c r="K239" t="s">
        <v>16</v>
      </c>
      <c r="L239" s="9">
        <f>WEEKDAY(Table1_2[[#This Row],[Transaction date]])</f>
        <v>7</v>
      </c>
    </row>
    <row r="240" spans="1:12" x14ac:dyDescent="0.3">
      <c r="A240" t="str">
        <f t="shared" si="3"/>
        <v>18-Jan 2009</v>
      </c>
      <c r="B240" s="10">
        <v>39831</v>
      </c>
      <c r="C240">
        <v>2009</v>
      </c>
      <c r="D240" s="11">
        <v>0.47013888888888888</v>
      </c>
      <c r="E240" t="s">
        <v>1738</v>
      </c>
      <c r="F240" t="s">
        <v>11</v>
      </c>
      <c r="G240">
        <v>1200</v>
      </c>
      <c r="H240" t="s">
        <v>65</v>
      </c>
      <c r="I240" t="s">
        <v>473</v>
      </c>
      <c r="J240" t="s">
        <v>475</v>
      </c>
      <c r="K240" t="s">
        <v>16</v>
      </c>
      <c r="L240" s="9">
        <f>WEEKDAY(Table1_2[[#This Row],[Transaction date]])</f>
        <v>1</v>
      </c>
    </row>
    <row r="241" spans="1:12" x14ac:dyDescent="0.3">
      <c r="A241" t="str">
        <f t="shared" si="3"/>
        <v>11-Jan 2009</v>
      </c>
      <c r="B241" s="10">
        <v>39824</v>
      </c>
      <c r="C241">
        <v>2009</v>
      </c>
      <c r="D241" s="11">
        <v>0.25069444444444444</v>
      </c>
      <c r="E241" t="s">
        <v>1738</v>
      </c>
      <c r="F241" t="s">
        <v>11</v>
      </c>
      <c r="G241">
        <v>1200</v>
      </c>
      <c r="H241" t="s">
        <v>17</v>
      </c>
      <c r="I241" t="s">
        <v>176</v>
      </c>
      <c r="J241" t="s">
        <v>35</v>
      </c>
      <c r="K241" t="s">
        <v>16</v>
      </c>
      <c r="L241" s="9">
        <f>WEEKDAY(Table1_2[[#This Row],[Transaction date]])</f>
        <v>1</v>
      </c>
    </row>
    <row r="242" spans="1:12" x14ac:dyDescent="0.3">
      <c r="A242" t="str">
        <f t="shared" si="3"/>
        <v>19-Jan 2009</v>
      </c>
      <c r="B242" s="10">
        <v>39832</v>
      </c>
      <c r="C242">
        <v>2009</v>
      </c>
      <c r="D242" s="11">
        <v>0.12013888888888889</v>
      </c>
      <c r="E242" t="s">
        <v>1738</v>
      </c>
      <c r="F242" t="s">
        <v>11</v>
      </c>
      <c r="G242">
        <v>1200</v>
      </c>
      <c r="H242" t="s">
        <v>17</v>
      </c>
      <c r="I242" t="s">
        <v>419</v>
      </c>
      <c r="J242" t="s">
        <v>476</v>
      </c>
      <c r="K242" t="s">
        <v>16</v>
      </c>
      <c r="L242" s="9">
        <f>WEEKDAY(Table1_2[[#This Row],[Transaction date]])</f>
        <v>2</v>
      </c>
    </row>
    <row r="243" spans="1:12" x14ac:dyDescent="0.3">
      <c r="A243" t="str">
        <f t="shared" si="3"/>
        <v>15-Jan 2009</v>
      </c>
      <c r="B243" s="10">
        <v>39828</v>
      </c>
      <c r="C243">
        <v>2009</v>
      </c>
      <c r="D243" s="11">
        <v>0.34166666666666667</v>
      </c>
      <c r="E243" t="s">
        <v>1738</v>
      </c>
      <c r="F243" t="s">
        <v>11</v>
      </c>
      <c r="G243">
        <v>1200</v>
      </c>
      <c r="H243" t="s">
        <v>12</v>
      </c>
      <c r="I243" t="s">
        <v>58</v>
      </c>
      <c r="J243" t="s">
        <v>172</v>
      </c>
      <c r="K243" t="s">
        <v>16</v>
      </c>
      <c r="L243" s="9">
        <f>WEEKDAY(Table1_2[[#This Row],[Transaction date]])</f>
        <v>5</v>
      </c>
    </row>
    <row r="244" spans="1:12" x14ac:dyDescent="0.3">
      <c r="A244" t="str">
        <f t="shared" si="3"/>
        <v>12-Jan 2009</v>
      </c>
      <c r="B244" s="10">
        <v>39825</v>
      </c>
      <c r="C244">
        <v>2009</v>
      </c>
      <c r="D244" s="11">
        <v>0.33680555555555558</v>
      </c>
      <c r="E244" t="s">
        <v>1738</v>
      </c>
      <c r="F244" t="s">
        <v>11</v>
      </c>
      <c r="G244">
        <v>1200</v>
      </c>
      <c r="H244" t="s">
        <v>65</v>
      </c>
      <c r="I244" t="s">
        <v>477</v>
      </c>
      <c r="J244" t="s">
        <v>478</v>
      </c>
      <c r="K244" t="s">
        <v>16</v>
      </c>
      <c r="L244" s="9">
        <f>WEEKDAY(Table1_2[[#This Row],[Transaction date]])</f>
        <v>2</v>
      </c>
    </row>
    <row r="245" spans="1:12" x14ac:dyDescent="0.3">
      <c r="A245" t="str">
        <f t="shared" si="3"/>
        <v>25-Jan 2009</v>
      </c>
      <c r="B245" s="10">
        <v>39838</v>
      </c>
      <c r="C245">
        <v>2009</v>
      </c>
      <c r="D245" s="11">
        <v>0.37083333333333335</v>
      </c>
      <c r="E245" t="s">
        <v>1738</v>
      </c>
      <c r="F245" t="s">
        <v>11</v>
      </c>
      <c r="G245">
        <v>1200</v>
      </c>
      <c r="H245" t="s">
        <v>65</v>
      </c>
      <c r="I245" t="s">
        <v>479</v>
      </c>
      <c r="J245" t="s">
        <v>480</v>
      </c>
      <c r="K245" t="s">
        <v>16</v>
      </c>
      <c r="L245" s="9">
        <f>WEEKDAY(Table1_2[[#This Row],[Transaction date]])</f>
        <v>1</v>
      </c>
    </row>
    <row r="246" spans="1:12" x14ac:dyDescent="0.3">
      <c r="A246" t="str">
        <f t="shared" si="3"/>
        <v>05-Jan 2009</v>
      </c>
      <c r="B246" s="10">
        <v>39818</v>
      </c>
      <c r="C246">
        <v>2009</v>
      </c>
      <c r="D246" s="11">
        <v>0.31180555555555556</v>
      </c>
      <c r="E246" t="s">
        <v>1738</v>
      </c>
      <c r="F246" t="s">
        <v>11</v>
      </c>
      <c r="G246">
        <v>1200</v>
      </c>
      <c r="H246" t="s">
        <v>12</v>
      </c>
      <c r="I246" t="s">
        <v>481</v>
      </c>
      <c r="J246" t="s">
        <v>334</v>
      </c>
      <c r="K246" t="s">
        <v>16</v>
      </c>
      <c r="L246" s="9">
        <f>WEEKDAY(Table1_2[[#This Row],[Transaction date]])</f>
        <v>2</v>
      </c>
    </row>
    <row r="247" spans="1:12" x14ac:dyDescent="0.3">
      <c r="A247" t="str">
        <f t="shared" si="3"/>
        <v>07-Jan 2009</v>
      </c>
      <c r="B247" s="10">
        <v>39820</v>
      </c>
      <c r="C247">
        <v>2009</v>
      </c>
      <c r="D247" s="11">
        <v>0.29583333333333334</v>
      </c>
      <c r="E247" t="s">
        <v>1738</v>
      </c>
      <c r="F247" t="s">
        <v>64</v>
      </c>
      <c r="G247">
        <v>3600</v>
      </c>
      <c r="H247" t="s">
        <v>65</v>
      </c>
      <c r="I247" t="s">
        <v>482</v>
      </c>
      <c r="J247" t="s">
        <v>483</v>
      </c>
      <c r="K247" t="s">
        <v>16</v>
      </c>
      <c r="L247" s="9">
        <f>WEEKDAY(Table1_2[[#This Row],[Transaction date]])</f>
        <v>4</v>
      </c>
    </row>
    <row r="248" spans="1:12" x14ac:dyDescent="0.3">
      <c r="A248" t="str">
        <f t="shared" si="3"/>
        <v>23-Jan 2009</v>
      </c>
      <c r="B248" s="10">
        <v>39836</v>
      </c>
      <c r="C248">
        <v>2009</v>
      </c>
      <c r="D248" s="11">
        <v>0.48125000000000001</v>
      </c>
      <c r="E248" t="s">
        <v>1738</v>
      </c>
      <c r="F248" t="s">
        <v>11</v>
      </c>
      <c r="G248">
        <v>1200</v>
      </c>
      <c r="H248" t="s">
        <v>17</v>
      </c>
      <c r="I248" t="s">
        <v>484</v>
      </c>
      <c r="J248" t="s">
        <v>485</v>
      </c>
      <c r="K248" t="s">
        <v>16</v>
      </c>
      <c r="L248" s="9">
        <f>WEEKDAY(Table1_2[[#This Row],[Transaction date]])</f>
        <v>6</v>
      </c>
    </row>
    <row r="249" spans="1:12" x14ac:dyDescent="0.3">
      <c r="A249" t="str">
        <f t="shared" si="3"/>
        <v>03-Jan 2009</v>
      </c>
      <c r="B249" s="10">
        <v>39816</v>
      </c>
      <c r="C249">
        <v>2009</v>
      </c>
      <c r="D249" s="11">
        <v>0.38263888888888886</v>
      </c>
      <c r="E249" t="s">
        <v>1738</v>
      </c>
      <c r="F249" t="s">
        <v>11</v>
      </c>
      <c r="G249">
        <v>1200</v>
      </c>
      <c r="H249" t="s">
        <v>17</v>
      </c>
      <c r="I249" t="s">
        <v>486</v>
      </c>
      <c r="J249" t="s">
        <v>487</v>
      </c>
      <c r="K249" t="s">
        <v>16</v>
      </c>
      <c r="L249" s="9">
        <f>WEEKDAY(Table1_2[[#This Row],[Transaction date]])</f>
        <v>7</v>
      </c>
    </row>
    <row r="250" spans="1:12" x14ac:dyDescent="0.3">
      <c r="A250" t="str">
        <f t="shared" si="3"/>
        <v>11-Jan 2009</v>
      </c>
      <c r="B250" s="10">
        <v>39824</v>
      </c>
      <c r="C250">
        <v>2009</v>
      </c>
      <c r="D250" s="11">
        <v>0.22777777777777777</v>
      </c>
      <c r="E250" t="s">
        <v>1738</v>
      </c>
      <c r="F250" t="s">
        <v>11</v>
      </c>
      <c r="G250">
        <v>1200</v>
      </c>
      <c r="H250" t="s">
        <v>12</v>
      </c>
      <c r="I250" t="s">
        <v>488</v>
      </c>
      <c r="J250" t="s">
        <v>489</v>
      </c>
      <c r="K250" t="s">
        <v>16</v>
      </c>
      <c r="L250" s="9">
        <f>WEEKDAY(Table1_2[[#This Row],[Transaction date]])</f>
        <v>1</v>
      </c>
    </row>
    <row r="251" spans="1:12" x14ac:dyDescent="0.3">
      <c r="A251" t="str">
        <f t="shared" si="3"/>
        <v>29-Jan 2009</v>
      </c>
      <c r="B251" s="10">
        <v>39842</v>
      </c>
      <c r="C251">
        <v>2009</v>
      </c>
      <c r="D251" s="11">
        <v>0.44305555555555554</v>
      </c>
      <c r="E251" t="s">
        <v>1738</v>
      </c>
      <c r="F251" t="s">
        <v>11</v>
      </c>
      <c r="G251">
        <v>1200</v>
      </c>
      <c r="H251" t="s">
        <v>12</v>
      </c>
      <c r="I251" t="s">
        <v>490</v>
      </c>
      <c r="J251" t="s">
        <v>491</v>
      </c>
      <c r="K251" t="s">
        <v>16</v>
      </c>
      <c r="L251" s="9">
        <f>WEEKDAY(Table1_2[[#This Row],[Transaction date]])</f>
        <v>5</v>
      </c>
    </row>
    <row r="252" spans="1:12" x14ac:dyDescent="0.3">
      <c r="A252" t="str">
        <f t="shared" si="3"/>
        <v>08-Jan 2009</v>
      </c>
      <c r="B252" s="10">
        <v>39821</v>
      </c>
      <c r="C252">
        <v>2009</v>
      </c>
      <c r="D252" s="11">
        <v>8.611111111111111E-2</v>
      </c>
      <c r="E252" t="s">
        <v>1738</v>
      </c>
      <c r="F252" t="s">
        <v>11</v>
      </c>
      <c r="G252">
        <v>1200</v>
      </c>
      <c r="H252" t="s">
        <v>65</v>
      </c>
      <c r="I252" t="s">
        <v>492</v>
      </c>
      <c r="J252" t="s">
        <v>493</v>
      </c>
      <c r="K252" t="s">
        <v>16</v>
      </c>
      <c r="L252" s="9">
        <f>WEEKDAY(Table1_2[[#This Row],[Transaction date]])</f>
        <v>5</v>
      </c>
    </row>
    <row r="253" spans="1:12" x14ac:dyDescent="0.3">
      <c r="A253" t="str">
        <f t="shared" si="3"/>
        <v>31-Jan 2009</v>
      </c>
      <c r="B253" s="10">
        <v>39844</v>
      </c>
      <c r="C253">
        <v>2009</v>
      </c>
      <c r="D253" s="11">
        <v>0.40972222222222221</v>
      </c>
      <c r="E253" t="s">
        <v>1738</v>
      </c>
      <c r="F253" t="s">
        <v>11</v>
      </c>
      <c r="G253">
        <v>1200</v>
      </c>
      <c r="H253" t="s">
        <v>12</v>
      </c>
      <c r="I253" t="s">
        <v>494</v>
      </c>
      <c r="J253" t="s">
        <v>495</v>
      </c>
      <c r="K253" t="s">
        <v>16</v>
      </c>
      <c r="L253" s="9">
        <f>WEEKDAY(Table1_2[[#This Row],[Transaction date]])</f>
        <v>7</v>
      </c>
    </row>
    <row r="254" spans="1:12" x14ac:dyDescent="0.3">
      <c r="A254" t="str">
        <f t="shared" si="3"/>
        <v>30-Jan 2009</v>
      </c>
      <c r="B254" s="10">
        <v>39843</v>
      </c>
      <c r="C254">
        <v>2009</v>
      </c>
      <c r="D254" s="11">
        <v>5.0694444444444445E-2</v>
      </c>
      <c r="E254" t="s">
        <v>1738</v>
      </c>
      <c r="F254" t="s">
        <v>11</v>
      </c>
      <c r="G254">
        <v>1200</v>
      </c>
      <c r="H254" t="s">
        <v>12</v>
      </c>
      <c r="I254" t="s">
        <v>281</v>
      </c>
      <c r="J254" t="s">
        <v>496</v>
      </c>
      <c r="K254" t="s">
        <v>16</v>
      </c>
      <c r="L254" s="9">
        <f>WEEKDAY(Table1_2[[#This Row],[Transaction date]])</f>
        <v>6</v>
      </c>
    </row>
    <row r="255" spans="1:12" x14ac:dyDescent="0.3">
      <c r="A255" t="str">
        <f t="shared" si="3"/>
        <v>27-Jan 2009</v>
      </c>
      <c r="B255" s="10">
        <v>39840</v>
      </c>
      <c r="C255">
        <v>2009</v>
      </c>
      <c r="D255" s="11">
        <v>0.2013888888888889</v>
      </c>
      <c r="E255" t="s">
        <v>1738</v>
      </c>
      <c r="F255" t="s">
        <v>11</v>
      </c>
      <c r="G255">
        <v>1200</v>
      </c>
      <c r="H255" t="s">
        <v>12</v>
      </c>
      <c r="I255" t="s">
        <v>497</v>
      </c>
      <c r="J255" t="s">
        <v>498</v>
      </c>
      <c r="K255" t="s">
        <v>16</v>
      </c>
      <c r="L255" s="9">
        <f>WEEKDAY(Table1_2[[#This Row],[Transaction date]])</f>
        <v>3</v>
      </c>
    </row>
    <row r="256" spans="1:12" x14ac:dyDescent="0.3">
      <c r="A256" t="str">
        <f t="shared" si="3"/>
        <v>30-Jan 2009</v>
      </c>
      <c r="B256" s="10">
        <v>39843</v>
      </c>
      <c r="C256">
        <v>2009</v>
      </c>
      <c r="D256" s="11">
        <v>0.32083333333333336</v>
      </c>
      <c r="E256" t="s">
        <v>1738</v>
      </c>
      <c r="F256" t="s">
        <v>11</v>
      </c>
      <c r="G256">
        <v>250</v>
      </c>
      <c r="H256" t="s">
        <v>12</v>
      </c>
      <c r="I256" t="s">
        <v>499</v>
      </c>
      <c r="J256" t="s">
        <v>498</v>
      </c>
      <c r="K256" t="s">
        <v>16</v>
      </c>
      <c r="L256" s="9">
        <f>WEEKDAY(Table1_2[[#This Row],[Transaction date]])</f>
        <v>6</v>
      </c>
    </row>
    <row r="257" spans="1:12" x14ac:dyDescent="0.3">
      <c r="A257" t="str">
        <f t="shared" si="3"/>
        <v>17-Jan 2009</v>
      </c>
      <c r="B257" s="10">
        <v>39830</v>
      </c>
      <c r="C257">
        <v>2009</v>
      </c>
      <c r="D257" s="11">
        <v>0.15833333333333333</v>
      </c>
      <c r="E257" t="s">
        <v>1738</v>
      </c>
      <c r="F257" t="s">
        <v>21</v>
      </c>
      <c r="G257">
        <v>3600</v>
      </c>
      <c r="H257" t="s">
        <v>12</v>
      </c>
      <c r="I257" t="s">
        <v>500</v>
      </c>
      <c r="J257" t="s">
        <v>501</v>
      </c>
      <c r="K257" t="s">
        <v>16</v>
      </c>
      <c r="L257" s="9">
        <f>WEEKDAY(Table1_2[[#This Row],[Transaction date]])</f>
        <v>7</v>
      </c>
    </row>
    <row r="258" spans="1:12" x14ac:dyDescent="0.3">
      <c r="A258" t="str">
        <f t="shared" ref="A258:A321" si="4">TEXT(B258, "dd-mmm") &amp; " " &amp; C258</f>
        <v>30-Jan 2009</v>
      </c>
      <c r="B258" s="10">
        <v>39843</v>
      </c>
      <c r="C258">
        <v>2009</v>
      </c>
      <c r="D258" s="11">
        <v>0.35208333333333336</v>
      </c>
      <c r="E258" t="s">
        <v>1738</v>
      </c>
      <c r="F258" t="s">
        <v>11</v>
      </c>
      <c r="G258">
        <v>1200</v>
      </c>
      <c r="H258" t="s">
        <v>17</v>
      </c>
      <c r="I258" t="s">
        <v>502</v>
      </c>
      <c r="J258" t="s">
        <v>503</v>
      </c>
      <c r="K258" t="s">
        <v>16</v>
      </c>
      <c r="L258" s="9">
        <f>WEEKDAY(Table1_2[[#This Row],[Transaction date]])</f>
        <v>6</v>
      </c>
    </row>
    <row r="259" spans="1:12" x14ac:dyDescent="0.3">
      <c r="A259" t="str">
        <f t="shared" si="4"/>
        <v>27-Jan 2009</v>
      </c>
      <c r="B259" s="10">
        <v>39840</v>
      </c>
      <c r="C259">
        <v>2009</v>
      </c>
      <c r="D259" s="11">
        <v>0.27430555555555558</v>
      </c>
      <c r="E259" t="s">
        <v>1738</v>
      </c>
      <c r="F259" t="s">
        <v>11</v>
      </c>
      <c r="G259">
        <v>1200</v>
      </c>
      <c r="H259" t="s">
        <v>17</v>
      </c>
      <c r="I259" t="s">
        <v>504</v>
      </c>
      <c r="J259" t="s">
        <v>297</v>
      </c>
      <c r="K259" t="s">
        <v>16</v>
      </c>
      <c r="L259" s="9">
        <f>WEEKDAY(Table1_2[[#This Row],[Transaction date]])</f>
        <v>3</v>
      </c>
    </row>
    <row r="260" spans="1:12" x14ac:dyDescent="0.3">
      <c r="A260" t="str">
        <f t="shared" si="4"/>
        <v>21-Jan 2009</v>
      </c>
      <c r="B260" s="10">
        <v>39834</v>
      </c>
      <c r="C260">
        <v>2009</v>
      </c>
      <c r="D260" s="11">
        <v>0.23541666666666666</v>
      </c>
      <c r="E260" t="s">
        <v>1738</v>
      </c>
      <c r="F260" t="s">
        <v>64</v>
      </c>
      <c r="G260">
        <v>1200</v>
      </c>
      <c r="H260" t="s">
        <v>65</v>
      </c>
      <c r="I260" t="s">
        <v>505</v>
      </c>
      <c r="J260" t="s">
        <v>506</v>
      </c>
      <c r="K260" t="s">
        <v>16</v>
      </c>
      <c r="L260" s="9">
        <f>WEEKDAY(Table1_2[[#This Row],[Transaction date]])</f>
        <v>4</v>
      </c>
    </row>
    <row r="261" spans="1:12" x14ac:dyDescent="0.3">
      <c r="A261" t="str">
        <f t="shared" si="4"/>
        <v>20-Jan 2009</v>
      </c>
      <c r="B261" s="10">
        <v>39833</v>
      </c>
      <c r="C261">
        <v>2009</v>
      </c>
      <c r="D261" s="11">
        <v>0.34930555555555554</v>
      </c>
      <c r="E261" t="s">
        <v>1738</v>
      </c>
      <c r="F261" t="s">
        <v>11</v>
      </c>
      <c r="G261">
        <v>1200</v>
      </c>
      <c r="H261" t="s">
        <v>17</v>
      </c>
      <c r="I261" t="s">
        <v>420</v>
      </c>
      <c r="J261" t="s">
        <v>507</v>
      </c>
      <c r="K261" t="s">
        <v>16</v>
      </c>
      <c r="L261" s="9">
        <f>WEEKDAY(Table1_2[[#This Row],[Transaction date]])</f>
        <v>3</v>
      </c>
    </row>
    <row r="262" spans="1:12" x14ac:dyDescent="0.3">
      <c r="A262" t="str">
        <f t="shared" si="4"/>
        <v>11-Jan 2009</v>
      </c>
      <c r="B262" s="10">
        <v>39824</v>
      </c>
      <c r="C262">
        <v>2009</v>
      </c>
      <c r="D262" s="11">
        <v>0.2048611111111111</v>
      </c>
      <c r="E262" t="s">
        <v>1738</v>
      </c>
      <c r="F262" t="s">
        <v>11</v>
      </c>
      <c r="G262">
        <v>1200</v>
      </c>
      <c r="H262" t="s">
        <v>65</v>
      </c>
      <c r="I262" t="s">
        <v>509</v>
      </c>
      <c r="J262" t="s">
        <v>172</v>
      </c>
      <c r="K262" t="s">
        <v>16</v>
      </c>
      <c r="L262" s="9">
        <f>WEEKDAY(Table1_2[[#This Row],[Transaction date]])</f>
        <v>1</v>
      </c>
    </row>
    <row r="263" spans="1:12" x14ac:dyDescent="0.3">
      <c r="A263" t="str">
        <f t="shared" si="4"/>
        <v>23-Jan 2009</v>
      </c>
      <c r="B263" s="10">
        <v>39836</v>
      </c>
      <c r="C263">
        <v>2009</v>
      </c>
      <c r="D263" s="11">
        <v>0.32430555555555557</v>
      </c>
      <c r="E263" t="s">
        <v>1738</v>
      </c>
      <c r="F263" t="s">
        <v>11</v>
      </c>
      <c r="G263">
        <v>1800</v>
      </c>
      <c r="H263" t="s">
        <v>65</v>
      </c>
      <c r="I263" t="s">
        <v>510</v>
      </c>
      <c r="J263" t="s">
        <v>172</v>
      </c>
      <c r="K263" t="s">
        <v>16</v>
      </c>
      <c r="L263" s="9">
        <f>WEEKDAY(Table1_2[[#This Row],[Transaction date]])</f>
        <v>6</v>
      </c>
    </row>
    <row r="264" spans="1:12" x14ac:dyDescent="0.3">
      <c r="A264" t="str">
        <f t="shared" si="4"/>
        <v>21-Jan 2009</v>
      </c>
      <c r="B264" s="10">
        <v>39834</v>
      </c>
      <c r="C264">
        <v>2009</v>
      </c>
      <c r="D264" s="11">
        <v>0.47152777777777777</v>
      </c>
      <c r="E264" t="s">
        <v>1738</v>
      </c>
      <c r="F264" t="s">
        <v>11</v>
      </c>
      <c r="G264">
        <v>1200</v>
      </c>
      <c r="H264" t="s">
        <v>65</v>
      </c>
      <c r="I264" t="s">
        <v>511</v>
      </c>
      <c r="J264" t="s">
        <v>512</v>
      </c>
      <c r="K264" t="s">
        <v>16</v>
      </c>
      <c r="L264" s="9">
        <f>WEEKDAY(Table1_2[[#This Row],[Transaction date]])</f>
        <v>4</v>
      </c>
    </row>
    <row r="265" spans="1:12" x14ac:dyDescent="0.3">
      <c r="A265" t="str">
        <f t="shared" si="4"/>
        <v>11-Jan 2009</v>
      </c>
      <c r="B265" s="10">
        <v>39824</v>
      </c>
      <c r="C265">
        <v>2009</v>
      </c>
      <c r="D265" s="11">
        <v>0.18680555555555556</v>
      </c>
      <c r="E265" t="s">
        <v>1738</v>
      </c>
      <c r="F265" t="s">
        <v>64</v>
      </c>
      <c r="G265">
        <v>7500</v>
      </c>
      <c r="H265" t="s">
        <v>12</v>
      </c>
      <c r="I265" t="s">
        <v>513</v>
      </c>
      <c r="J265" t="s">
        <v>514</v>
      </c>
      <c r="K265" t="s">
        <v>16</v>
      </c>
      <c r="L265" s="9">
        <f>WEEKDAY(Table1_2[[#This Row],[Transaction date]])</f>
        <v>1</v>
      </c>
    </row>
    <row r="266" spans="1:12" x14ac:dyDescent="0.3">
      <c r="A266" t="str">
        <f t="shared" si="4"/>
        <v>11-Jan 2009</v>
      </c>
      <c r="B266" s="10">
        <v>39824</v>
      </c>
      <c r="C266">
        <v>2009</v>
      </c>
      <c r="D266" s="11">
        <v>0.19375000000000001</v>
      </c>
      <c r="E266" t="s">
        <v>1738</v>
      </c>
      <c r="F266" t="s">
        <v>11</v>
      </c>
      <c r="G266">
        <v>1200</v>
      </c>
      <c r="H266" t="s">
        <v>12</v>
      </c>
      <c r="I266" t="s">
        <v>515</v>
      </c>
      <c r="J266" t="s">
        <v>514</v>
      </c>
      <c r="K266" t="s">
        <v>16</v>
      </c>
      <c r="L266" s="9">
        <f>WEEKDAY(Table1_2[[#This Row],[Transaction date]])</f>
        <v>1</v>
      </c>
    </row>
    <row r="267" spans="1:12" x14ac:dyDescent="0.3">
      <c r="A267" t="str">
        <f t="shared" si="4"/>
        <v>17-Jan 2009</v>
      </c>
      <c r="B267" s="10">
        <v>39830</v>
      </c>
      <c r="C267">
        <v>2009</v>
      </c>
      <c r="D267" s="11">
        <v>0.125</v>
      </c>
      <c r="E267" t="s">
        <v>1738</v>
      </c>
      <c r="F267" t="s">
        <v>11</v>
      </c>
      <c r="G267">
        <v>1200</v>
      </c>
      <c r="H267" t="s">
        <v>12</v>
      </c>
      <c r="I267" t="s">
        <v>516</v>
      </c>
      <c r="J267" t="s">
        <v>517</v>
      </c>
      <c r="K267" t="s">
        <v>16</v>
      </c>
      <c r="L267" s="9">
        <f>WEEKDAY(Table1_2[[#This Row],[Transaction date]])</f>
        <v>7</v>
      </c>
    </row>
    <row r="268" spans="1:12" x14ac:dyDescent="0.3">
      <c r="A268" t="str">
        <f t="shared" si="4"/>
        <v>04-Jan 2009</v>
      </c>
      <c r="B268" s="10">
        <v>39817</v>
      </c>
      <c r="C268">
        <v>2009</v>
      </c>
      <c r="D268" s="11">
        <v>8.7499999999999994E-2</v>
      </c>
      <c r="E268" t="s">
        <v>1738</v>
      </c>
      <c r="F268" t="s">
        <v>11</v>
      </c>
      <c r="G268">
        <v>1200</v>
      </c>
      <c r="H268" t="s">
        <v>12</v>
      </c>
      <c r="I268" t="s">
        <v>518</v>
      </c>
      <c r="J268" t="s">
        <v>519</v>
      </c>
      <c r="K268" t="s">
        <v>16</v>
      </c>
      <c r="L268" s="9">
        <f>WEEKDAY(Table1_2[[#This Row],[Transaction date]])</f>
        <v>1</v>
      </c>
    </row>
    <row r="269" spans="1:12" x14ac:dyDescent="0.3">
      <c r="A269" t="str">
        <f t="shared" si="4"/>
        <v>20-Jan 2009</v>
      </c>
      <c r="B269" s="10">
        <v>39833</v>
      </c>
      <c r="C269">
        <v>2009</v>
      </c>
      <c r="D269" s="11">
        <v>0.20902777777777778</v>
      </c>
      <c r="E269" t="s">
        <v>1738</v>
      </c>
      <c r="F269" t="s">
        <v>11</v>
      </c>
      <c r="G269">
        <v>1200</v>
      </c>
      <c r="H269" t="s">
        <v>12</v>
      </c>
      <c r="I269" t="s">
        <v>281</v>
      </c>
      <c r="J269" t="s">
        <v>520</v>
      </c>
      <c r="K269" t="s">
        <v>16</v>
      </c>
      <c r="L269" s="9">
        <f>WEEKDAY(Table1_2[[#This Row],[Transaction date]])</f>
        <v>3</v>
      </c>
    </row>
    <row r="270" spans="1:12" x14ac:dyDescent="0.3">
      <c r="A270" t="str">
        <f t="shared" si="4"/>
        <v>26-Jan 2009</v>
      </c>
      <c r="B270" s="10">
        <v>39839</v>
      </c>
      <c r="C270">
        <v>2009</v>
      </c>
      <c r="D270" s="11">
        <v>0.10902777777777778</v>
      </c>
      <c r="E270" t="s">
        <v>1738</v>
      </c>
      <c r="F270" t="s">
        <v>11</v>
      </c>
      <c r="G270">
        <v>1200</v>
      </c>
      <c r="H270" t="s">
        <v>12</v>
      </c>
      <c r="I270" t="s">
        <v>347</v>
      </c>
      <c r="J270" t="s">
        <v>521</v>
      </c>
      <c r="K270" t="s">
        <v>16</v>
      </c>
      <c r="L270" s="9">
        <f>WEEKDAY(Table1_2[[#This Row],[Transaction date]])</f>
        <v>2</v>
      </c>
    </row>
    <row r="271" spans="1:12" x14ac:dyDescent="0.3">
      <c r="A271" t="str">
        <f t="shared" si="4"/>
        <v>29-Jan 2009</v>
      </c>
      <c r="B271" s="10">
        <v>39842</v>
      </c>
      <c r="C271">
        <v>2009</v>
      </c>
      <c r="D271" s="11">
        <v>6.0416666666666667E-2</v>
      </c>
      <c r="E271" t="s">
        <v>1738</v>
      </c>
      <c r="F271" t="s">
        <v>11</v>
      </c>
      <c r="G271">
        <v>1200</v>
      </c>
      <c r="H271" t="s">
        <v>12</v>
      </c>
      <c r="I271" t="s">
        <v>522</v>
      </c>
      <c r="J271" t="s">
        <v>46</v>
      </c>
      <c r="K271" t="s">
        <v>16</v>
      </c>
      <c r="L271" s="9">
        <f>WEEKDAY(Table1_2[[#This Row],[Transaction date]])</f>
        <v>5</v>
      </c>
    </row>
    <row r="272" spans="1:12" x14ac:dyDescent="0.3">
      <c r="A272" t="str">
        <f t="shared" si="4"/>
        <v>12-Jan 2009</v>
      </c>
      <c r="B272" s="10">
        <v>39825</v>
      </c>
      <c r="C272">
        <v>2009</v>
      </c>
      <c r="D272" s="11">
        <v>0.43958333333333333</v>
      </c>
      <c r="E272" t="s">
        <v>1738</v>
      </c>
      <c r="F272" t="s">
        <v>64</v>
      </c>
      <c r="G272">
        <v>1200</v>
      </c>
      <c r="H272" t="s">
        <v>65</v>
      </c>
      <c r="I272" t="s">
        <v>523</v>
      </c>
      <c r="J272" t="s">
        <v>200</v>
      </c>
      <c r="K272" t="s">
        <v>16</v>
      </c>
      <c r="L272" s="9">
        <f>WEEKDAY(Table1_2[[#This Row],[Transaction date]])</f>
        <v>2</v>
      </c>
    </row>
    <row r="273" spans="1:12" x14ac:dyDescent="0.3">
      <c r="A273" t="str">
        <f t="shared" si="4"/>
        <v>25-Jan 2009</v>
      </c>
      <c r="B273" s="10">
        <v>39838</v>
      </c>
      <c r="C273">
        <v>2009</v>
      </c>
      <c r="D273" s="11">
        <v>0.17430555555555555</v>
      </c>
      <c r="E273" t="s">
        <v>1738</v>
      </c>
      <c r="F273" t="s">
        <v>64</v>
      </c>
      <c r="G273">
        <v>7500</v>
      </c>
      <c r="H273" t="s">
        <v>12</v>
      </c>
      <c r="I273" t="s">
        <v>221</v>
      </c>
      <c r="J273" t="s">
        <v>524</v>
      </c>
      <c r="K273" t="s">
        <v>16</v>
      </c>
      <c r="L273" s="9">
        <f>WEEKDAY(Table1_2[[#This Row],[Transaction date]])</f>
        <v>1</v>
      </c>
    </row>
    <row r="274" spans="1:12" x14ac:dyDescent="0.3">
      <c r="A274" t="str">
        <f t="shared" si="4"/>
        <v>25-Jan 2009</v>
      </c>
      <c r="B274" s="10">
        <v>39838</v>
      </c>
      <c r="C274">
        <v>2009</v>
      </c>
      <c r="D274" s="11">
        <v>0.36388888888888887</v>
      </c>
      <c r="E274" t="s">
        <v>1738</v>
      </c>
      <c r="F274" t="s">
        <v>11</v>
      </c>
      <c r="G274">
        <v>1200</v>
      </c>
      <c r="H274" t="s">
        <v>12</v>
      </c>
      <c r="I274" t="s">
        <v>525</v>
      </c>
      <c r="J274" t="s">
        <v>524</v>
      </c>
      <c r="K274" t="s">
        <v>16</v>
      </c>
      <c r="L274" s="9">
        <f>WEEKDAY(Table1_2[[#This Row],[Transaction date]])</f>
        <v>1</v>
      </c>
    </row>
    <row r="275" spans="1:12" x14ac:dyDescent="0.3">
      <c r="A275" t="str">
        <f t="shared" si="4"/>
        <v>02-Jan 2009</v>
      </c>
      <c r="B275" s="10">
        <v>39815</v>
      </c>
      <c r="C275">
        <v>2009</v>
      </c>
      <c r="D275" s="11">
        <v>0.16458333333333333</v>
      </c>
      <c r="E275" t="s">
        <v>1738</v>
      </c>
      <c r="F275" t="s">
        <v>11</v>
      </c>
      <c r="G275">
        <v>1200</v>
      </c>
      <c r="H275" t="s">
        <v>12</v>
      </c>
      <c r="I275" t="s">
        <v>526</v>
      </c>
      <c r="J275" t="s">
        <v>527</v>
      </c>
      <c r="K275" t="s">
        <v>16</v>
      </c>
      <c r="L275" s="9">
        <f>WEEKDAY(Table1_2[[#This Row],[Transaction date]])</f>
        <v>6</v>
      </c>
    </row>
    <row r="276" spans="1:12" x14ac:dyDescent="0.3">
      <c r="A276" t="str">
        <f t="shared" si="4"/>
        <v>27-Jan 2009</v>
      </c>
      <c r="B276" s="10">
        <v>39840</v>
      </c>
      <c r="C276">
        <v>2009</v>
      </c>
      <c r="D276" s="11">
        <v>0.47291666666666665</v>
      </c>
      <c r="E276" t="s">
        <v>1738</v>
      </c>
      <c r="F276" t="s">
        <v>11</v>
      </c>
      <c r="G276">
        <v>1200</v>
      </c>
      <c r="H276" t="s">
        <v>17</v>
      </c>
      <c r="I276" t="s">
        <v>528</v>
      </c>
      <c r="J276" t="s">
        <v>529</v>
      </c>
      <c r="K276" t="s">
        <v>16</v>
      </c>
      <c r="L276" s="9">
        <f>WEEKDAY(Table1_2[[#This Row],[Transaction date]])</f>
        <v>3</v>
      </c>
    </row>
    <row r="277" spans="1:12" x14ac:dyDescent="0.3">
      <c r="A277" t="str">
        <f t="shared" si="4"/>
        <v>22-Jan 2009</v>
      </c>
      <c r="B277" s="10">
        <v>39835</v>
      </c>
      <c r="C277">
        <v>2009</v>
      </c>
      <c r="D277" s="11">
        <v>0.375</v>
      </c>
      <c r="E277" t="s">
        <v>1738</v>
      </c>
      <c r="F277" t="s">
        <v>11</v>
      </c>
      <c r="G277">
        <v>1200</v>
      </c>
      <c r="H277" t="s">
        <v>12</v>
      </c>
      <c r="I277" t="s">
        <v>530</v>
      </c>
      <c r="J277" t="s">
        <v>531</v>
      </c>
      <c r="K277" t="s">
        <v>16</v>
      </c>
      <c r="L277" s="9">
        <f>WEEKDAY(Table1_2[[#This Row],[Transaction date]])</f>
        <v>5</v>
      </c>
    </row>
    <row r="278" spans="1:12" x14ac:dyDescent="0.3">
      <c r="A278" t="str">
        <f t="shared" si="4"/>
        <v>25-Jan 2009</v>
      </c>
      <c r="B278" s="10">
        <v>39838</v>
      </c>
      <c r="C278">
        <v>2009</v>
      </c>
      <c r="D278" s="11">
        <v>0.54097222222222219</v>
      </c>
      <c r="E278" t="s">
        <v>1739</v>
      </c>
      <c r="F278" t="s">
        <v>11</v>
      </c>
      <c r="G278">
        <v>1200</v>
      </c>
      <c r="H278" t="s">
        <v>12</v>
      </c>
      <c r="I278" t="s">
        <v>532</v>
      </c>
      <c r="J278" t="s">
        <v>533</v>
      </c>
      <c r="K278" t="s">
        <v>16</v>
      </c>
      <c r="L278" s="9">
        <f>WEEKDAY(Table1_2[[#This Row],[Transaction date]])</f>
        <v>1</v>
      </c>
    </row>
    <row r="279" spans="1:12" x14ac:dyDescent="0.3">
      <c r="A279" t="str">
        <f t="shared" si="4"/>
        <v>10-Jan 2009</v>
      </c>
      <c r="B279" s="10">
        <v>39823</v>
      </c>
      <c r="C279">
        <v>2009</v>
      </c>
      <c r="D279" s="11">
        <v>0.31111111111111112</v>
      </c>
      <c r="E279" t="s">
        <v>1738</v>
      </c>
      <c r="F279" t="s">
        <v>21</v>
      </c>
      <c r="G279">
        <v>3600</v>
      </c>
      <c r="H279" t="s">
        <v>12</v>
      </c>
      <c r="I279" t="s">
        <v>534</v>
      </c>
      <c r="J279" t="s">
        <v>440</v>
      </c>
      <c r="K279" t="s">
        <v>16</v>
      </c>
      <c r="L279" s="9">
        <f>WEEKDAY(Table1_2[[#This Row],[Transaction date]])</f>
        <v>7</v>
      </c>
    </row>
    <row r="280" spans="1:12" x14ac:dyDescent="0.3">
      <c r="A280" t="str">
        <f t="shared" si="4"/>
        <v>08-Jan 2009</v>
      </c>
      <c r="B280" s="10">
        <v>39821</v>
      </c>
      <c r="C280">
        <v>2009</v>
      </c>
      <c r="D280" s="11">
        <v>0.50277777777777777</v>
      </c>
      <c r="E280" t="s">
        <v>1739</v>
      </c>
      <c r="F280" t="s">
        <v>11</v>
      </c>
      <c r="G280">
        <v>1200</v>
      </c>
      <c r="H280" t="s">
        <v>12</v>
      </c>
      <c r="I280" t="s">
        <v>69</v>
      </c>
      <c r="J280" t="s">
        <v>535</v>
      </c>
      <c r="K280" t="s">
        <v>16</v>
      </c>
      <c r="L280" s="9">
        <f>WEEKDAY(Table1_2[[#This Row],[Transaction date]])</f>
        <v>5</v>
      </c>
    </row>
    <row r="281" spans="1:12" x14ac:dyDescent="0.3">
      <c r="A281" t="str">
        <f t="shared" si="4"/>
        <v>03-Jan 2009</v>
      </c>
      <c r="B281" s="10">
        <v>39816</v>
      </c>
      <c r="C281">
        <v>2009</v>
      </c>
      <c r="D281" s="11">
        <v>9.3055555555555558E-2</v>
      </c>
      <c r="E281" t="s">
        <v>1738</v>
      </c>
      <c r="F281" t="s">
        <v>11</v>
      </c>
      <c r="G281">
        <v>1200</v>
      </c>
      <c r="H281" t="s">
        <v>12</v>
      </c>
      <c r="I281" t="s">
        <v>536</v>
      </c>
      <c r="J281" t="s">
        <v>537</v>
      </c>
      <c r="K281" t="s">
        <v>16</v>
      </c>
      <c r="L281" s="9">
        <f>WEEKDAY(Table1_2[[#This Row],[Transaction date]])</f>
        <v>7</v>
      </c>
    </row>
    <row r="282" spans="1:12" x14ac:dyDescent="0.3">
      <c r="A282" t="str">
        <f t="shared" si="4"/>
        <v>22-Jan 2009</v>
      </c>
      <c r="B282" s="10">
        <v>39835</v>
      </c>
      <c r="C282">
        <v>2009</v>
      </c>
      <c r="D282" s="11">
        <v>0.52569444444444446</v>
      </c>
      <c r="E282" t="s">
        <v>1739</v>
      </c>
      <c r="F282" t="s">
        <v>21</v>
      </c>
      <c r="G282">
        <v>3600</v>
      </c>
      <c r="H282" t="s">
        <v>65</v>
      </c>
      <c r="I282" t="s">
        <v>419</v>
      </c>
      <c r="J282" t="s">
        <v>538</v>
      </c>
      <c r="K282" t="s">
        <v>16</v>
      </c>
      <c r="L282" s="9">
        <f>WEEKDAY(Table1_2[[#This Row],[Transaction date]])</f>
        <v>5</v>
      </c>
    </row>
    <row r="283" spans="1:12" x14ac:dyDescent="0.3">
      <c r="A283" t="str">
        <f t="shared" si="4"/>
        <v>06-Jan 2009</v>
      </c>
      <c r="B283" s="10">
        <v>39819</v>
      </c>
      <c r="C283">
        <v>2009</v>
      </c>
      <c r="D283" s="11">
        <v>0.40625</v>
      </c>
      <c r="E283" t="s">
        <v>1738</v>
      </c>
      <c r="F283" t="s">
        <v>11</v>
      </c>
      <c r="G283">
        <v>1200</v>
      </c>
      <c r="H283" t="s">
        <v>12</v>
      </c>
      <c r="I283" t="s">
        <v>539</v>
      </c>
      <c r="J283" t="s">
        <v>540</v>
      </c>
      <c r="K283" t="s">
        <v>16</v>
      </c>
      <c r="L283" s="9">
        <f>WEEKDAY(Table1_2[[#This Row],[Transaction date]])</f>
        <v>3</v>
      </c>
    </row>
    <row r="284" spans="1:12" x14ac:dyDescent="0.3">
      <c r="A284" t="str">
        <f t="shared" si="4"/>
        <v>12-Jan 2009</v>
      </c>
      <c r="B284" s="10">
        <v>39825</v>
      </c>
      <c r="C284">
        <v>2009</v>
      </c>
      <c r="D284" s="11">
        <v>0.30763888888888891</v>
      </c>
      <c r="E284" t="s">
        <v>1738</v>
      </c>
      <c r="F284" t="s">
        <v>11</v>
      </c>
      <c r="G284">
        <v>1200</v>
      </c>
      <c r="H284" t="s">
        <v>12</v>
      </c>
      <c r="I284" t="s">
        <v>541</v>
      </c>
      <c r="J284" t="s">
        <v>542</v>
      </c>
      <c r="K284" t="s">
        <v>16</v>
      </c>
      <c r="L284" s="9">
        <f>WEEKDAY(Table1_2[[#This Row],[Transaction date]])</f>
        <v>2</v>
      </c>
    </row>
    <row r="285" spans="1:12" x14ac:dyDescent="0.3">
      <c r="A285" t="str">
        <f t="shared" si="4"/>
        <v>30-Jan 2009</v>
      </c>
      <c r="B285" s="10">
        <v>39843</v>
      </c>
      <c r="C285">
        <v>2009</v>
      </c>
      <c r="D285" s="11">
        <v>0.2</v>
      </c>
      <c r="E285" t="s">
        <v>1738</v>
      </c>
      <c r="F285" t="s">
        <v>11</v>
      </c>
      <c r="G285">
        <v>1200</v>
      </c>
      <c r="H285" t="s">
        <v>12</v>
      </c>
      <c r="I285" t="s">
        <v>543</v>
      </c>
      <c r="J285" t="s">
        <v>544</v>
      </c>
      <c r="K285" t="s">
        <v>16</v>
      </c>
      <c r="L285" s="9">
        <f>WEEKDAY(Table1_2[[#This Row],[Transaction date]])</f>
        <v>6</v>
      </c>
    </row>
    <row r="286" spans="1:12" x14ac:dyDescent="0.3">
      <c r="A286" t="str">
        <f t="shared" si="4"/>
        <v>22-Jan 2009</v>
      </c>
      <c r="B286" s="10">
        <v>39835</v>
      </c>
      <c r="C286">
        <v>2009</v>
      </c>
      <c r="D286" s="11">
        <v>0.18680555555555556</v>
      </c>
      <c r="E286" t="s">
        <v>1738</v>
      </c>
      <c r="F286" t="s">
        <v>11</v>
      </c>
      <c r="G286">
        <v>1200</v>
      </c>
      <c r="H286" t="s">
        <v>12</v>
      </c>
      <c r="I286" t="s">
        <v>545</v>
      </c>
      <c r="J286" t="s">
        <v>546</v>
      </c>
      <c r="K286" t="s">
        <v>16</v>
      </c>
      <c r="L286" s="9">
        <f>WEEKDAY(Table1_2[[#This Row],[Transaction date]])</f>
        <v>5</v>
      </c>
    </row>
    <row r="287" spans="1:12" x14ac:dyDescent="0.3">
      <c r="A287" t="str">
        <f t="shared" si="4"/>
        <v>27-Jan 2009</v>
      </c>
      <c r="B287" s="10">
        <v>39840</v>
      </c>
      <c r="C287">
        <v>2009</v>
      </c>
      <c r="D287" s="11">
        <v>0.26805555555555555</v>
      </c>
      <c r="E287" t="s">
        <v>1738</v>
      </c>
      <c r="F287" t="s">
        <v>11</v>
      </c>
      <c r="G287">
        <v>1200</v>
      </c>
      <c r="H287" t="s">
        <v>17</v>
      </c>
      <c r="I287" t="s">
        <v>453</v>
      </c>
      <c r="J287" t="s">
        <v>547</v>
      </c>
      <c r="K287" t="s">
        <v>16</v>
      </c>
      <c r="L287" s="9">
        <f>WEEKDAY(Table1_2[[#This Row],[Transaction date]])</f>
        <v>3</v>
      </c>
    </row>
    <row r="288" spans="1:12" x14ac:dyDescent="0.3">
      <c r="A288" t="str">
        <f t="shared" si="4"/>
        <v>15-Jan 2009</v>
      </c>
      <c r="B288" s="10">
        <v>39828</v>
      </c>
      <c r="C288">
        <v>2009</v>
      </c>
      <c r="D288" s="11">
        <v>0.42777777777777776</v>
      </c>
      <c r="E288" t="s">
        <v>1738</v>
      </c>
      <c r="F288" t="s">
        <v>64</v>
      </c>
      <c r="G288">
        <v>7500</v>
      </c>
      <c r="H288" t="s">
        <v>12</v>
      </c>
      <c r="I288" t="s">
        <v>548</v>
      </c>
      <c r="J288" t="s">
        <v>549</v>
      </c>
      <c r="K288" t="s">
        <v>16</v>
      </c>
      <c r="L288" s="9">
        <f>WEEKDAY(Table1_2[[#This Row],[Transaction date]])</f>
        <v>5</v>
      </c>
    </row>
    <row r="289" spans="1:12" x14ac:dyDescent="0.3">
      <c r="A289" t="str">
        <f t="shared" si="4"/>
        <v>19-Jan 2009</v>
      </c>
      <c r="B289" s="10">
        <v>39832</v>
      </c>
      <c r="C289">
        <v>2009</v>
      </c>
      <c r="D289" s="11">
        <v>0.28749999999999998</v>
      </c>
      <c r="E289" t="s">
        <v>1738</v>
      </c>
      <c r="F289" t="s">
        <v>11</v>
      </c>
      <c r="G289">
        <v>1200</v>
      </c>
      <c r="H289" t="s">
        <v>65</v>
      </c>
      <c r="I289" t="s">
        <v>550</v>
      </c>
      <c r="J289" t="s">
        <v>551</v>
      </c>
      <c r="K289" t="s">
        <v>16</v>
      </c>
      <c r="L289" s="9">
        <f>WEEKDAY(Table1_2[[#This Row],[Transaction date]])</f>
        <v>2</v>
      </c>
    </row>
    <row r="290" spans="1:12" x14ac:dyDescent="0.3">
      <c r="A290" t="str">
        <f t="shared" si="4"/>
        <v>01-Jan 2009</v>
      </c>
      <c r="B290" s="10">
        <v>39814</v>
      </c>
      <c r="C290">
        <v>2009</v>
      </c>
      <c r="D290" s="11">
        <v>0.2722222222222222</v>
      </c>
      <c r="E290" t="s">
        <v>1738</v>
      </c>
      <c r="F290" t="s">
        <v>11</v>
      </c>
      <c r="G290">
        <v>1200</v>
      </c>
      <c r="H290" t="s">
        <v>65</v>
      </c>
      <c r="I290" t="s">
        <v>235</v>
      </c>
      <c r="J290" t="s">
        <v>552</v>
      </c>
      <c r="K290" t="s">
        <v>16</v>
      </c>
      <c r="L290" s="9">
        <f>WEEKDAY(Table1_2[[#This Row],[Transaction date]])</f>
        <v>5</v>
      </c>
    </row>
    <row r="291" spans="1:12" x14ac:dyDescent="0.3">
      <c r="A291" t="str">
        <f t="shared" si="4"/>
        <v>24-Jan 2009</v>
      </c>
      <c r="B291" s="10">
        <v>39837</v>
      </c>
      <c r="C291">
        <v>2009</v>
      </c>
      <c r="D291" s="11">
        <v>0.25138888888888888</v>
      </c>
      <c r="E291" t="s">
        <v>1738</v>
      </c>
      <c r="F291" t="s">
        <v>11</v>
      </c>
      <c r="G291">
        <v>1200</v>
      </c>
      <c r="H291" t="s">
        <v>12</v>
      </c>
      <c r="I291" t="s">
        <v>298</v>
      </c>
      <c r="J291" t="s">
        <v>553</v>
      </c>
      <c r="K291" t="s">
        <v>16</v>
      </c>
      <c r="L291" s="9">
        <f>WEEKDAY(Table1_2[[#This Row],[Transaction date]])</f>
        <v>7</v>
      </c>
    </row>
    <row r="292" spans="1:12" x14ac:dyDescent="0.3">
      <c r="A292" t="str">
        <f t="shared" si="4"/>
        <v>07-Jan 2009</v>
      </c>
      <c r="B292" s="10">
        <v>39820</v>
      </c>
      <c r="C292">
        <v>2009</v>
      </c>
      <c r="D292" s="11">
        <v>0.35138888888888886</v>
      </c>
      <c r="E292" t="s">
        <v>1738</v>
      </c>
      <c r="F292" t="s">
        <v>11</v>
      </c>
      <c r="G292">
        <v>1200</v>
      </c>
      <c r="H292" t="s">
        <v>12</v>
      </c>
      <c r="I292" t="s">
        <v>554</v>
      </c>
      <c r="J292" t="s">
        <v>544</v>
      </c>
      <c r="K292" t="s">
        <v>16</v>
      </c>
      <c r="L292" s="9">
        <f>WEEKDAY(Table1_2[[#This Row],[Transaction date]])</f>
        <v>4</v>
      </c>
    </row>
    <row r="293" spans="1:12" x14ac:dyDescent="0.3">
      <c r="A293" t="str">
        <f t="shared" si="4"/>
        <v>25-Jan 2009</v>
      </c>
      <c r="B293" s="10">
        <v>39838</v>
      </c>
      <c r="C293">
        <v>2009</v>
      </c>
      <c r="D293" s="11">
        <v>0.17847222222222223</v>
      </c>
      <c r="E293" t="s">
        <v>1738</v>
      </c>
      <c r="F293" t="s">
        <v>11</v>
      </c>
      <c r="G293">
        <v>1200</v>
      </c>
      <c r="H293" t="s">
        <v>65</v>
      </c>
      <c r="I293" t="s">
        <v>555</v>
      </c>
      <c r="J293" t="s">
        <v>556</v>
      </c>
      <c r="K293" t="s">
        <v>16</v>
      </c>
      <c r="L293" s="9">
        <f>WEEKDAY(Table1_2[[#This Row],[Transaction date]])</f>
        <v>1</v>
      </c>
    </row>
    <row r="294" spans="1:12" x14ac:dyDescent="0.3">
      <c r="A294" t="str">
        <f t="shared" si="4"/>
        <v>15-Jan 2009</v>
      </c>
      <c r="B294" s="10">
        <v>39828</v>
      </c>
      <c r="C294">
        <v>2009</v>
      </c>
      <c r="D294" s="11">
        <v>0.44236111111111109</v>
      </c>
      <c r="E294" t="s">
        <v>1738</v>
      </c>
      <c r="F294" t="s">
        <v>11</v>
      </c>
      <c r="G294">
        <v>1200</v>
      </c>
      <c r="H294" t="s">
        <v>12</v>
      </c>
      <c r="I294" t="s">
        <v>557</v>
      </c>
      <c r="J294" t="s">
        <v>558</v>
      </c>
      <c r="K294" t="s">
        <v>16</v>
      </c>
      <c r="L294" s="9">
        <f>WEEKDAY(Table1_2[[#This Row],[Transaction date]])</f>
        <v>5</v>
      </c>
    </row>
    <row r="295" spans="1:12" x14ac:dyDescent="0.3">
      <c r="A295" t="str">
        <f t="shared" si="4"/>
        <v>20-Jan 2009</v>
      </c>
      <c r="B295" s="10">
        <v>39833</v>
      </c>
      <c r="C295">
        <v>2009</v>
      </c>
      <c r="D295" s="11">
        <v>0.14444444444444443</v>
      </c>
      <c r="E295" t="s">
        <v>1738</v>
      </c>
      <c r="F295" t="s">
        <v>11</v>
      </c>
      <c r="G295">
        <v>1200</v>
      </c>
      <c r="H295" t="s">
        <v>12</v>
      </c>
      <c r="I295" t="s">
        <v>560</v>
      </c>
      <c r="J295" t="s">
        <v>487</v>
      </c>
      <c r="K295" t="s">
        <v>16</v>
      </c>
      <c r="L295" s="9">
        <f>WEEKDAY(Table1_2[[#This Row],[Transaction date]])</f>
        <v>3</v>
      </c>
    </row>
    <row r="296" spans="1:12" x14ac:dyDescent="0.3">
      <c r="A296" t="str">
        <f t="shared" si="4"/>
        <v>28-Jan 2009</v>
      </c>
      <c r="B296" s="10">
        <v>39841</v>
      </c>
      <c r="C296">
        <v>2009</v>
      </c>
      <c r="D296" s="11">
        <v>0.25</v>
      </c>
      <c r="E296" t="s">
        <v>1738</v>
      </c>
      <c r="F296" t="s">
        <v>11</v>
      </c>
      <c r="G296">
        <v>13000</v>
      </c>
      <c r="H296" t="s">
        <v>12</v>
      </c>
      <c r="I296" t="s">
        <v>561</v>
      </c>
      <c r="J296" t="s">
        <v>487</v>
      </c>
      <c r="K296" t="s">
        <v>16</v>
      </c>
      <c r="L296" s="9">
        <f>WEEKDAY(Table1_2[[#This Row],[Transaction date]])</f>
        <v>4</v>
      </c>
    </row>
    <row r="297" spans="1:12" x14ac:dyDescent="0.3">
      <c r="A297" t="str">
        <f t="shared" si="4"/>
        <v>29-Jan 2009</v>
      </c>
      <c r="B297" s="10">
        <v>39842</v>
      </c>
      <c r="C297">
        <v>2009</v>
      </c>
      <c r="D297" s="11">
        <v>0.21249999999999999</v>
      </c>
      <c r="E297" t="s">
        <v>1738</v>
      </c>
      <c r="F297" t="s">
        <v>11</v>
      </c>
      <c r="G297">
        <v>1200</v>
      </c>
      <c r="H297" t="s">
        <v>65</v>
      </c>
      <c r="I297" t="s">
        <v>562</v>
      </c>
      <c r="J297" t="s">
        <v>563</v>
      </c>
      <c r="K297" t="s">
        <v>16</v>
      </c>
      <c r="L297" s="9">
        <f>WEEKDAY(Table1_2[[#This Row],[Transaction date]])</f>
        <v>5</v>
      </c>
    </row>
    <row r="298" spans="1:12" x14ac:dyDescent="0.3">
      <c r="A298" t="str">
        <f t="shared" si="4"/>
        <v>06-Jan 2009</v>
      </c>
      <c r="B298" s="10">
        <v>39819</v>
      </c>
      <c r="C298">
        <v>2009</v>
      </c>
      <c r="D298" s="11">
        <v>0.28680555555555554</v>
      </c>
      <c r="E298" t="s">
        <v>1738</v>
      </c>
      <c r="F298" t="s">
        <v>11</v>
      </c>
      <c r="G298">
        <v>1200</v>
      </c>
      <c r="H298" t="s">
        <v>12</v>
      </c>
      <c r="I298" t="s">
        <v>564</v>
      </c>
      <c r="J298" t="s">
        <v>565</v>
      </c>
      <c r="K298" t="s">
        <v>16</v>
      </c>
      <c r="L298" s="9">
        <f>WEEKDAY(Table1_2[[#This Row],[Transaction date]])</f>
        <v>3</v>
      </c>
    </row>
    <row r="299" spans="1:12" x14ac:dyDescent="0.3">
      <c r="A299" t="str">
        <f t="shared" si="4"/>
        <v>21-Jan 2009</v>
      </c>
      <c r="B299" s="10">
        <v>39834</v>
      </c>
      <c r="C299">
        <v>2009</v>
      </c>
      <c r="D299" s="11">
        <v>0.28819444444444442</v>
      </c>
      <c r="E299" t="s">
        <v>1738</v>
      </c>
      <c r="F299" t="s">
        <v>11</v>
      </c>
      <c r="G299">
        <v>1200</v>
      </c>
      <c r="H299" t="s">
        <v>12</v>
      </c>
      <c r="I299" t="s">
        <v>566</v>
      </c>
      <c r="J299" t="s">
        <v>567</v>
      </c>
      <c r="K299" t="s">
        <v>16</v>
      </c>
      <c r="L299" s="9">
        <f>WEEKDAY(Table1_2[[#This Row],[Transaction date]])</f>
        <v>4</v>
      </c>
    </row>
    <row r="300" spans="1:12" x14ac:dyDescent="0.3">
      <c r="A300" t="str">
        <f t="shared" si="4"/>
        <v>25-Jan 2009</v>
      </c>
      <c r="B300" s="10">
        <v>39838</v>
      </c>
      <c r="C300">
        <v>2009</v>
      </c>
      <c r="D300" s="11">
        <v>0.24861111111111112</v>
      </c>
      <c r="E300" t="s">
        <v>1738</v>
      </c>
      <c r="F300" t="s">
        <v>21</v>
      </c>
      <c r="G300">
        <v>3600</v>
      </c>
      <c r="H300" t="s">
        <v>12</v>
      </c>
      <c r="I300" t="s">
        <v>569</v>
      </c>
      <c r="J300" t="s">
        <v>570</v>
      </c>
      <c r="K300" t="s">
        <v>16</v>
      </c>
      <c r="L300" s="9">
        <f>WEEKDAY(Table1_2[[#This Row],[Transaction date]])</f>
        <v>1</v>
      </c>
    </row>
    <row r="301" spans="1:12" x14ac:dyDescent="0.3">
      <c r="A301" t="str">
        <f t="shared" si="4"/>
        <v>09-Jan 2009</v>
      </c>
      <c r="B301" s="10">
        <v>39822</v>
      </c>
      <c r="C301">
        <v>2009</v>
      </c>
      <c r="D301" s="11">
        <v>0.10902777777777778</v>
      </c>
      <c r="E301" t="s">
        <v>1738</v>
      </c>
      <c r="F301" t="s">
        <v>11</v>
      </c>
      <c r="G301">
        <v>1200</v>
      </c>
      <c r="H301" t="s">
        <v>12</v>
      </c>
      <c r="I301" t="s">
        <v>571</v>
      </c>
      <c r="J301" t="s">
        <v>572</v>
      </c>
      <c r="K301" t="s">
        <v>16</v>
      </c>
      <c r="L301" s="9">
        <f>WEEKDAY(Table1_2[[#This Row],[Transaction date]])</f>
        <v>6</v>
      </c>
    </row>
    <row r="302" spans="1:12" x14ac:dyDescent="0.3">
      <c r="A302" t="str">
        <f t="shared" si="4"/>
        <v>26-Jan 2009</v>
      </c>
      <c r="B302" s="10">
        <v>39839</v>
      </c>
      <c r="C302">
        <v>2009</v>
      </c>
      <c r="D302" s="11">
        <v>0.3659722222222222</v>
      </c>
      <c r="E302" t="s">
        <v>1738</v>
      </c>
      <c r="F302" t="s">
        <v>11</v>
      </c>
      <c r="G302">
        <v>1200</v>
      </c>
      <c r="H302" t="s">
        <v>17</v>
      </c>
      <c r="I302" t="s">
        <v>573</v>
      </c>
      <c r="J302" t="s">
        <v>574</v>
      </c>
      <c r="K302" t="s">
        <v>16</v>
      </c>
      <c r="L302" s="9">
        <f>WEEKDAY(Table1_2[[#This Row],[Transaction date]])</f>
        <v>2</v>
      </c>
    </row>
    <row r="303" spans="1:12" x14ac:dyDescent="0.3">
      <c r="A303" t="str">
        <f t="shared" si="4"/>
        <v>18-Jan 2009</v>
      </c>
      <c r="B303" s="10">
        <v>39831</v>
      </c>
      <c r="C303">
        <v>2009</v>
      </c>
      <c r="D303" s="11">
        <v>0.5395833333333333</v>
      </c>
      <c r="E303" t="s">
        <v>1739</v>
      </c>
      <c r="F303" t="s">
        <v>11</v>
      </c>
      <c r="G303">
        <v>1200</v>
      </c>
      <c r="H303" t="s">
        <v>17</v>
      </c>
      <c r="I303" t="s">
        <v>576</v>
      </c>
      <c r="J303" t="s">
        <v>577</v>
      </c>
      <c r="K303" t="s">
        <v>16</v>
      </c>
      <c r="L303" s="9">
        <f>WEEKDAY(Table1_2[[#This Row],[Transaction date]])</f>
        <v>1</v>
      </c>
    </row>
    <row r="304" spans="1:12" x14ac:dyDescent="0.3">
      <c r="A304" t="str">
        <f t="shared" si="4"/>
        <v>24-Jan 2009</v>
      </c>
      <c r="B304" s="10">
        <v>39837</v>
      </c>
      <c r="C304">
        <v>2009</v>
      </c>
      <c r="D304" s="11">
        <v>0.39305555555555555</v>
      </c>
      <c r="E304" t="s">
        <v>1738</v>
      </c>
      <c r="F304" t="s">
        <v>11</v>
      </c>
      <c r="G304">
        <v>1200</v>
      </c>
      <c r="H304" t="s">
        <v>12</v>
      </c>
      <c r="I304" t="s">
        <v>578</v>
      </c>
      <c r="J304" t="s">
        <v>579</v>
      </c>
      <c r="K304" t="s">
        <v>16</v>
      </c>
      <c r="L304" s="9">
        <f>WEEKDAY(Table1_2[[#This Row],[Transaction date]])</f>
        <v>7</v>
      </c>
    </row>
    <row r="305" spans="1:12" x14ac:dyDescent="0.3">
      <c r="A305" t="str">
        <f t="shared" si="4"/>
        <v>26-Jan 2009</v>
      </c>
      <c r="B305" s="10">
        <v>39839</v>
      </c>
      <c r="C305">
        <v>2009</v>
      </c>
      <c r="D305" s="11">
        <v>0.5180555555555556</v>
      </c>
      <c r="E305" t="s">
        <v>1739</v>
      </c>
      <c r="F305" t="s">
        <v>21</v>
      </c>
      <c r="G305">
        <v>3600</v>
      </c>
      <c r="H305" t="s">
        <v>17</v>
      </c>
      <c r="I305" t="s">
        <v>522</v>
      </c>
      <c r="J305" t="s">
        <v>580</v>
      </c>
      <c r="K305" t="s">
        <v>16</v>
      </c>
      <c r="L305" s="9">
        <f>WEEKDAY(Table1_2[[#This Row],[Transaction date]])</f>
        <v>2</v>
      </c>
    </row>
    <row r="306" spans="1:12" x14ac:dyDescent="0.3">
      <c r="A306" t="str">
        <f t="shared" si="4"/>
        <v>05-Jan 2009</v>
      </c>
      <c r="B306" s="10">
        <v>39818</v>
      </c>
      <c r="C306">
        <v>2009</v>
      </c>
      <c r="D306" s="11">
        <v>0.31736111111111109</v>
      </c>
      <c r="E306" t="s">
        <v>1738</v>
      </c>
      <c r="F306" t="s">
        <v>11</v>
      </c>
      <c r="G306">
        <v>1200</v>
      </c>
      <c r="H306" t="s">
        <v>12</v>
      </c>
      <c r="I306" t="s">
        <v>581</v>
      </c>
      <c r="J306" t="s">
        <v>582</v>
      </c>
      <c r="K306" t="s">
        <v>16</v>
      </c>
      <c r="L306" s="9">
        <f>WEEKDAY(Table1_2[[#This Row],[Transaction date]])</f>
        <v>2</v>
      </c>
    </row>
    <row r="307" spans="1:12" x14ac:dyDescent="0.3">
      <c r="A307" t="str">
        <f t="shared" si="4"/>
        <v>18-Jan 2009</v>
      </c>
      <c r="B307" s="10">
        <v>39831</v>
      </c>
      <c r="C307">
        <v>2009</v>
      </c>
      <c r="D307" s="11">
        <v>0.40416666666666667</v>
      </c>
      <c r="E307" t="s">
        <v>1738</v>
      </c>
      <c r="F307" t="s">
        <v>11</v>
      </c>
      <c r="G307">
        <v>1200</v>
      </c>
      <c r="H307" t="s">
        <v>12</v>
      </c>
      <c r="I307" t="s">
        <v>43</v>
      </c>
      <c r="J307" t="s">
        <v>583</v>
      </c>
      <c r="K307" t="s">
        <v>16</v>
      </c>
      <c r="L307" s="9">
        <f>WEEKDAY(Table1_2[[#This Row],[Transaction date]])</f>
        <v>1</v>
      </c>
    </row>
    <row r="308" spans="1:12" x14ac:dyDescent="0.3">
      <c r="A308" t="str">
        <f t="shared" si="4"/>
        <v>09-Jan 2009</v>
      </c>
      <c r="B308" s="10">
        <v>39822</v>
      </c>
      <c r="C308">
        <v>2009</v>
      </c>
      <c r="D308" s="11">
        <v>0.46805555555555556</v>
      </c>
      <c r="E308" t="s">
        <v>1738</v>
      </c>
      <c r="F308" t="s">
        <v>11</v>
      </c>
      <c r="G308">
        <v>1200</v>
      </c>
      <c r="H308" t="s">
        <v>12</v>
      </c>
      <c r="I308" t="s">
        <v>584</v>
      </c>
      <c r="J308" t="s">
        <v>585</v>
      </c>
      <c r="K308" t="s">
        <v>16</v>
      </c>
      <c r="L308" s="9">
        <f>WEEKDAY(Table1_2[[#This Row],[Transaction date]])</f>
        <v>6</v>
      </c>
    </row>
    <row r="309" spans="1:12" x14ac:dyDescent="0.3">
      <c r="A309" t="str">
        <f t="shared" si="4"/>
        <v>07-Jan 2009</v>
      </c>
      <c r="B309" s="10">
        <v>39820</v>
      </c>
      <c r="C309">
        <v>2009</v>
      </c>
      <c r="D309" s="11">
        <v>0.31111111111111112</v>
      </c>
      <c r="E309" t="s">
        <v>1738</v>
      </c>
      <c r="F309" t="s">
        <v>11</v>
      </c>
      <c r="G309">
        <v>1200</v>
      </c>
      <c r="H309" t="s">
        <v>65</v>
      </c>
      <c r="I309" t="s">
        <v>586</v>
      </c>
      <c r="J309" t="s">
        <v>275</v>
      </c>
      <c r="K309" t="s">
        <v>16</v>
      </c>
      <c r="L309" s="9">
        <f>WEEKDAY(Table1_2[[#This Row],[Transaction date]])</f>
        <v>4</v>
      </c>
    </row>
    <row r="310" spans="1:12" x14ac:dyDescent="0.3">
      <c r="A310" t="str">
        <f t="shared" si="4"/>
        <v>30-Jan 2009</v>
      </c>
      <c r="B310" s="10">
        <v>39843</v>
      </c>
      <c r="C310">
        <v>2009</v>
      </c>
      <c r="D310" s="11">
        <v>0.51249999999999996</v>
      </c>
      <c r="E310" t="s">
        <v>1739</v>
      </c>
      <c r="F310" t="s">
        <v>11</v>
      </c>
      <c r="G310">
        <v>1200</v>
      </c>
      <c r="H310" t="s">
        <v>17</v>
      </c>
      <c r="I310" t="s">
        <v>587</v>
      </c>
      <c r="J310" t="s">
        <v>588</v>
      </c>
      <c r="K310" t="s">
        <v>16</v>
      </c>
      <c r="L310" s="9">
        <f>WEEKDAY(Table1_2[[#This Row],[Transaction date]])</f>
        <v>6</v>
      </c>
    </row>
    <row r="311" spans="1:12" x14ac:dyDescent="0.3">
      <c r="A311" t="str">
        <f t="shared" si="4"/>
        <v>06-Jan 2009</v>
      </c>
      <c r="B311" s="10">
        <v>39819</v>
      </c>
      <c r="C311">
        <v>2009</v>
      </c>
      <c r="D311" s="11">
        <v>0.23749999999999999</v>
      </c>
      <c r="E311" t="s">
        <v>1738</v>
      </c>
      <c r="F311" t="s">
        <v>11</v>
      </c>
      <c r="G311">
        <v>1200</v>
      </c>
      <c r="H311" t="s">
        <v>65</v>
      </c>
      <c r="I311" t="s">
        <v>587</v>
      </c>
      <c r="J311" t="s">
        <v>242</v>
      </c>
      <c r="K311" t="s">
        <v>16</v>
      </c>
      <c r="L311" s="9">
        <f>WEEKDAY(Table1_2[[#This Row],[Transaction date]])</f>
        <v>3</v>
      </c>
    </row>
    <row r="312" spans="1:12" x14ac:dyDescent="0.3">
      <c r="A312" t="str">
        <f t="shared" si="4"/>
        <v>19-Jan 2009</v>
      </c>
      <c r="B312" s="10">
        <v>39832</v>
      </c>
      <c r="C312">
        <v>2009</v>
      </c>
      <c r="D312" s="11">
        <v>0.39861111111111114</v>
      </c>
      <c r="E312" t="s">
        <v>1738</v>
      </c>
      <c r="F312" t="s">
        <v>11</v>
      </c>
      <c r="G312">
        <v>1200</v>
      </c>
      <c r="H312" t="s">
        <v>65</v>
      </c>
      <c r="I312" t="s">
        <v>589</v>
      </c>
      <c r="J312" t="s">
        <v>537</v>
      </c>
      <c r="K312" t="s">
        <v>16</v>
      </c>
      <c r="L312" s="9">
        <f>WEEKDAY(Table1_2[[#This Row],[Transaction date]])</f>
        <v>2</v>
      </c>
    </row>
    <row r="313" spans="1:12" x14ac:dyDescent="0.3">
      <c r="A313" t="str">
        <f t="shared" si="4"/>
        <v>09-Jan 2009</v>
      </c>
      <c r="B313" s="10">
        <v>39822</v>
      </c>
      <c r="C313">
        <v>2009</v>
      </c>
      <c r="D313" s="11">
        <v>0.32569444444444445</v>
      </c>
      <c r="E313" t="s">
        <v>1738</v>
      </c>
      <c r="F313" t="s">
        <v>11</v>
      </c>
      <c r="G313">
        <v>1200</v>
      </c>
      <c r="H313" t="s">
        <v>12</v>
      </c>
      <c r="I313" t="s">
        <v>34</v>
      </c>
      <c r="J313" t="s">
        <v>590</v>
      </c>
      <c r="K313" t="s">
        <v>16</v>
      </c>
      <c r="L313" s="9">
        <f>WEEKDAY(Table1_2[[#This Row],[Transaction date]])</f>
        <v>6</v>
      </c>
    </row>
    <row r="314" spans="1:12" x14ac:dyDescent="0.3">
      <c r="A314" t="str">
        <f t="shared" si="4"/>
        <v>14-Jan 2009</v>
      </c>
      <c r="B314" s="10">
        <v>39827</v>
      </c>
      <c r="C314">
        <v>2009</v>
      </c>
      <c r="D314" s="11">
        <v>5.7638888888888892E-2</v>
      </c>
      <c r="E314" t="s">
        <v>1738</v>
      </c>
      <c r="F314" t="s">
        <v>11</v>
      </c>
      <c r="G314">
        <v>1200</v>
      </c>
      <c r="H314" t="s">
        <v>12</v>
      </c>
      <c r="I314" t="s">
        <v>591</v>
      </c>
      <c r="J314" t="s">
        <v>592</v>
      </c>
      <c r="K314" t="s">
        <v>16</v>
      </c>
      <c r="L314" s="9">
        <f>WEEKDAY(Table1_2[[#This Row],[Transaction date]])</f>
        <v>4</v>
      </c>
    </row>
    <row r="315" spans="1:12" x14ac:dyDescent="0.3">
      <c r="A315" t="str">
        <f t="shared" si="4"/>
        <v>07-Jan 2009</v>
      </c>
      <c r="B315" s="10">
        <v>39820</v>
      </c>
      <c r="C315">
        <v>2009</v>
      </c>
      <c r="D315" s="11">
        <v>0.33402777777777776</v>
      </c>
      <c r="E315" t="s">
        <v>1738</v>
      </c>
      <c r="F315" t="s">
        <v>11</v>
      </c>
      <c r="G315">
        <v>1200</v>
      </c>
      <c r="H315" t="s">
        <v>12</v>
      </c>
      <c r="I315" t="s">
        <v>593</v>
      </c>
      <c r="J315" t="s">
        <v>315</v>
      </c>
      <c r="K315" t="s">
        <v>16</v>
      </c>
      <c r="L315" s="9">
        <f>WEEKDAY(Table1_2[[#This Row],[Transaction date]])</f>
        <v>4</v>
      </c>
    </row>
    <row r="316" spans="1:12" x14ac:dyDescent="0.3">
      <c r="A316" t="str">
        <f t="shared" si="4"/>
        <v>20-Jan 2009</v>
      </c>
      <c r="B316" s="10">
        <v>39833</v>
      </c>
      <c r="C316">
        <v>2009</v>
      </c>
      <c r="D316" s="11">
        <v>0.52222222222222225</v>
      </c>
      <c r="E316" t="s">
        <v>1739</v>
      </c>
      <c r="F316" t="s">
        <v>11</v>
      </c>
      <c r="G316">
        <v>1200</v>
      </c>
      <c r="H316" t="s">
        <v>12</v>
      </c>
      <c r="I316" t="s">
        <v>594</v>
      </c>
      <c r="J316" t="s">
        <v>158</v>
      </c>
      <c r="K316" t="s">
        <v>16</v>
      </c>
      <c r="L316" s="9">
        <f>WEEKDAY(Table1_2[[#This Row],[Transaction date]])</f>
        <v>3</v>
      </c>
    </row>
    <row r="317" spans="1:12" x14ac:dyDescent="0.3">
      <c r="A317" t="str">
        <f t="shared" si="4"/>
        <v>06-Jan 2009</v>
      </c>
      <c r="B317" s="10">
        <v>39819</v>
      </c>
      <c r="C317">
        <v>2009</v>
      </c>
      <c r="D317" s="11">
        <v>0.1076388888888889</v>
      </c>
      <c r="E317" t="s">
        <v>1738</v>
      </c>
      <c r="F317" t="s">
        <v>11</v>
      </c>
      <c r="G317">
        <v>1200</v>
      </c>
      <c r="H317" t="s">
        <v>12</v>
      </c>
      <c r="I317" t="s">
        <v>595</v>
      </c>
      <c r="J317" t="s">
        <v>537</v>
      </c>
      <c r="K317" t="s">
        <v>16</v>
      </c>
      <c r="L317" s="9">
        <f>WEEKDAY(Table1_2[[#This Row],[Transaction date]])</f>
        <v>3</v>
      </c>
    </row>
    <row r="318" spans="1:12" x14ac:dyDescent="0.3">
      <c r="A318" t="str">
        <f t="shared" si="4"/>
        <v>05-Jan 2009</v>
      </c>
      <c r="B318" s="10">
        <v>39818</v>
      </c>
      <c r="C318">
        <v>2009</v>
      </c>
      <c r="D318" s="11">
        <v>0.41805555555555557</v>
      </c>
      <c r="E318" t="s">
        <v>1738</v>
      </c>
      <c r="F318" t="s">
        <v>21</v>
      </c>
      <c r="G318">
        <v>3600</v>
      </c>
      <c r="H318" t="s">
        <v>12</v>
      </c>
      <c r="I318" t="s">
        <v>596</v>
      </c>
      <c r="J318" t="s">
        <v>597</v>
      </c>
      <c r="K318" t="s">
        <v>16</v>
      </c>
      <c r="L318" s="9">
        <f>WEEKDAY(Table1_2[[#This Row],[Transaction date]])</f>
        <v>2</v>
      </c>
    </row>
    <row r="319" spans="1:12" x14ac:dyDescent="0.3">
      <c r="A319" t="str">
        <f t="shared" si="4"/>
        <v>21-Jan 2009</v>
      </c>
      <c r="B319" s="10">
        <v>39834</v>
      </c>
      <c r="C319">
        <v>2009</v>
      </c>
      <c r="D319" s="11">
        <v>0.36388888888888887</v>
      </c>
      <c r="E319" t="s">
        <v>1738</v>
      </c>
      <c r="F319" t="s">
        <v>11</v>
      </c>
      <c r="G319">
        <v>1200</v>
      </c>
      <c r="H319" t="s">
        <v>17</v>
      </c>
      <c r="I319" t="s">
        <v>598</v>
      </c>
      <c r="J319" t="s">
        <v>599</v>
      </c>
      <c r="K319" t="s">
        <v>16</v>
      </c>
      <c r="L319" s="9">
        <f>WEEKDAY(Table1_2[[#This Row],[Transaction date]])</f>
        <v>4</v>
      </c>
    </row>
    <row r="320" spans="1:12" x14ac:dyDescent="0.3">
      <c r="A320" t="str">
        <f t="shared" si="4"/>
        <v>05-Jan 2009</v>
      </c>
      <c r="B320" s="10">
        <v>39818</v>
      </c>
      <c r="C320">
        <v>2009</v>
      </c>
      <c r="D320" s="11">
        <v>0.38124999999999998</v>
      </c>
      <c r="E320" t="s">
        <v>1738</v>
      </c>
      <c r="F320" t="s">
        <v>11</v>
      </c>
      <c r="G320">
        <v>1200</v>
      </c>
      <c r="H320" t="s">
        <v>12</v>
      </c>
      <c r="I320" t="s">
        <v>488</v>
      </c>
      <c r="J320" t="s">
        <v>600</v>
      </c>
      <c r="K320" t="s">
        <v>16</v>
      </c>
      <c r="L320" s="9">
        <f>WEEKDAY(Table1_2[[#This Row],[Transaction date]])</f>
        <v>2</v>
      </c>
    </row>
    <row r="321" spans="1:12" x14ac:dyDescent="0.3">
      <c r="A321" t="str">
        <f t="shared" si="4"/>
        <v>27-Jan 2009</v>
      </c>
      <c r="B321" s="10">
        <v>39840</v>
      </c>
      <c r="C321">
        <v>2009</v>
      </c>
      <c r="D321" s="11">
        <v>0.47083333333333333</v>
      </c>
      <c r="E321" t="s">
        <v>1738</v>
      </c>
      <c r="F321" t="s">
        <v>21</v>
      </c>
      <c r="G321">
        <v>3600</v>
      </c>
      <c r="H321" t="s">
        <v>65</v>
      </c>
      <c r="I321" t="s">
        <v>601</v>
      </c>
      <c r="J321" t="s">
        <v>166</v>
      </c>
      <c r="K321" t="s">
        <v>16</v>
      </c>
      <c r="L321" s="9">
        <f>WEEKDAY(Table1_2[[#This Row],[Transaction date]])</f>
        <v>3</v>
      </c>
    </row>
    <row r="322" spans="1:12" x14ac:dyDescent="0.3">
      <c r="A322" t="str">
        <f t="shared" ref="A322:A385" si="5">TEXT(B322, "dd-mmm") &amp; " " &amp; C322</f>
        <v>30-Jan 2009</v>
      </c>
      <c r="B322" s="10">
        <v>39843</v>
      </c>
      <c r="C322">
        <v>2009</v>
      </c>
      <c r="D322" s="11">
        <v>0.28333333333333333</v>
      </c>
      <c r="E322" t="s">
        <v>1738</v>
      </c>
      <c r="F322" t="s">
        <v>11</v>
      </c>
      <c r="G322">
        <v>1200</v>
      </c>
      <c r="H322" t="s">
        <v>17</v>
      </c>
      <c r="I322" t="s">
        <v>83</v>
      </c>
      <c r="J322" t="s">
        <v>365</v>
      </c>
      <c r="K322" t="s">
        <v>16</v>
      </c>
      <c r="L322" s="9">
        <f>WEEKDAY(Table1_2[[#This Row],[Transaction date]])</f>
        <v>6</v>
      </c>
    </row>
    <row r="323" spans="1:12" x14ac:dyDescent="0.3">
      <c r="A323" t="str">
        <f t="shared" si="5"/>
        <v>22-Jan 2009</v>
      </c>
      <c r="B323" s="10">
        <v>39835</v>
      </c>
      <c r="C323">
        <v>2009</v>
      </c>
      <c r="D323" s="11">
        <v>0.25486111111111109</v>
      </c>
      <c r="E323" t="s">
        <v>1738</v>
      </c>
      <c r="F323" t="s">
        <v>11</v>
      </c>
      <c r="G323">
        <v>1200</v>
      </c>
      <c r="H323" t="s">
        <v>12</v>
      </c>
      <c r="I323" t="s">
        <v>602</v>
      </c>
      <c r="J323" t="s">
        <v>603</v>
      </c>
      <c r="K323" t="s">
        <v>16</v>
      </c>
      <c r="L323" s="9">
        <f>WEEKDAY(Table1_2[[#This Row],[Transaction date]])</f>
        <v>5</v>
      </c>
    </row>
    <row r="324" spans="1:12" x14ac:dyDescent="0.3">
      <c r="A324" t="str">
        <f t="shared" si="5"/>
        <v>19-Jan 2009</v>
      </c>
      <c r="B324" s="10">
        <v>39832</v>
      </c>
      <c r="C324">
        <v>2009</v>
      </c>
      <c r="D324" s="11">
        <v>0.46180555555555558</v>
      </c>
      <c r="E324" t="s">
        <v>1738</v>
      </c>
      <c r="F324" t="s">
        <v>11</v>
      </c>
      <c r="G324">
        <v>1200</v>
      </c>
      <c r="H324" t="s">
        <v>12</v>
      </c>
      <c r="I324" t="s">
        <v>605</v>
      </c>
      <c r="J324" t="s">
        <v>606</v>
      </c>
      <c r="K324" t="s">
        <v>16</v>
      </c>
      <c r="L324" s="9">
        <f>WEEKDAY(Table1_2[[#This Row],[Transaction date]])</f>
        <v>2</v>
      </c>
    </row>
    <row r="325" spans="1:12" x14ac:dyDescent="0.3">
      <c r="A325" t="str">
        <f t="shared" si="5"/>
        <v>29-Jan 2009</v>
      </c>
      <c r="B325" s="10">
        <v>39842</v>
      </c>
      <c r="C325">
        <v>2009</v>
      </c>
      <c r="D325" s="11">
        <v>7.013888888888889E-2</v>
      </c>
      <c r="E325" t="s">
        <v>1738</v>
      </c>
      <c r="F325" t="s">
        <v>11</v>
      </c>
      <c r="G325">
        <v>1200</v>
      </c>
      <c r="H325" t="s">
        <v>12</v>
      </c>
      <c r="I325" t="s">
        <v>607</v>
      </c>
      <c r="J325" t="s">
        <v>440</v>
      </c>
      <c r="K325" t="s">
        <v>16</v>
      </c>
      <c r="L325" s="9">
        <f>WEEKDAY(Table1_2[[#This Row],[Transaction date]])</f>
        <v>5</v>
      </c>
    </row>
    <row r="326" spans="1:12" x14ac:dyDescent="0.3">
      <c r="A326" t="str">
        <f t="shared" si="5"/>
        <v>16-Jan 2009</v>
      </c>
      <c r="B326" s="10">
        <v>39829</v>
      </c>
      <c r="C326">
        <v>2009</v>
      </c>
      <c r="D326" s="11">
        <v>0.3527777777777778</v>
      </c>
      <c r="E326" t="s">
        <v>1738</v>
      </c>
      <c r="F326" t="s">
        <v>11</v>
      </c>
      <c r="G326">
        <v>1200</v>
      </c>
      <c r="H326" t="s">
        <v>12</v>
      </c>
      <c r="I326" t="s">
        <v>608</v>
      </c>
      <c r="J326" t="s">
        <v>609</v>
      </c>
      <c r="K326" t="s">
        <v>16</v>
      </c>
      <c r="L326" s="9">
        <f>WEEKDAY(Table1_2[[#This Row],[Transaction date]])</f>
        <v>6</v>
      </c>
    </row>
    <row r="327" spans="1:12" x14ac:dyDescent="0.3">
      <c r="A327" t="str">
        <f t="shared" si="5"/>
        <v>26-Jan 2009</v>
      </c>
      <c r="B327" s="10">
        <v>39839</v>
      </c>
      <c r="C327">
        <v>2009</v>
      </c>
      <c r="D327" s="11">
        <v>0.29930555555555555</v>
      </c>
      <c r="E327" t="s">
        <v>1738</v>
      </c>
      <c r="F327" t="s">
        <v>11</v>
      </c>
      <c r="G327">
        <v>1200</v>
      </c>
      <c r="H327" t="s">
        <v>12</v>
      </c>
      <c r="I327" t="s">
        <v>610</v>
      </c>
      <c r="J327" t="s">
        <v>405</v>
      </c>
      <c r="K327" t="s">
        <v>16</v>
      </c>
      <c r="L327" s="9">
        <f>WEEKDAY(Table1_2[[#This Row],[Transaction date]])</f>
        <v>2</v>
      </c>
    </row>
    <row r="328" spans="1:12" x14ac:dyDescent="0.3">
      <c r="A328" t="str">
        <f t="shared" si="5"/>
        <v>31-Jan 2009</v>
      </c>
      <c r="B328" s="10">
        <v>39844</v>
      </c>
      <c r="C328">
        <v>2009</v>
      </c>
      <c r="D328" s="11">
        <v>0.23541666666666666</v>
      </c>
      <c r="E328" t="s">
        <v>1738</v>
      </c>
      <c r="F328" t="s">
        <v>21</v>
      </c>
      <c r="G328">
        <v>3600</v>
      </c>
      <c r="H328" t="s">
        <v>17</v>
      </c>
      <c r="I328" t="s">
        <v>611</v>
      </c>
      <c r="J328" t="s">
        <v>70</v>
      </c>
      <c r="K328" t="s">
        <v>16</v>
      </c>
      <c r="L328" s="9">
        <f>WEEKDAY(Table1_2[[#This Row],[Transaction date]])</f>
        <v>7</v>
      </c>
    </row>
    <row r="329" spans="1:12" x14ac:dyDescent="0.3">
      <c r="A329" t="str">
        <f t="shared" si="5"/>
        <v>26-Jan 2009</v>
      </c>
      <c r="B329" s="10">
        <v>39839</v>
      </c>
      <c r="C329">
        <v>2009</v>
      </c>
      <c r="D329" s="11">
        <v>0.36458333333333331</v>
      </c>
      <c r="E329" t="s">
        <v>1738</v>
      </c>
      <c r="F329" t="s">
        <v>11</v>
      </c>
      <c r="G329">
        <v>1200</v>
      </c>
      <c r="H329" t="s">
        <v>12</v>
      </c>
      <c r="I329" t="s">
        <v>612</v>
      </c>
      <c r="J329" t="s">
        <v>613</v>
      </c>
      <c r="K329" t="s">
        <v>16</v>
      </c>
      <c r="L329" s="9">
        <f>WEEKDAY(Table1_2[[#This Row],[Transaction date]])</f>
        <v>2</v>
      </c>
    </row>
    <row r="330" spans="1:12" x14ac:dyDescent="0.3">
      <c r="A330" t="str">
        <f t="shared" si="5"/>
        <v>23-Jan 2009</v>
      </c>
      <c r="B330" s="10">
        <v>39836</v>
      </c>
      <c r="C330">
        <v>2009</v>
      </c>
      <c r="D330" s="11">
        <v>0.44791666666666669</v>
      </c>
      <c r="E330" t="s">
        <v>1738</v>
      </c>
      <c r="F330" t="s">
        <v>11</v>
      </c>
      <c r="G330">
        <v>1200</v>
      </c>
      <c r="H330" t="s">
        <v>12</v>
      </c>
      <c r="I330" t="s">
        <v>541</v>
      </c>
      <c r="J330" t="s">
        <v>614</v>
      </c>
      <c r="K330" t="s">
        <v>16</v>
      </c>
      <c r="L330" s="9">
        <f>WEEKDAY(Table1_2[[#This Row],[Transaction date]])</f>
        <v>6</v>
      </c>
    </row>
    <row r="331" spans="1:12" x14ac:dyDescent="0.3">
      <c r="A331" t="str">
        <f t="shared" si="5"/>
        <v>28-Jan 2009</v>
      </c>
      <c r="B331" s="10">
        <v>39841</v>
      </c>
      <c r="C331">
        <v>2009</v>
      </c>
      <c r="D331" s="11">
        <v>0.36805555555555558</v>
      </c>
      <c r="E331" t="s">
        <v>1738</v>
      </c>
      <c r="F331" t="s">
        <v>11</v>
      </c>
      <c r="G331">
        <v>1200</v>
      </c>
      <c r="H331" t="s">
        <v>12</v>
      </c>
      <c r="I331" t="s">
        <v>615</v>
      </c>
      <c r="J331" t="s">
        <v>616</v>
      </c>
      <c r="K331" t="s">
        <v>16</v>
      </c>
      <c r="L331" s="9">
        <f>WEEKDAY(Table1_2[[#This Row],[Transaction date]])</f>
        <v>4</v>
      </c>
    </row>
    <row r="332" spans="1:12" x14ac:dyDescent="0.3">
      <c r="A332" t="str">
        <f t="shared" si="5"/>
        <v>15-Jan 2009</v>
      </c>
      <c r="B332" s="10">
        <v>39828</v>
      </c>
      <c r="C332">
        <v>2009</v>
      </c>
      <c r="D332" s="11">
        <v>0.2986111111111111</v>
      </c>
      <c r="E332" t="s">
        <v>1738</v>
      </c>
      <c r="F332" t="s">
        <v>21</v>
      </c>
      <c r="G332">
        <v>3600</v>
      </c>
      <c r="H332" t="s">
        <v>12</v>
      </c>
      <c r="I332" t="s">
        <v>191</v>
      </c>
      <c r="J332" t="s">
        <v>617</v>
      </c>
      <c r="K332" t="s">
        <v>16</v>
      </c>
      <c r="L332" s="9">
        <f>WEEKDAY(Table1_2[[#This Row],[Transaction date]])</f>
        <v>5</v>
      </c>
    </row>
    <row r="333" spans="1:12" x14ac:dyDescent="0.3">
      <c r="A333" t="str">
        <f t="shared" si="5"/>
        <v>11-Jan 2009</v>
      </c>
      <c r="B333" s="10">
        <v>39824</v>
      </c>
      <c r="C333">
        <v>2009</v>
      </c>
      <c r="D333" s="11">
        <v>0.25624999999999998</v>
      </c>
      <c r="E333" t="s">
        <v>1738</v>
      </c>
      <c r="F333" t="s">
        <v>11</v>
      </c>
      <c r="G333">
        <v>1200</v>
      </c>
      <c r="H333" t="s">
        <v>65</v>
      </c>
      <c r="I333" t="s">
        <v>618</v>
      </c>
      <c r="J333" t="s">
        <v>619</v>
      </c>
      <c r="K333" t="s">
        <v>16</v>
      </c>
      <c r="L333" s="9">
        <f>WEEKDAY(Table1_2[[#This Row],[Transaction date]])</f>
        <v>1</v>
      </c>
    </row>
    <row r="334" spans="1:12" x14ac:dyDescent="0.3">
      <c r="A334" t="str">
        <f t="shared" si="5"/>
        <v>05-Jan 2009</v>
      </c>
      <c r="B334" s="10">
        <v>39818</v>
      </c>
      <c r="C334">
        <v>2009</v>
      </c>
      <c r="D334" s="11">
        <v>0.28819444444444442</v>
      </c>
      <c r="E334" t="s">
        <v>1738</v>
      </c>
      <c r="F334" t="s">
        <v>11</v>
      </c>
      <c r="G334">
        <v>1200</v>
      </c>
      <c r="H334" t="s">
        <v>12</v>
      </c>
      <c r="I334" t="s">
        <v>83</v>
      </c>
      <c r="J334" t="s">
        <v>620</v>
      </c>
      <c r="K334" t="s">
        <v>16</v>
      </c>
      <c r="L334" s="9">
        <f>WEEKDAY(Table1_2[[#This Row],[Transaction date]])</f>
        <v>2</v>
      </c>
    </row>
    <row r="335" spans="1:12" x14ac:dyDescent="0.3">
      <c r="A335" t="str">
        <f t="shared" si="5"/>
        <v>02-Jan 2009</v>
      </c>
      <c r="B335" s="10">
        <v>39815</v>
      </c>
      <c r="C335">
        <v>2009</v>
      </c>
      <c r="D335" s="11">
        <v>0.28749999999999998</v>
      </c>
      <c r="E335" t="s">
        <v>1738</v>
      </c>
      <c r="F335" t="s">
        <v>11</v>
      </c>
      <c r="G335">
        <v>1200</v>
      </c>
      <c r="H335" t="s">
        <v>17</v>
      </c>
      <c r="I335" t="s">
        <v>66</v>
      </c>
      <c r="J335" t="s">
        <v>621</v>
      </c>
      <c r="K335" t="s">
        <v>16</v>
      </c>
      <c r="L335" s="9">
        <f>WEEKDAY(Table1_2[[#This Row],[Transaction date]])</f>
        <v>6</v>
      </c>
    </row>
    <row r="336" spans="1:12" x14ac:dyDescent="0.3">
      <c r="A336" t="str">
        <f t="shared" si="5"/>
        <v>22-Jan 2009</v>
      </c>
      <c r="B336" s="10">
        <v>39835</v>
      </c>
      <c r="C336">
        <v>2009</v>
      </c>
      <c r="D336" s="11">
        <v>0.28541666666666665</v>
      </c>
      <c r="E336" t="s">
        <v>1738</v>
      </c>
      <c r="F336" t="s">
        <v>11</v>
      </c>
      <c r="G336">
        <v>1200</v>
      </c>
      <c r="H336" t="s">
        <v>12</v>
      </c>
      <c r="I336" t="s">
        <v>189</v>
      </c>
      <c r="J336" t="s">
        <v>590</v>
      </c>
      <c r="K336" t="s">
        <v>16</v>
      </c>
      <c r="L336" s="9">
        <f>WEEKDAY(Table1_2[[#This Row],[Transaction date]])</f>
        <v>5</v>
      </c>
    </row>
    <row r="337" spans="1:12" x14ac:dyDescent="0.3">
      <c r="A337" t="str">
        <f t="shared" si="5"/>
        <v>10-Jan 2009</v>
      </c>
      <c r="B337" s="10">
        <v>39823</v>
      </c>
      <c r="C337">
        <v>2009</v>
      </c>
      <c r="D337" s="11">
        <v>0.12430555555555556</v>
      </c>
      <c r="E337" t="s">
        <v>1738</v>
      </c>
      <c r="F337" t="s">
        <v>11</v>
      </c>
      <c r="G337">
        <v>1200</v>
      </c>
      <c r="H337" t="s">
        <v>65</v>
      </c>
      <c r="I337" t="s">
        <v>622</v>
      </c>
      <c r="J337" t="s">
        <v>623</v>
      </c>
      <c r="K337" t="s">
        <v>16</v>
      </c>
      <c r="L337" s="9">
        <f>WEEKDAY(Table1_2[[#This Row],[Transaction date]])</f>
        <v>7</v>
      </c>
    </row>
    <row r="338" spans="1:12" x14ac:dyDescent="0.3">
      <c r="A338" t="str">
        <f t="shared" si="5"/>
        <v>26-Jan 2009</v>
      </c>
      <c r="B338" s="10">
        <v>39839</v>
      </c>
      <c r="C338">
        <v>2009</v>
      </c>
      <c r="D338" s="11">
        <v>0.15416666666666667</v>
      </c>
      <c r="E338" t="s">
        <v>1738</v>
      </c>
      <c r="F338" t="s">
        <v>11</v>
      </c>
      <c r="G338">
        <v>1200</v>
      </c>
      <c r="H338" t="s">
        <v>12</v>
      </c>
      <c r="I338" t="s">
        <v>250</v>
      </c>
      <c r="J338" t="s">
        <v>624</v>
      </c>
      <c r="K338" t="s">
        <v>16</v>
      </c>
      <c r="L338" s="9">
        <f>WEEKDAY(Table1_2[[#This Row],[Transaction date]])</f>
        <v>2</v>
      </c>
    </row>
    <row r="339" spans="1:12" x14ac:dyDescent="0.3">
      <c r="A339" t="str">
        <f t="shared" si="5"/>
        <v>19-Jan 2009</v>
      </c>
      <c r="B339" s="10">
        <v>39832</v>
      </c>
      <c r="C339">
        <v>2009</v>
      </c>
      <c r="D339" s="11">
        <v>0.32569444444444445</v>
      </c>
      <c r="E339" t="s">
        <v>1738</v>
      </c>
      <c r="F339" t="s">
        <v>11</v>
      </c>
      <c r="G339">
        <v>1200</v>
      </c>
      <c r="H339" t="s">
        <v>65</v>
      </c>
      <c r="I339" t="s">
        <v>625</v>
      </c>
      <c r="J339" t="s">
        <v>626</v>
      </c>
      <c r="K339" t="s">
        <v>16</v>
      </c>
      <c r="L339" s="9">
        <f>WEEKDAY(Table1_2[[#This Row],[Transaction date]])</f>
        <v>2</v>
      </c>
    </row>
    <row r="340" spans="1:12" x14ac:dyDescent="0.3">
      <c r="A340" t="str">
        <f t="shared" si="5"/>
        <v>06-Jan 2009</v>
      </c>
      <c r="B340" s="10">
        <v>39819</v>
      </c>
      <c r="C340">
        <v>2009</v>
      </c>
      <c r="D340" s="11">
        <v>0.44027777777777777</v>
      </c>
      <c r="E340" t="s">
        <v>1738</v>
      </c>
      <c r="F340" t="s">
        <v>11</v>
      </c>
      <c r="G340">
        <v>1200</v>
      </c>
      <c r="H340" t="s">
        <v>17</v>
      </c>
      <c r="I340" t="s">
        <v>434</v>
      </c>
      <c r="J340" t="s">
        <v>35</v>
      </c>
      <c r="K340" t="s">
        <v>16</v>
      </c>
      <c r="L340" s="9">
        <f>WEEKDAY(Table1_2[[#This Row],[Transaction date]])</f>
        <v>3</v>
      </c>
    </row>
    <row r="341" spans="1:12" x14ac:dyDescent="0.3">
      <c r="A341" t="str">
        <f t="shared" si="5"/>
        <v>14-Jan 2009</v>
      </c>
      <c r="B341" s="10">
        <v>39827</v>
      </c>
      <c r="C341">
        <v>2009</v>
      </c>
      <c r="D341" s="11">
        <v>0.16805555555555557</v>
      </c>
      <c r="E341" t="s">
        <v>1738</v>
      </c>
      <c r="F341" t="s">
        <v>11</v>
      </c>
      <c r="G341">
        <v>1200</v>
      </c>
      <c r="H341" t="s">
        <v>17</v>
      </c>
      <c r="I341" t="s">
        <v>627</v>
      </c>
      <c r="J341" t="s">
        <v>628</v>
      </c>
      <c r="K341" t="s">
        <v>16</v>
      </c>
      <c r="L341" s="9">
        <f>WEEKDAY(Table1_2[[#This Row],[Transaction date]])</f>
        <v>4</v>
      </c>
    </row>
    <row r="342" spans="1:12" x14ac:dyDescent="0.3">
      <c r="A342" t="str">
        <f t="shared" si="5"/>
        <v>14-Jan 2009</v>
      </c>
      <c r="B342" s="10">
        <v>39827</v>
      </c>
      <c r="C342">
        <v>2009</v>
      </c>
      <c r="D342" s="11">
        <v>0.25347222222222221</v>
      </c>
      <c r="E342" t="s">
        <v>1738</v>
      </c>
      <c r="F342" t="s">
        <v>11</v>
      </c>
      <c r="G342">
        <v>1200</v>
      </c>
      <c r="H342" t="s">
        <v>12</v>
      </c>
      <c r="I342" t="s">
        <v>629</v>
      </c>
      <c r="J342" t="s">
        <v>275</v>
      </c>
      <c r="K342" t="s">
        <v>16</v>
      </c>
      <c r="L342" s="9">
        <f>WEEKDAY(Table1_2[[#This Row],[Transaction date]])</f>
        <v>4</v>
      </c>
    </row>
    <row r="343" spans="1:12" x14ac:dyDescent="0.3">
      <c r="A343" t="str">
        <f t="shared" si="5"/>
        <v>08-Jan 2009</v>
      </c>
      <c r="B343" s="10">
        <v>39821</v>
      </c>
      <c r="C343">
        <v>2009</v>
      </c>
      <c r="D343" s="11">
        <v>0.36944444444444446</v>
      </c>
      <c r="E343" t="s">
        <v>1738</v>
      </c>
      <c r="F343" t="s">
        <v>11</v>
      </c>
      <c r="G343">
        <v>1200</v>
      </c>
      <c r="H343" t="s">
        <v>12</v>
      </c>
      <c r="I343" t="s">
        <v>630</v>
      </c>
      <c r="J343" t="s">
        <v>631</v>
      </c>
      <c r="K343" t="s">
        <v>16</v>
      </c>
      <c r="L343" s="9">
        <f>WEEKDAY(Table1_2[[#This Row],[Transaction date]])</f>
        <v>5</v>
      </c>
    </row>
    <row r="344" spans="1:12" x14ac:dyDescent="0.3">
      <c r="A344" t="str">
        <f t="shared" si="5"/>
        <v>25-Jan 2009</v>
      </c>
      <c r="B344" s="10">
        <v>39838</v>
      </c>
      <c r="C344">
        <v>2009</v>
      </c>
      <c r="D344" s="11">
        <v>0.44027777777777777</v>
      </c>
      <c r="E344" t="s">
        <v>1738</v>
      </c>
      <c r="F344" t="s">
        <v>11</v>
      </c>
      <c r="G344">
        <v>1200</v>
      </c>
      <c r="H344" t="s">
        <v>65</v>
      </c>
      <c r="I344" t="s">
        <v>632</v>
      </c>
      <c r="J344" t="s">
        <v>633</v>
      </c>
      <c r="K344" t="s">
        <v>16</v>
      </c>
      <c r="L344" s="9">
        <f>WEEKDAY(Table1_2[[#This Row],[Transaction date]])</f>
        <v>1</v>
      </c>
    </row>
    <row r="345" spans="1:12" x14ac:dyDescent="0.3">
      <c r="A345" t="str">
        <f t="shared" si="5"/>
        <v>29-Jan 2009</v>
      </c>
      <c r="B345" s="10">
        <v>39842</v>
      </c>
      <c r="C345">
        <v>2009</v>
      </c>
      <c r="D345" s="11">
        <v>0.42152777777777778</v>
      </c>
      <c r="E345" t="s">
        <v>1738</v>
      </c>
      <c r="F345" t="s">
        <v>11</v>
      </c>
      <c r="G345">
        <v>1200</v>
      </c>
      <c r="H345" t="s">
        <v>12</v>
      </c>
      <c r="I345" t="s">
        <v>634</v>
      </c>
      <c r="J345" t="s">
        <v>635</v>
      </c>
      <c r="K345" t="s">
        <v>16</v>
      </c>
      <c r="L345" s="9">
        <f>WEEKDAY(Table1_2[[#This Row],[Transaction date]])</f>
        <v>5</v>
      </c>
    </row>
    <row r="346" spans="1:12" x14ac:dyDescent="0.3">
      <c r="A346" t="str">
        <f t="shared" si="5"/>
        <v>25-Jan 2009</v>
      </c>
      <c r="B346" s="10">
        <v>39838</v>
      </c>
      <c r="C346">
        <v>2009</v>
      </c>
      <c r="D346" s="11">
        <v>0.52430555555555558</v>
      </c>
      <c r="E346" t="s">
        <v>1739</v>
      </c>
      <c r="F346" t="s">
        <v>21</v>
      </c>
      <c r="G346">
        <v>3600</v>
      </c>
      <c r="H346" t="s">
        <v>12</v>
      </c>
      <c r="I346" t="s">
        <v>636</v>
      </c>
      <c r="J346" t="s">
        <v>637</v>
      </c>
      <c r="K346" t="s">
        <v>16</v>
      </c>
      <c r="L346" s="9">
        <f>WEEKDAY(Table1_2[[#This Row],[Transaction date]])</f>
        <v>1</v>
      </c>
    </row>
    <row r="347" spans="1:12" x14ac:dyDescent="0.3">
      <c r="A347" t="str">
        <f t="shared" si="5"/>
        <v>03-Jan 2009</v>
      </c>
      <c r="B347" s="10">
        <v>39816</v>
      </c>
      <c r="C347">
        <v>2009</v>
      </c>
      <c r="D347" s="11">
        <v>0.20555555555555555</v>
      </c>
      <c r="E347" t="s">
        <v>1738</v>
      </c>
      <c r="F347" t="s">
        <v>11</v>
      </c>
      <c r="G347">
        <v>1200</v>
      </c>
      <c r="H347" t="s">
        <v>12</v>
      </c>
      <c r="I347" t="s">
        <v>308</v>
      </c>
      <c r="J347" t="s">
        <v>638</v>
      </c>
      <c r="K347" t="s">
        <v>16</v>
      </c>
      <c r="L347" s="9">
        <f>WEEKDAY(Table1_2[[#This Row],[Transaction date]])</f>
        <v>7</v>
      </c>
    </row>
    <row r="348" spans="1:12" x14ac:dyDescent="0.3">
      <c r="A348" t="str">
        <f t="shared" si="5"/>
        <v>25-Jan 2009</v>
      </c>
      <c r="B348" s="10">
        <v>39838</v>
      </c>
      <c r="C348">
        <v>2009</v>
      </c>
      <c r="D348" s="11">
        <v>0.27291666666666664</v>
      </c>
      <c r="E348" t="s">
        <v>1738</v>
      </c>
      <c r="F348" t="s">
        <v>11</v>
      </c>
      <c r="G348">
        <v>1200</v>
      </c>
      <c r="H348" t="s">
        <v>12</v>
      </c>
      <c r="I348" t="s">
        <v>639</v>
      </c>
      <c r="J348" t="s">
        <v>640</v>
      </c>
      <c r="K348" t="s">
        <v>16</v>
      </c>
      <c r="L348" s="9">
        <f>WEEKDAY(Table1_2[[#This Row],[Transaction date]])</f>
        <v>1</v>
      </c>
    </row>
    <row r="349" spans="1:12" x14ac:dyDescent="0.3">
      <c r="A349" t="str">
        <f t="shared" si="5"/>
        <v>15-Jan 2009</v>
      </c>
      <c r="B349" s="10">
        <v>39828</v>
      </c>
      <c r="C349">
        <v>2009</v>
      </c>
      <c r="D349" s="11">
        <v>0.48819444444444443</v>
      </c>
      <c r="E349" t="s">
        <v>1738</v>
      </c>
      <c r="F349" t="s">
        <v>11</v>
      </c>
      <c r="G349">
        <v>1200</v>
      </c>
      <c r="H349" t="s">
        <v>12</v>
      </c>
      <c r="I349" t="s">
        <v>641</v>
      </c>
      <c r="J349" t="s">
        <v>642</v>
      </c>
      <c r="K349" t="s">
        <v>16</v>
      </c>
      <c r="L349" s="9">
        <f>WEEKDAY(Table1_2[[#This Row],[Transaction date]])</f>
        <v>5</v>
      </c>
    </row>
    <row r="350" spans="1:12" x14ac:dyDescent="0.3">
      <c r="A350" t="str">
        <f t="shared" si="5"/>
        <v>23-Jan 2009</v>
      </c>
      <c r="B350" s="10">
        <v>39836</v>
      </c>
      <c r="C350">
        <v>2009</v>
      </c>
      <c r="D350" s="11">
        <v>0.1875</v>
      </c>
      <c r="E350" t="s">
        <v>1738</v>
      </c>
      <c r="F350" t="s">
        <v>21</v>
      </c>
      <c r="G350">
        <v>3600</v>
      </c>
      <c r="H350" t="s">
        <v>65</v>
      </c>
      <c r="I350" t="s">
        <v>643</v>
      </c>
      <c r="J350" t="s">
        <v>644</v>
      </c>
      <c r="K350" t="s">
        <v>16</v>
      </c>
      <c r="L350" s="9">
        <f>WEEKDAY(Table1_2[[#This Row],[Transaction date]])</f>
        <v>6</v>
      </c>
    </row>
    <row r="351" spans="1:12" x14ac:dyDescent="0.3">
      <c r="A351" t="str">
        <f t="shared" si="5"/>
        <v>05-Jan 2009</v>
      </c>
      <c r="B351" s="10">
        <v>39818</v>
      </c>
      <c r="C351">
        <v>2009</v>
      </c>
      <c r="D351" s="11">
        <v>0.5395833333333333</v>
      </c>
      <c r="E351" t="s">
        <v>1739</v>
      </c>
      <c r="F351" t="s">
        <v>11</v>
      </c>
      <c r="G351">
        <v>1200</v>
      </c>
      <c r="H351" t="s">
        <v>12</v>
      </c>
      <c r="I351" t="s">
        <v>645</v>
      </c>
      <c r="J351" t="s">
        <v>646</v>
      </c>
      <c r="K351" t="s">
        <v>16</v>
      </c>
      <c r="L351" s="9">
        <f>WEEKDAY(Table1_2[[#This Row],[Transaction date]])</f>
        <v>2</v>
      </c>
    </row>
    <row r="352" spans="1:12" x14ac:dyDescent="0.3">
      <c r="A352" t="str">
        <f t="shared" si="5"/>
        <v>29-Jan 2009</v>
      </c>
      <c r="B352" s="10">
        <v>39842</v>
      </c>
      <c r="C352">
        <v>2009</v>
      </c>
      <c r="D352" s="11">
        <v>0.20277777777777778</v>
      </c>
      <c r="E352" t="s">
        <v>1738</v>
      </c>
      <c r="F352" t="s">
        <v>11</v>
      </c>
      <c r="G352">
        <v>1200</v>
      </c>
      <c r="H352" t="s">
        <v>12</v>
      </c>
      <c r="I352" t="s">
        <v>647</v>
      </c>
      <c r="J352" t="s">
        <v>648</v>
      </c>
      <c r="K352" t="s">
        <v>16</v>
      </c>
      <c r="L352" s="9">
        <f>WEEKDAY(Table1_2[[#This Row],[Transaction date]])</f>
        <v>5</v>
      </c>
    </row>
    <row r="353" spans="1:12" x14ac:dyDescent="0.3">
      <c r="A353" t="str">
        <f t="shared" si="5"/>
        <v>10-Jan 2009</v>
      </c>
      <c r="B353" s="10">
        <v>39823</v>
      </c>
      <c r="C353">
        <v>2009</v>
      </c>
      <c r="D353" s="11">
        <v>0.50277777777777777</v>
      </c>
      <c r="E353" t="s">
        <v>1739</v>
      </c>
      <c r="F353" t="s">
        <v>11</v>
      </c>
      <c r="G353">
        <v>1200</v>
      </c>
      <c r="H353" t="s">
        <v>17</v>
      </c>
      <c r="I353" t="s">
        <v>649</v>
      </c>
      <c r="J353" t="s">
        <v>385</v>
      </c>
      <c r="K353" t="s">
        <v>16</v>
      </c>
      <c r="L353" s="9">
        <f>WEEKDAY(Table1_2[[#This Row],[Transaction date]])</f>
        <v>7</v>
      </c>
    </row>
    <row r="354" spans="1:12" x14ac:dyDescent="0.3">
      <c r="A354" t="str">
        <f t="shared" si="5"/>
        <v>25-Jan 2009</v>
      </c>
      <c r="B354" s="10">
        <v>39838</v>
      </c>
      <c r="C354">
        <v>2009</v>
      </c>
      <c r="D354" s="11">
        <v>0.24166666666666667</v>
      </c>
      <c r="E354" t="s">
        <v>1738</v>
      </c>
      <c r="F354" t="s">
        <v>11</v>
      </c>
      <c r="G354">
        <v>1200</v>
      </c>
      <c r="H354" t="s">
        <v>12</v>
      </c>
      <c r="I354" t="s">
        <v>650</v>
      </c>
      <c r="J354" t="s">
        <v>651</v>
      </c>
      <c r="K354" t="s">
        <v>16</v>
      </c>
      <c r="L354" s="9">
        <f>WEEKDAY(Table1_2[[#This Row],[Transaction date]])</f>
        <v>1</v>
      </c>
    </row>
    <row r="355" spans="1:12" x14ac:dyDescent="0.3">
      <c r="A355" t="str">
        <f t="shared" si="5"/>
        <v>18-Jan 2009</v>
      </c>
      <c r="B355" s="10">
        <v>39831</v>
      </c>
      <c r="C355">
        <v>2009</v>
      </c>
      <c r="D355" s="11">
        <v>0.50347222222222221</v>
      </c>
      <c r="E355" t="s">
        <v>1739</v>
      </c>
      <c r="F355" t="s">
        <v>21</v>
      </c>
      <c r="G355">
        <v>3600</v>
      </c>
      <c r="H355" t="s">
        <v>12</v>
      </c>
      <c r="I355" t="s">
        <v>652</v>
      </c>
      <c r="J355" t="s">
        <v>495</v>
      </c>
      <c r="K355" t="s">
        <v>16</v>
      </c>
      <c r="L355" s="9">
        <f>WEEKDAY(Table1_2[[#This Row],[Transaction date]])</f>
        <v>1</v>
      </c>
    </row>
    <row r="356" spans="1:12" x14ac:dyDescent="0.3">
      <c r="A356" t="str">
        <f t="shared" si="5"/>
        <v>20-Jan 2009</v>
      </c>
      <c r="B356" s="10">
        <v>39833</v>
      </c>
      <c r="C356">
        <v>2009</v>
      </c>
      <c r="D356" s="11">
        <v>0.12152777777777778</v>
      </c>
      <c r="E356" t="s">
        <v>1738</v>
      </c>
      <c r="F356" t="s">
        <v>11</v>
      </c>
      <c r="G356">
        <v>1200</v>
      </c>
      <c r="H356" t="s">
        <v>17</v>
      </c>
      <c r="I356" t="s">
        <v>653</v>
      </c>
      <c r="J356" t="s">
        <v>654</v>
      </c>
      <c r="K356" t="s">
        <v>16</v>
      </c>
      <c r="L356" s="9">
        <f>WEEKDAY(Table1_2[[#This Row],[Transaction date]])</f>
        <v>3</v>
      </c>
    </row>
    <row r="357" spans="1:12" x14ac:dyDescent="0.3">
      <c r="A357" t="str">
        <f t="shared" si="5"/>
        <v>02-Jan 2009</v>
      </c>
      <c r="B357" s="10">
        <v>39815</v>
      </c>
      <c r="C357">
        <v>2009</v>
      </c>
      <c r="D357" s="11">
        <v>0.27847222222222223</v>
      </c>
      <c r="E357" t="s">
        <v>1738</v>
      </c>
      <c r="F357" t="s">
        <v>11</v>
      </c>
      <c r="G357">
        <v>1200</v>
      </c>
      <c r="H357" t="s">
        <v>12</v>
      </c>
      <c r="I357" t="s">
        <v>655</v>
      </c>
      <c r="J357" t="s">
        <v>656</v>
      </c>
      <c r="K357" t="s">
        <v>16</v>
      </c>
      <c r="L357" s="9">
        <f>WEEKDAY(Table1_2[[#This Row],[Transaction date]])</f>
        <v>6</v>
      </c>
    </row>
    <row r="358" spans="1:12" x14ac:dyDescent="0.3">
      <c r="A358" t="str">
        <f t="shared" si="5"/>
        <v>21-Jan 2009</v>
      </c>
      <c r="B358" s="10">
        <v>39834</v>
      </c>
      <c r="C358">
        <v>2009</v>
      </c>
      <c r="D358" s="11">
        <v>0.30486111111111114</v>
      </c>
      <c r="E358" t="s">
        <v>1738</v>
      </c>
      <c r="F358" t="s">
        <v>11</v>
      </c>
      <c r="G358">
        <v>1200</v>
      </c>
      <c r="H358" t="s">
        <v>12</v>
      </c>
      <c r="I358" t="s">
        <v>657</v>
      </c>
      <c r="J358" t="s">
        <v>658</v>
      </c>
      <c r="K358" t="s">
        <v>16</v>
      </c>
      <c r="L358" s="9">
        <f>WEEKDAY(Table1_2[[#This Row],[Transaction date]])</f>
        <v>4</v>
      </c>
    </row>
    <row r="359" spans="1:12" x14ac:dyDescent="0.3">
      <c r="A359" t="str">
        <f t="shared" si="5"/>
        <v>11-Jan 2009</v>
      </c>
      <c r="B359" s="10">
        <v>39824</v>
      </c>
      <c r="C359">
        <v>2009</v>
      </c>
      <c r="D359" s="11">
        <v>0.24444444444444444</v>
      </c>
      <c r="E359" t="s">
        <v>1738</v>
      </c>
      <c r="F359" t="s">
        <v>21</v>
      </c>
      <c r="G359">
        <v>3600</v>
      </c>
      <c r="H359" t="s">
        <v>12</v>
      </c>
      <c r="I359" t="s">
        <v>659</v>
      </c>
      <c r="J359" t="s">
        <v>660</v>
      </c>
      <c r="K359" t="s">
        <v>16</v>
      </c>
      <c r="L359" s="9">
        <f>WEEKDAY(Table1_2[[#This Row],[Transaction date]])</f>
        <v>1</v>
      </c>
    </row>
    <row r="360" spans="1:12" x14ac:dyDescent="0.3">
      <c r="A360" t="str">
        <f t="shared" si="5"/>
        <v>16-Jan 2009</v>
      </c>
      <c r="B360" s="10">
        <v>39829</v>
      </c>
      <c r="C360">
        <v>2009</v>
      </c>
      <c r="D360" s="11">
        <v>0.24722222222222223</v>
      </c>
      <c r="E360" t="s">
        <v>1738</v>
      </c>
      <c r="F360" t="s">
        <v>11</v>
      </c>
      <c r="G360">
        <v>1200</v>
      </c>
      <c r="H360" t="s">
        <v>17</v>
      </c>
      <c r="I360" t="s">
        <v>420</v>
      </c>
      <c r="J360" t="s">
        <v>662</v>
      </c>
      <c r="K360" t="s">
        <v>16</v>
      </c>
      <c r="L360" s="9">
        <f>WEEKDAY(Table1_2[[#This Row],[Transaction date]])</f>
        <v>6</v>
      </c>
    </row>
    <row r="361" spans="1:12" x14ac:dyDescent="0.3">
      <c r="A361" t="str">
        <f t="shared" si="5"/>
        <v>09-Jan 2009</v>
      </c>
      <c r="B361" s="10">
        <v>39822</v>
      </c>
      <c r="C361">
        <v>2009</v>
      </c>
      <c r="D361" s="11">
        <v>0.33333333333333331</v>
      </c>
      <c r="E361" t="s">
        <v>1738</v>
      </c>
      <c r="F361" t="s">
        <v>11</v>
      </c>
      <c r="G361">
        <v>1200</v>
      </c>
      <c r="H361" t="s">
        <v>12</v>
      </c>
      <c r="I361" t="s">
        <v>663</v>
      </c>
      <c r="J361" t="s">
        <v>664</v>
      </c>
      <c r="K361" t="s">
        <v>16</v>
      </c>
      <c r="L361" s="9">
        <f>WEEKDAY(Table1_2[[#This Row],[Transaction date]])</f>
        <v>6</v>
      </c>
    </row>
    <row r="362" spans="1:12" x14ac:dyDescent="0.3">
      <c r="A362" t="str">
        <f t="shared" si="5"/>
        <v>25-Jan 2009</v>
      </c>
      <c r="B362" s="10">
        <v>39838</v>
      </c>
      <c r="C362">
        <v>2009</v>
      </c>
      <c r="D362" s="11">
        <v>0.53819444444444442</v>
      </c>
      <c r="E362" t="s">
        <v>1739</v>
      </c>
      <c r="F362" t="s">
        <v>11</v>
      </c>
      <c r="G362">
        <v>1200</v>
      </c>
      <c r="H362" t="s">
        <v>65</v>
      </c>
      <c r="I362" t="s">
        <v>665</v>
      </c>
      <c r="J362" t="s">
        <v>666</v>
      </c>
      <c r="K362" t="s">
        <v>16</v>
      </c>
      <c r="L362" s="9">
        <f>WEEKDAY(Table1_2[[#This Row],[Transaction date]])</f>
        <v>1</v>
      </c>
    </row>
    <row r="363" spans="1:12" x14ac:dyDescent="0.3">
      <c r="A363" t="str">
        <f t="shared" si="5"/>
        <v>24-Jan 2009</v>
      </c>
      <c r="B363" s="10">
        <v>39837</v>
      </c>
      <c r="C363">
        <v>2009</v>
      </c>
      <c r="D363" s="11">
        <v>6.5972222222222224E-2</v>
      </c>
      <c r="E363" t="s">
        <v>1738</v>
      </c>
      <c r="F363" t="s">
        <v>11</v>
      </c>
      <c r="G363">
        <v>1200</v>
      </c>
      <c r="H363" t="s">
        <v>12</v>
      </c>
      <c r="I363" t="s">
        <v>415</v>
      </c>
      <c r="J363" t="s">
        <v>667</v>
      </c>
      <c r="K363" t="s">
        <v>16</v>
      </c>
      <c r="L363" s="9">
        <f>WEEKDAY(Table1_2[[#This Row],[Transaction date]])</f>
        <v>7</v>
      </c>
    </row>
    <row r="364" spans="1:12" x14ac:dyDescent="0.3">
      <c r="A364" t="str">
        <f t="shared" si="5"/>
        <v>28-Jan 2009</v>
      </c>
      <c r="B364" s="10">
        <v>39841</v>
      </c>
      <c r="C364">
        <v>2009</v>
      </c>
      <c r="D364" s="11">
        <v>6.25E-2</v>
      </c>
      <c r="E364" t="s">
        <v>1738</v>
      </c>
      <c r="F364" t="s">
        <v>11</v>
      </c>
      <c r="G364">
        <v>1200</v>
      </c>
      <c r="H364" t="s">
        <v>12</v>
      </c>
      <c r="I364" t="s">
        <v>668</v>
      </c>
      <c r="J364" t="s">
        <v>669</v>
      </c>
      <c r="K364" t="s">
        <v>16</v>
      </c>
      <c r="L364" s="9">
        <f>WEEKDAY(Table1_2[[#This Row],[Transaction date]])</f>
        <v>4</v>
      </c>
    </row>
    <row r="365" spans="1:12" x14ac:dyDescent="0.3">
      <c r="A365" t="str">
        <f t="shared" si="5"/>
        <v>20-Jan 2009</v>
      </c>
      <c r="B365" s="10">
        <v>39833</v>
      </c>
      <c r="C365">
        <v>2009</v>
      </c>
      <c r="D365" s="11">
        <v>0.29722222222222222</v>
      </c>
      <c r="E365" t="s">
        <v>1738</v>
      </c>
      <c r="F365" t="s">
        <v>11</v>
      </c>
      <c r="G365">
        <v>1200</v>
      </c>
      <c r="H365" t="s">
        <v>65</v>
      </c>
      <c r="I365" t="s">
        <v>670</v>
      </c>
      <c r="J365" t="s">
        <v>242</v>
      </c>
      <c r="K365" t="s">
        <v>16</v>
      </c>
      <c r="L365" s="9">
        <f>WEEKDAY(Table1_2[[#This Row],[Transaction date]])</f>
        <v>3</v>
      </c>
    </row>
    <row r="366" spans="1:12" x14ac:dyDescent="0.3">
      <c r="A366" t="str">
        <f t="shared" si="5"/>
        <v>29-Jan 2009</v>
      </c>
      <c r="B366" s="10">
        <v>39842</v>
      </c>
      <c r="C366">
        <v>2009</v>
      </c>
      <c r="D366" s="11">
        <v>0.21736111111111112</v>
      </c>
      <c r="E366" t="s">
        <v>1738</v>
      </c>
      <c r="F366" t="s">
        <v>11</v>
      </c>
      <c r="G366">
        <v>1200</v>
      </c>
      <c r="H366" t="s">
        <v>65</v>
      </c>
      <c r="I366" t="s">
        <v>671</v>
      </c>
      <c r="J366" t="s">
        <v>357</v>
      </c>
      <c r="K366" t="s">
        <v>16</v>
      </c>
      <c r="L366" s="9">
        <f>WEEKDAY(Table1_2[[#This Row],[Transaction date]])</f>
        <v>5</v>
      </c>
    </row>
    <row r="367" spans="1:12" x14ac:dyDescent="0.3">
      <c r="A367" t="str">
        <f t="shared" si="5"/>
        <v>13-Jan 2009</v>
      </c>
      <c r="B367" s="10">
        <v>39826</v>
      </c>
      <c r="C367">
        <v>2009</v>
      </c>
      <c r="D367" s="11">
        <v>0.38611111111111113</v>
      </c>
      <c r="E367" t="s">
        <v>1738</v>
      </c>
      <c r="F367" t="s">
        <v>11</v>
      </c>
      <c r="G367">
        <v>1200</v>
      </c>
      <c r="H367" t="s">
        <v>12</v>
      </c>
      <c r="I367" t="s">
        <v>672</v>
      </c>
      <c r="J367" t="s">
        <v>180</v>
      </c>
      <c r="K367" t="s">
        <v>16</v>
      </c>
      <c r="L367" s="9">
        <f>WEEKDAY(Table1_2[[#This Row],[Transaction date]])</f>
        <v>3</v>
      </c>
    </row>
    <row r="368" spans="1:12" x14ac:dyDescent="0.3">
      <c r="A368" t="str">
        <f t="shared" si="5"/>
        <v>22-Jan 2009</v>
      </c>
      <c r="B368" s="10">
        <v>39835</v>
      </c>
      <c r="C368">
        <v>2009</v>
      </c>
      <c r="D368" s="11">
        <v>0.45763888888888887</v>
      </c>
      <c r="E368" t="s">
        <v>1738</v>
      </c>
      <c r="F368" t="s">
        <v>11</v>
      </c>
      <c r="G368">
        <v>1200</v>
      </c>
      <c r="H368" t="s">
        <v>12</v>
      </c>
      <c r="I368" t="s">
        <v>673</v>
      </c>
      <c r="J368" t="s">
        <v>674</v>
      </c>
      <c r="K368" t="s">
        <v>16</v>
      </c>
      <c r="L368" s="9">
        <f>WEEKDAY(Table1_2[[#This Row],[Transaction date]])</f>
        <v>5</v>
      </c>
    </row>
    <row r="369" spans="1:12" x14ac:dyDescent="0.3">
      <c r="A369" t="str">
        <f t="shared" si="5"/>
        <v>24-Jan 2009</v>
      </c>
      <c r="B369" s="10">
        <v>39837</v>
      </c>
      <c r="C369">
        <v>2009</v>
      </c>
      <c r="D369" s="11">
        <v>0.36458333333333331</v>
      </c>
      <c r="E369" t="s">
        <v>1738</v>
      </c>
      <c r="F369" t="s">
        <v>11</v>
      </c>
      <c r="G369">
        <v>1200</v>
      </c>
      <c r="H369" t="s">
        <v>12</v>
      </c>
      <c r="I369" t="s">
        <v>675</v>
      </c>
      <c r="J369" t="s">
        <v>676</v>
      </c>
      <c r="K369" t="s">
        <v>16</v>
      </c>
      <c r="L369" s="9">
        <f>WEEKDAY(Table1_2[[#This Row],[Transaction date]])</f>
        <v>7</v>
      </c>
    </row>
    <row r="370" spans="1:12" x14ac:dyDescent="0.3">
      <c r="A370" t="str">
        <f t="shared" si="5"/>
        <v>24-Jan 2009</v>
      </c>
      <c r="B370" s="10">
        <v>39837</v>
      </c>
      <c r="C370">
        <v>2009</v>
      </c>
      <c r="D370" s="11">
        <v>0.22083333333333333</v>
      </c>
      <c r="E370" t="s">
        <v>1738</v>
      </c>
      <c r="F370" t="s">
        <v>21</v>
      </c>
      <c r="G370">
        <v>3600</v>
      </c>
      <c r="H370" t="s">
        <v>12</v>
      </c>
      <c r="I370" t="s">
        <v>677</v>
      </c>
      <c r="J370" t="s">
        <v>678</v>
      </c>
      <c r="K370" t="s">
        <v>16</v>
      </c>
      <c r="L370" s="9">
        <f>WEEKDAY(Table1_2[[#This Row],[Transaction date]])</f>
        <v>7</v>
      </c>
    </row>
    <row r="371" spans="1:12" x14ac:dyDescent="0.3">
      <c r="A371" t="str">
        <f t="shared" si="5"/>
        <v>29-Jan 2009</v>
      </c>
      <c r="B371" s="10">
        <v>39842</v>
      </c>
      <c r="C371">
        <v>2009</v>
      </c>
      <c r="D371" s="11">
        <v>0.34236111111111112</v>
      </c>
      <c r="E371" t="s">
        <v>1738</v>
      </c>
      <c r="F371" t="s">
        <v>11</v>
      </c>
      <c r="G371">
        <v>1200</v>
      </c>
      <c r="H371" t="s">
        <v>17</v>
      </c>
      <c r="I371" t="s">
        <v>420</v>
      </c>
      <c r="J371" t="s">
        <v>679</v>
      </c>
      <c r="K371" t="s">
        <v>16</v>
      </c>
      <c r="L371" s="9">
        <f>WEEKDAY(Table1_2[[#This Row],[Transaction date]])</f>
        <v>5</v>
      </c>
    </row>
    <row r="372" spans="1:12" x14ac:dyDescent="0.3">
      <c r="A372" t="str">
        <f t="shared" si="5"/>
        <v>23-Jan 2009</v>
      </c>
      <c r="B372" s="10">
        <v>39836</v>
      </c>
      <c r="C372">
        <v>2009</v>
      </c>
      <c r="D372" s="11">
        <v>0.15138888888888888</v>
      </c>
      <c r="E372" t="s">
        <v>1738</v>
      </c>
      <c r="F372" t="s">
        <v>11</v>
      </c>
      <c r="G372">
        <v>1200</v>
      </c>
      <c r="H372" t="s">
        <v>12</v>
      </c>
      <c r="I372" t="s">
        <v>680</v>
      </c>
      <c r="J372" t="s">
        <v>582</v>
      </c>
      <c r="K372" t="s">
        <v>16</v>
      </c>
      <c r="L372" s="9">
        <f>WEEKDAY(Table1_2[[#This Row],[Transaction date]])</f>
        <v>6</v>
      </c>
    </row>
    <row r="373" spans="1:12" x14ac:dyDescent="0.3">
      <c r="A373" t="str">
        <f t="shared" si="5"/>
        <v>17-Jan 2009</v>
      </c>
      <c r="B373" s="10">
        <v>39830</v>
      </c>
      <c r="C373">
        <v>2009</v>
      </c>
      <c r="D373" s="11">
        <v>0.35625000000000001</v>
      </c>
      <c r="E373" t="s">
        <v>1738</v>
      </c>
      <c r="F373" t="s">
        <v>11</v>
      </c>
      <c r="G373">
        <v>1200</v>
      </c>
      <c r="H373" t="s">
        <v>65</v>
      </c>
      <c r="I373" t="s">
        <v>681</v>
      </c>
      <c r="J373" t="s">
        <v>203</v>
      </c>
      <c r="K373" t="s">
        <v>16</v>
      </c>
      <c r="L373" s="9">
        <f>WEEKDAY(Table1_2[[#This Row],[Transaction date]])</f>
        <v>7</v>
      </c>
    </row>
    <row r="374" spans="1:12" x14ac:dyDescent="0.3">
      <c r="A374" t="str">
        <f t="shared" si="5"/>
        <v>20-Jan 2009</v>
      </c>
      <c r="B374" s="10">
        <v>39833</v>
      </c>
      <c r="C374">
        <v>2009</v>
      </c>
      <c r="D374" s="11">
        <v>0.34444444444444444</v>
      </c>
      <c r="E374" t="s">
        <v>1738</v>
      </c>
      <c r="F374" t="s">
        <v>11</v>
      </c>
      <c r="G374">
        <v>1200</v>
      </c>
      <c r="H374" t="s">
        <v>17</v>
      </c>
      <c r="I374" t="s">
        <v>682</v>
      </c>
      <c r="J374" t="s">
        <v>683</v>
      </c>
      <c r="K374" t="s">
        <v>16</v>
      </c>
      <c r="L374" s="9">
        <f>WEEKDAY(Table1_2[[#This Row],[Transaction date]])</f>
        <v>3</v>
      </c>
    </row>
    <row r="375" spans="1:12" x14ac:dyDescent="0.3">
      <c r="A375" t="str">
        <f t="shared" si="5"/>
        <v>15-Jan 2009</v>
      </c>
      <c r="B375" s="10">
        <v>39828</v>
      </c>
      <c r="C375">
        <v>2009</v>
      </c>
      <c r="D375" s="11">
        <v>0.25833333333333336</v>
      </c>
      <c r="E375" t="s">
        <v>1738</v>
      </c>
      <c r="F375" t="s">
        <v>11</v>
      </c>
      <c r="G375">
        <v>1200</v>
      </c>
      <c r="H375" t="s">
        <v>17</v>
      </c>
      <c r="I375" t="s">
        <v>684</v>
      </c>
      <c r="J375" t="s">
        <v>685</v>
      </c>
      <c r="K375" t="s">
        <v>16</v>
      </c>
      <c r="L375" s="9">
        <f>WEEKDAY(Table1_2[[#This Row],[Transaction date]])</f>
        <v>5</v>
      </c>
    </row>
    <row r="376" spans="1:12" x14ac:dyDescent="0.3">
      <c r="A376" t="str">
        <f t="shared" si="5"/>
        <v>23-Jan 2009</v>
      </c>
      <c r="B376" s="10">
        <v>39836</v>
      </c>
      <c r="C376">
        <v>2009</v>
      </c>
      <c r="D376" s="11">
        <v>7.9861111111111105E-2</v>
      </c>
      <c r="E376" t="s">
        <v>1738</v>
      </c>
      <c r="F376" t="s">
        <v>11</v>
      </c>
      <c r="G376">
        <v>1200</v>
      </c>
      <c r="H376" t="s">
        <v>17</v>
      </c>
      <c r="I376" t="s">
        <v>686</v>
      </c>
      <c r="J376" t="s">
        <v>97</v>
      </c>
      <c r="K376" t="s">
        <v>16</v>
      </c>
      <c r="L376" s="9">
        <f>WEEKDAY(Table1_2[[#This Row],[Transaction date]])</f>
        <v>6</v>
      </c>
    </row>
    <row r="377" spans="1:12" x14ac:dyDescent="0.3">
      <c r="A377" t="str">
        <f t="shared" si="5"/>
        <v>12-Jan 2009</v>
      </c>
      <c r="B377" s="10">
        <v>39825</v>
      </c>
      <c r="C377">
        <v>2009</v>
      </c>
      <c r="D377" s="11">
        <v>0.49166666666666664</v>
      </c>
      <c r="E377" t="s">
        <v>1738</v>
      </c>
      <c r="F377" t="s">
        <v>11</v>
      </c>
      <c r="G377">
        <v>1200</v>
      </c>
      <c r="H377" t="s">
        <v>17</v>
      </c>
      <c r="I377" t="s">
        <v>51</v>
      </c>
      <c r="J377" t="s">
        <v>687</v>
      </c>
      <c r="K377" t="s">
        <v>16</v>
      </c>
      <c r="L377" s="9">
        <f>WEEKDAY(Table1_2[[#This Row],[Transaction date]])</f>
        <v>2</v>
      </c>
    </row>
    <row r="378" spans="1:12" x14ac:dyDescent="0.3">
      <c r="A378" t="str">
        <f t="shared" si="5"/>
        <v>29-Jan 2009</v>
      </c>
      <c r="B378" s="10">
        <v>39842</v>
      </c>
      <c r="C378">
        <v>2009</v>
      </c>
      <c r="D378" s="11">
        <v>0.1388888888888889</v>
      </c>
      <c r="E378" t="s">
        <v>1738</v>
      </c>
      <c r="F378" t="s">
        <v>11</v>
      </c>
      <c r="G378">
        <v>1200</v>
      </c>
      <c r="H378" t="s">
        <v>17</v>
      </c>
      <c r="I378" t="s">
        <v>689</v>
      </c>
      <c r="J378" t="s">
        <v>690</v>
      </c>
      <c r="K378" t="s">
        <v>16</v>
      </c>
      <c r="L378" s="9">
        <f>WEEKDAY(Table1_2[[#This Row],[Transaction date]])</f>
        <v>5</v>
      </c>
    </row>
    <row r="379" spans="1:12" x14ac:dyDescent="0.3">
      <c r="A379" t="str">
        <f t="shared" si="5"/>
        <v>19-Jan 2009</v>
      </c>
      <c r="B379" s="10">
        <v>39832</v>
      </c>
      <c r="C379">
        <v>2009</v>
      </c>
      <c r="D379" s="11">
        <v>8.7499999999999994E-2</v>
      </c>
      <c r="E379" t="s">
        <v>1738</v>
      </c>
      <c r="F379" t="s">
        <v>11</v>
      </c>
      <c r="G379">
        <v>1200</v>
      </c>
      <c r="H379" t="s">
        <v>17</v>
      </c>
      <c r="I379" t="s">
        <v>691</v>
      </c>
      <c r="J379" t="s">
        <v>692</v>
      </c>
      <c r="K379" t="s">
        <v>16</v>
      </c>
      <c r="L379" s="9">
        <f>WEEKDAY(Table1_2[[#This Row],[Transaction date]])</f>
        <v>2</v>
      </c>
    </row>
    <row r="380" spans="1:12" x14ac:dyDescent="0.3">
      <c r="A380" t="str">
        <f t="shared" si="5"/>
        <v>09-Jan 2009</v>
      </c>
      <c r="B380" s="10">
        <v>39822</v>
      </c>
      <c r="C380">
        <v>2009</v>
      </c>
      <c r="D380" s="11">
        <v>0.12708333333333333</v>
      </c>
      <c r="E380" t="s">
        <v>1738</v>
      </c>
      <c r="F380" t="s">
        <v>11</v>
      </c>
      <c r="G380">
        <v>1200</v>
      </c>
      <c r="H380" t="s">
        <v>12</v>
      </c>
      <c r="I380" t="s">
        <v>693</v>
      </c>
      <c r="J380" t="s">
        <v>200</v>
      </c>
      <c r="K380" t="s">
        <v>16</v>
      </c>
      <c r="L380" s="9">
        <f>WEEKDAY(Table1_2[[#This Row],[Transaction date]])</f>
        <v>6</v>
      </c>
    </row>
    <row r="381" spans="1:12" x14ac:dyDescent="0.3">
      <c r="A381" t="str">
        <f t="shared" si="5"/>
        <v>23-Jan 2009</v>
      </c>
      <c r="B381" s="10">
        <v>39836</v>
      </c>
      <c r="C381">
        <v>2009</v>
      </c>
      <c r="D381" s="11">
        <v>0.29444444444444445</v>
      </c>
      <c r="E381" t="s">
        <v>1738</v>
      </c>
      <c r="F381" t="s">
        <v>11</v>
      </c>
      <c r="G381">
        <v>1200</v>
      </c>
      <c r="H381" t="s">
        <v>65</v>
      </c>
      <c r="I381" t="s">
        <v>694</v>
      </c>
      <c r="J381" t="s">
        <v>695</v>
      </c>
      <c r="K381" t="s">
        <v>16</v>
      </c>
      <c r="L381" s="9">
        <f>WEEKDAY(Table1_2[[#This Row],[Transaction date]])</f>
        <v>6</v>
      </c>
    </row>
    <row r="382" spans="1:12" x14ac:dyDescent="0.3">
      <c r="A382" t="str">
        <f t="shared" si="5"/>
        <v>19-Jan 2009</v>
      </c>
      <c r="B382" s="10">
        <v>39832</v>
      </c>
      <c r="C382">
        <v>2009</v>
      </c>
      <c r="D382" s="11">
        <v>0.17777777777777778</v>
      </c>
      <c r="E382" t="s">
        <v>1738</v>
      </c>
      <c r="F382" t="s">
        <v>11</v>
      </c>
      <c r="G382">
        <v>1200</v>
      </c>
      <c r="H382" t="s">
        <v>17</v>
      </c>
      <c r="I382" t="s">
        <v>696</v>
      </c>
      <c r="J382" t="s">
        <v>697</v>
      </c>
      <c r="K382" t="s">
        <v>16</v>
      </c>
      <c r="L382" s="9">
        <f>WEEKDAY(Table1_2[[#This Row],[Transaction date]])</f>
        <v>2</v>
      </c>
    </row>
    <row r="383" spans="1:12" x14ac:dyDescent="0.3">
      <c r="A383" t="str">
        <f t="shared" si="5"/>
        <v>15-Jan 2009</v>
      </c>
      <c r="B383" s="10">
        <v>39828</v>
      </c>
      <c r="C383">
        <v>2009</v>
      </c>
      <c r="D383" s="11">
        <v>0.25555555555555554</v>
      </c>
      <c r="E383" t="s">
        <v>1738</v>
      </c>
      <c r="F383" t="s">
        <v>21</v>
      </c>
      <c r="G383">
        <v>3600</v>
      </c>
      <c r="H383" t="s">
        <v>65</v>
      </c>
      <c r="I383" t="s">
        <v>417</v>
      </c>
      <c r="J383" t="s">
        <v>698</v>
      </c>
      <c r="K383" t="s">
        <v>16</v>
      </c>
      <c r="L383" s="9">
        <f>WEEKDAY(Table1_2[[#This Row],[Transaction date]])</f>
        <v>5</v>
      </c>
    </row>
    <row r="384" spans="1:12" x14ac:dyDescent="0.3">
      <c r="A384" t="str">
        <f t="shared" si="5"/>
        <v>12-Jan 2009</v>
      </c>
      <c r="B384" s="10">
        <v>39825</v>
      </c>
      <c r="C384">
        <v>2009</v>
      </c>
      <c r="D384" s="11">
        <v>0.22777777777777777</v>
      </c>
      <c r="E384" t="s">
        <v>1738</v>
      </c>
      <c r="F384" t="s">
        <v>11</v>
      </c>
      <c r="G384">
        <v>1200</v>
      </c>
      <c r="H384" t="s">
        <v>65</v>
      </c>
      <c r="I384" t="s">
        <v>699</v>
      </c>
      <c r="J384" t="s">
        <v>537</v>
      </c>
      <c r="K384" t="s">
        <v>16</v>
      </c>
      <c r="L384" s="9">
        <f>WEEKDAY(Table1_2[[#This Row],[Transaction date]])</f>
        <v>2</v>
      </c>
    </row>
    <row r="385" spans="1:12" x14ac:dyDescent="0.3">
      <c r="A385" t="str">
        <f t="shared" si="5"/>
        <v>24-Jan 2009</v>
      </c>
      <c r="B385" s="10">
        <v>39837</v>
      </c>
      <c r="C385">
        <v>2009</v>
      </c>
      <c r="D385" s="11">
        <v>0.52986111111111112</v>
      </c>
      <c r="E385" t="s">
        <v>1739</v>
      </c>
      <c r="F385" t="s">
        <v>11</v>
      </c>
      <c r="G385">
        <v>1200</v>
      </c>
      <c r="H385" t="s">
        <v>12</v>
      </c>
      <c r="I385" t="s">
        <v>700</v>
      </c>
      <c r="J385" t="s">
        <v>551</v>
      </c>
      <c r="K385" t="s">
        <v>16</v>
      </c>
      <c r="L385" s="9">
        <f>WEEKDAY(Table1_2[[#This Row],[Transaction date]])</f>
        <v>7</v>
      </c>
    </row>
    <row r="386" spans="1:12" x14ac:dyDescent="0.3">
      <c r="A386" t="str">
        <f t="shared" ref="A386:A449" si="6">TEXT(B386, "dd-mmm") &amp; " " &amp; C386</f>
        <v>07-Jan 2009</v>
      </c>
      <c r="B386" s="10">
        <v>39820</v>
      </c>
      <c r="C386">
        <v>2009</v>
      </c>
      <c r="D386" s="11">
        <v>0.45069444444444445</v>
      </c>
      <c r="E386" t="s">
        <v>1738</v>
      </c>
      <c r="F386" t="s">
        <v>21</v>
      </c>
      <c r="G386">
        <v>3600</v>
      </c>
      <c r="H386" t="s">
        <v>12</v>
      </c>
      <c r="I386" t="s">
        <v>701</v>
      </c>
      <c r="J386" t="s">
        <v>302</v>
      </c>
      <c r="K386" t="s">
        <v>16</v>
      </c>
      <c r="L386" s="9">
        <f>WEEKDAY(Table1_2[[#This Row],[Transaction date]])</f>
        <v>4</v>
      </c>
    </row>
    <row r="387" spans="1:12" x14ac:dyDescent="0.3">
      <c r="A387" t="str">
        <f t="shared" si="6"/>
        <v>11-Jan 2009</v>
      </c>
      <c r="B387" s="10">
        <v>39824</v>
      </c>
      <c r="C387">
        <v>2009</v>
      </c>
      <c r="D387" s="11">
        <v>0.21249999999999999</v>
      </c>
      <c r="E387" t="s">
        <v>1738</v>
      </c>
      <c r="F387" t="s">
        <v>11</v>
      </c>
      <c r="G387">
        <v>1200</v>
      </c>
      <c r="H387" t="s">
        <v>12</v>
      </c>
      <c r="I387" t="s">
        <v>702</v>
      </c>
      <c r="J387" t="s">
        <v>703</v>
      </c>
      <c r="K387" t="s">
        <v>16</v>
      </c>
      <c r="L387" s="9">
        <f>WEEKDAY(Table1_2[[#This Row],[Transaction date]])</f>
        <v>1</v>
      </c>
    </row>
    <row r="388" spans="1:12" x14ac:dyDescent="0.3">
      <c r="A388" t="str">
        <f t="shared" si="6"/>
        <v>27-Jan 2009</v>
      </c>
      <c r="B388" s="10">
        <v>39840</v>
      </c>
      <c r="C388">
        <v>2009</v>
      </c>
      <c r="D388" s="11">
        <v>0.2638888888888889</v>
      </c>
      <c r="E388" t="s">
        <v>1738</v>
      </c>
      <c r="F388" t="s">
        <v>11</v>
      </c>
      <c r="G388">
        <v>1200</v>
      </c>
      <c r="H388" t="s">
        <v>17</v>
      </c>
      <c r="I388" t="s">
        <v>704</v>
      </c>
      <c r="J388" t="s">
        <v>705</v>
      </c>
      <c r="K388" t="s">
        <v>16</v>
      </c>
      <c r="L388" s="9">
        <f>WEEKDAY(Table1_2[[#This Row],[Transaction date]])</f>
        <v>3</v>
      </c>
    </row>
    <row r="389" spans="1:12" x14ac:dyDescent="0.3">
      <c r="A389" t="str">
        <f t="shared" si="6"/>
        <v>04-Jan 2009</v>
      </c>
      <c r="B389" s="10">
        <v>39817</v>
      </c>
      <c r="C389">
        <v>2009</v>
      </c>
      <c r="D389" s="11">
        <v>0.18263888888888888</v>
      </c>
      <c r="E389" t="s">
        <v>1738</v>
      </c>
      <c r="F389" t="s">
        <v>11</v>
      </c>
      <c r="G389">
        <v>1200</v>
      </c>
      <c r="H389" t="s">
        <v>12</v>
      </c>
      <c r="I389" t="s">
        <v>706</v>
      </c>
      <c r="J389" t="s">
        <v>400</v>
      </c>
      <c r="K389" t="s">
        <v>16</v>
      </c>
      <c r="L389" s="9">
        <f>WEEKDAY(Table1_2[[#This Row],[Transaction date]])</f>
        <v>1</v>
      </c>
    </row>
    <row r="390" spans="1:12" x14ac:dyDescent="0.3">
      <c r="A390" t="str">
        <f t="shared" si="6"/>
        <v>06-Jan 2009</v>
      </c>
      <c r="B390" s="10">
        <v>39819</v>
      </c>
      <c r="C390">
        <v>2009</v>
      </c>
      <c r="D390" s="11">
        <v>0.5180555555555556</v>
      </c>
      <c r="E390" t="s">
        <v>1739</v>
      </c>
      <c r="F390" t="s">
        <v>11</v>
      </c>
      <c r="G390">
        <v>1200</v>
      </c>
      <c r="H390" t="s">
        <v>12</v>
      </c>
      <c r="I390" t="s">
        <v>707</v>
      </c>
      <c r="J390" t="s">
        <v>708</v>
      </c>
      <c r="K390" t="s">
        <v>16</v>
      </c>
      <c r="L390" s="9">
        <f>WEEKDAY(Table1_2[[#This Row],[Transaction date]])</f>
        <v>3</v>
      </c>
    </row>
    <row r="391" spans="1:12" x14ac:dyDescent="0.3">
      <c r="A391" t="str">
        <f t="shared" si="6"/>
        <v>26-Jan 2009</v>
      </c>
      <c r="B391" s="10">
        <v>39839</v>
      </c>
      <c r="C391">
        <v>2009</v>
      </c>
      <c r="D391" s="11">
        <v>0.27638888888888891</v>
      </c>
      <c r="E391" t="s">
        <v>1738</v>
      </c>
      <c r="F391" t="s">
        <v>11</v>
      </c>
      <c r="G391">
        <v>1200</v>
      </c>
      <c r="H391" t="s">
        <v>12</v>
      </c>
      <c r="I391" t="s">
        <v>709</v>
      </c>
      <c r="J391" t="s">
        <v>710</v>
      </c>
      <c r="K391" t="s">
        <v>16</v>
      </c>
      <c r="L391" s="9">
        <f>WEEKDAY(Table1_2[[#This Row],[Transaction date]])</f>
        <v>2</v>
      </c>
    </row>
    <row r="392" spans="1:12" x14ac:dyDescent="0.3">
      <c r="A392" t="str">
        <f t="shared" si="6"/>
        <v>18-Jan 2009</v>
      </c>
      <c r="B392" s="10">
        <v>39831</v>
      </c>
      <c r="C392">
        <v>2009</v>
      </c>
      <c r="D392" s="11">
        <v>5.9027777777777776E-2</v>
      </c>
      <c r="E392" t="s">
        <v>1738</v>
      </c>
      <c r="F392" t="s">
        <v>11</v>
      </c>
      <c r="G392">
        <v>1200</v>
      </c>
      <c r="H392" t="s">
        <v>12</v>
      </c>
      <c r="I392" t="s">
        <v>135</v>
      </c>
      <c r="J392" t="s">
        <v>711</v>
      </c>
      <c r="K392" t="s">
        <v>16</v>
      </c>
      <c r="L392" s="9">
        <f>WEEKDAY(Table1_2[[#This Row],[Transaction date]])</f>
        <v>1</v>
      </c>
    </row>
    <row r="393" spans="1:12" x14ac:dyDescent="0.3">
      <c r="A393" t="str">
        <f t="shared" si="6"/>
        <v>18-Jan 2009</v>
      </c>
      <c r="B393" s="10">
        <v>39831</v>
      </c>
      <c r="C393">
        <v>2009</v>
      </c>
      <c r="D393" s="11">
        <v>0.28958333333333336</v>
      </c>
      <c r="E393" t="s">
        <v>1738</v>
      </c>
      <c r="F393" t="s">
        <v>11</v>
      </c>
      <c r="G393">
        <v>1200</v>
      </c>
      <c r="H393" t="s">
        <v>17</v>
      </c>
      <c r="I393" t="s">
        <v>712</v>
      </c>
      <c r="J393" t="s">
        <v>67</v>
      </c>
      <c r="K393" t="s">
        <v>16</v>
      </c>
      <c r="L393" s="9">
        <f>WEEKDAY(Table1_2[[#This Row],[Transaction date]])</f>
        <v>1</v>
      </c>
    </row>
    <row r="394" spans="1:12" x14ac:dyDescent="0.3">
      <c r="A394" t="str">
        <f t="shared" si="6"/>
        <v>16-Jan 2009</v>
      </c>
      <c r="B394" s="10">
        <v>39829</v>
      </c>
      <c r="C394">
        <v>2009</v>
      </c>
      <c r="D394" s="11">
        <v>0.30069444444444443</v>
      </c>
      <c r="E394" t="s">
        <v>1738</v>
      </c>
      <c r="F394" t="s">
        <v>11</v>
      </c>
      <c r="G394">
        <v>1200</v>
      </c>
      <c r="H394" t="s">
        <v>17</v>
      </c>
      <c r="I394" t="s">
        <v>713</v>
      </c>
      <c r="J394" t="s">
        <v>203</v>
      </c>
      <c r="K394" t="s">
        <v>16</v>
      </c>
      <c r="L394" s="9">
        <f>WEEKDAY(Table1_2[[#This Row],[Transaction date]])</f>
        <v>6</v>
      </c>
    </row>
    <row r="395" spans="1:12" x14ac:dyDescent="0.3">
      <c r="A395" t="str">
        <f t="shared" si="6"/>
        <v>31-Jan 2009</v>
      </c>
      <c r="B395" s="10">
        <v>39844</v>
      </c>
      <c r="C395">
        <v>2009</v>
      </c>
      <c r="D395" s="11">
        <v>0.1423611111111111</v>
      </c>
      <c r="E395" t="s">
        <v>1738</v>
      </c>
      <c r="F395" t="s">
        <v>11</v>
      </c>
      <c r="G395">
        <v>1200</v>
      </c>
      <c r="H395" t="s">
        <v>12</v>
      </c>
      <c r="I395" t="s">
        <v>51</v>
      </c>
      <c r="J395" t="s">
        <v>714</v>
      </c>
      <c r="K395" t="s">
        <v>16</v>
      </c>
      <c r="L395" s="9">
        <f>WEEKDAY(Table1_2[[#This Row],[Transaction date]])</f>
        <v>7</v>
      </c>
    </row>
    <row r="396" spans="1:12" x14ac:dyDescent="0.3">
      <c r="A396" t="str">
        <f t="shared" si="6"/>
        <v>09-Jan 2009</v>
      </c>
      <c r="B396" s="10">
        <v>39822</v>
      </c>
      <c r="C396">
        <v>2009</v>
      </c>
      <c r="D396" s="11">
        <v>0.37291666666666667</v>
      </c>
      <c r="E396" t="s">
        <v>1738</v>
      </c>
      <c r="F396" t="s">
        <v>11</v>
      </c>
      <c r="G396">
        <v>1200</v>
      </c>
      <c r="H396" t="s">
        <v>17</v>
      </c>
      <c r="I396" t="s">
        <v>267</v>
      </c>
      <c r="J396" t="s">
        <v>715</v>
      </c>
      <c r="K396" t="s">
        <v>16</v>
      </c>
      <c r="L396" s="9">
        <f>WEEKDAY(Table1_2[[#This Row],[Transaction date]])</f>
        <v>6</v>
      </c>
    </row>
    <row r="397" spans="1:12" x14ac:dyDescent="0.3">
      <c r="A397" t="str">
        <f t="shared" si="6"/>
        <v>10-Jan 2009</v>
      </c>
      <c r="B397" s="10">
        <v>39823</v>
      </c>
      <c r="C397">
        <v>2009</v>
      </c>
      <c r="D397" s="11">
        <v>0.13750000000000001</v>
      </c>
      <c r="E397" t="s">
        <v>1738</v>
      </c>
      <c r="F397" t="s">
        <v>21</v>
      </c>
      <c r="G397">
        <v>3600</v>
      </c>
      <c r="H397" t="s">
        <v>17</v>
      </c>
      <c r="I397" t="s">
        <v>709</v>
      </c>
      <c r="J397" t="s">
        <v>716</v>
      </c>
      <c r="K397" t="s">
        <v>16</v>
      </c>
      <c r="L397" s="9">
        <f>WEEKDAY(Table1_2[[#This Row],[Transaction date]])</f>
        <v>7</v>
      </c>
    </row>
    <row r="398" spans="1:12" x14ac:dyDescent="0.3">
      <c r="A398" t="str">
        <f t="shared" si="6"/>
        <v>16-Jan 2009</v>
      </c>
      <c r="B398" s="10">
        <v>39829</v>
      </c>
      <c r="C398">
        <v>2009</v>
      </c>
      <c r="D398" s="11">
        <v>0.32430555555555557</v>
      </c>
      <c r="E398" t="s">
        <v>1738</v>
      </c>
      <c r="F398" t="s">
        <v>11</v>
      </c>
      <c r="G398">
        <v>1200</v>
      </c>
      <c r="H398" t="s">
        <v>65</v>
      </c>
      <c r="I398" t="s">
        <v>717</v>
      </c>
      <c r="J398" t="s">
        <v>57</v>
      </c>
      <c r="K398" t="s">
        <v>16</v>
      </c>
      <c r="L398" s="9">
        <f>WEEKDAY(Table1_2[[#This Row],[Transaction date]])</f>
        <v>6</v>
      </c>
    </row>
    <row r="399" spans="1:12" x14ac:dyDescent="0.3">
      <c r="A399" t="str">
        <f t="shared" si="6"/>
        <v>17-Jan 2009</v>
      </c>
      <c r="B399" s="10">
        <v>39830</v>
      </c>
      <c r="C399">
        <v>2009</v>
      </c>
      <c r="D399" s="11">
        <v>0.38333333333333336</v>
      </c>
      <c r="E399" t="s">
        <v>1738</v>
      </c>
      <c r="F399" t="s">
        <v>11</v>
      </c>
      <c r="G399">
        <v>1200</v>
      </c>
      <c r="H399" t="s">
        <v>65</v>
      </c>
      <c r="I399" t="s">
        <v>77</v>
      </c>
      <c r="J399" t="s">
        <v>696</v>
      </c>
      <c r="K399" t="s">
        <v>16</v>
      </c>
      <c r="L399" s="9">
        <f>WEEKDAY(Table1_2[[#This Row],[Transaction date]])</f>
        <v>7</v>
      </c>
    </row>
    <row r="400" spans="1:12" x14ac:dyDescent="0.3">
      <c r="A400" t="str">
        <f t="shared" si="6"/>
        <v>27-Jan 2009</v>
      </c>
      <c r="B400" s="10">
        <v>39840</v>
      </c>
      <c r="C400">
        <v>2009</v>
      </c>
      <c r="D400" s="11">
        <v>0.13125000000000001</v>
      </c>
      <c r="E400" t="s">
        <v>1738</v>
      </c>
      <c r="F400" t="s">
        <v>11</v>
      </c>
      <c r="G400">
        <v>1200</v>
      </c>
      <c r="H400" t="s">
        <v>12</v>
      </c>
      <c r="I400" t="s">
        <v>718</v>
      </c>
      <c r="J400" t="s">
        <v>719</v>
      </c>
      <c r="K400" t="s">
        <v>16</v>
      </c>
      <c r="L400" s="9">
        <f>WEEKDAY(Table1_2[[#This Row],[Transaction date]])</f>
        <v>3</v>
      </c>
    </row>
    <row r="401" spans="1:12" x14ac:dyDescent="0.3">
      <c r="A401" t="str">
        <f t="shared" si="6"/>
        <v>25-Jan 2009</v>
      </c>
      <c r="B401" s="10">
        <v>39838</v>
      </c>
      <c r="C401">
        <v>2009</v>
      </c>
      <c r="D401" s="11">
        <v>0.40902777777777777</v>
      </c>
      <c r="E401" t="s">
        <v>1738</v>
      </c>
      <c r="F401" t="s">
        <v>11</v>
      </c>
      <c r="G401">
        <v>1200</v>
      </c>
      <c r="H401" t="s">
        <v>17</v>
      </c>
      <c r="I401" t="s">
        <v>720</v>
      </c>
      <c r="J401" t="s">
        <v>138</v>
      </c>
      <c r="K401" t="s">
        <v>16</v>
      </c>
      <c r="L401" s="9">
        <f>WEEKDAY(Table1_2[[#This Row],[Transaction date]])</f>
        <v>1</v>
      </c>
    </row>
    <row r="402" spans="1:12" x14ac:dyDescent="0.3">
      <c r="A402" t="str">
        <f t="shared" si="6"/>
        <v>17-Jan 2009</v>
      </c>
      <c r="B402" s="10">
        <v>39830</v>
      </c>
      <c r="C402">
        <v>2009</v>
      </c>
      <c r="D402" s="11">
        <v>8.7499999999999994E-2</v>
      </c>
      <c r="E402" t="s">
        <v>1738</v>
      </c>
      <c r="F402" t="s">
        <v>11</v>
      </c>
      <c r="G402">
        <v>1200</v>
      </c>
      <c r="H402" t="s">
        <v>65</v>
      </c>
      <c r="I402" t="s">
        <v>721</v>
      </c>
      <c r="J402" t="s">
        <v>722</v>
      </c>
      <c r="K402" t="s">
        <v>16</v>
      </c>
      <c r="L402" s="9">
        <f>WEEKDAY(Table1_2[[#This Row],[Transaction date]])</f>
        <v>7</v>
      </c>
    </row>
    <row r="403" spans="1:12" x14ac:dyDescent="0.3">
      <c r="A403" t="str">
        <f t="shared" si="6"/>
        <v>12-Jan 2009</v>
      </c>
      <c r="B403" s="10">
        <v>39825</v>
      </c>
      <c r="C403">
        <v>2009</v>
      </c>
      <c r="D403" s="11">
        <v>0.5</v>
      </c>
      <c r="E403" t="s">
        <v>1739</v>
      </c>
      <c r="F403" t="s">
        <v>11</v>
      </c>
      <c r="G403">
        <v>1200</v>
      </c>
      <c r="H403" t="s">
        <v>17</v>
      </c>
      <c r="I403" t="s">
        <v>723</v>
      </c>
      <c r="J403" t="s">
        <v>724</v>
      </c>
      <c r="K403" t="s">
        <v>16</v>
      </c>
      <c r="L403" s="9">
        <f>WEEKDAY(Table1_2[[#This Row],[Transaction date]])</f>
        <v>2</v>
      </c>
    </row>
    <row r="404" spans="1:12" x14ac:dyDescent="0.3">
      <c r="A404" t="str">
        <f t="shared" si="6"/>
        <v>25-Jan 2009</v>
      </c>
      <c r="B404" s="10">
        <v>39838</v>
      </c>
      <c r="C404">
        <v>2009</v>
      </c>
      <c r="D404" s="11">
        <v>0.34375</v>
      </c>
      <c r="E404" t="s">
        <v>1738</v>
      </c>
      <c r="F404" t="s">
        <v>11</v>
      </c>
      <c r="G404">
        <v>1200</v>
      </c>
      <c r="H404" t="s">
        <v>12</v>
      </c>
      <c r="I404" t="s">
        <v>147</v>
      </c>
      <c r="J404" t="s">
        <v>725</v>
      </c>
      <c r="K404" t="s">
        <v>16</v>
      </c>
      <c r="L404" s="9">
        <f>WEEKDAY(Table1_2[[#This Row],[Transaction date]])</f>
        <v>1</v>
      </c>
    </row>
    <row r="405" spans="1:12" x14ac:dyDescent="0.3">
      <c r="A405" t="str">
        <f t="shared" si="6"/>
        <v>30-Jan 2009</v>
      </c>
      <c r="B405" s="10">
        <v>39843</v>
      </c>
      <c r="C405">
        <v>2009</v>
      </c>
      <c r="D405" s="11">
        <v>0.375</v>
      </c>
      <c r="E405" t="s">
        <v>1738</v>
      </c>
      <c r="F405" t="s">
        <v>11</v>
      </c>
      <c r="G405">
        <v>1200</v>
      </c>
      <c r="H405" t="s">
        <v>17</v>
      </c>
      <c r="I405" t="s">
        <v>726</v>
      </c>
      <c r="J405" t="s">
        <v>180</v>
      </c>
      <c r="K405" t="s">
        <v>16</v>
      </c>
      <c r="L405" s="9">
        <f>WEEKDAY(Table1_2[[#This Row],[Transaction date]])</f>
        <v>6</v>
      </c>
    </row>
    <row r="406" spans="1:12" x14ac:dyDescent="0.3">
      <c r="A406" t="str">
        <f t="shared" si="6"/>
        <v>04-Jan 2009</v>
      </c>
      <c r="B406" s="10">
        <v>39817</v>
      </c>
      <c r="C406">
        <v>2009</v>
      </c>
      <c r="D406" s="11">
        <v>0.42916666666666664</v>
      </c>
      <c r="E406" t="s">
        <v>1738</v>
      </c>
      <c r="F406" t="s">
        <v>11</v>
      </c>
      <c r="G406">
        <v>1200</v>
      </c>
      <c r="H406" t="s">
        <v>17</v>
      </c>
      <c r="I406" t="s">
        <v>727</v>
      </c>
      <c r="J406" t="s">
        <v>728</v>
      </c>
      <c r="K406" t="s">
        <v>16</v>
      </c>
      <c r="L406" s="9">
        <f>WEEKDAY(Table1_2[[#This Row],[Transaction date]])</f>
        <v>1</v>
      </c>
    </row>
    <row r="407" spans="1:12" x14ac:dyDescent="0.3">
      <c r="A407" t="str">
        <f t="shared" si="6"/>
        <v>23-Jan 2009</v>
      </c>
      <c r="B407" s="10">
        <v>39836</v>
      </c>
      <c r="C407">
        <v>2009</v>
      </c>
      <c r="D407" s="11">
        <v>0.12291666666666666</v>
      </c>
      <c r="E407" t="s">
        <v>1738</v>
      </c>
      <c r="F407" t="s">
        <v>11</v>
      </c>
      <c r="G407">
        <v>1200</v>
      </c>
      <c r="H407" t="s">
        <v>17</v>
      </c>
      <c r="I407" t="s">
        <v>729</v>
      </c>
      <c r="J407" t="s">
        <v>730</v>
      </c>
      <c r="K407" t="s">
        <v>16</v>
      </c>
      <c r="L407" s="9">
        <f>WEEKDAY(Table1_2[[#This Row],[Transaction date]])</f>
        <v>6</v>
      </c>
    </row>
    <row r="408" spans="1:12" x14ac:dyDescent="0.3">
      <c r="A408" t="str">
        <f t="shared" si="6"/>
        <v>12-Jan 2009</v>
      </c>
      <c r="B408" s="10">
        <v>39825</v>
      </c>
      <c r="C408">
        <v>2009</v>
      </c>
      <c r="D408" s="11">
        <v>0.42222222222222222</v>
      </c>
      <c r="E408" t="s">
        <v>1738</v>
      </c>
      <c r="F408" t="s">
        <v>21</v>
      </c>
      <c r="G408">
        <v>3600</v>
      </c>
      <c r="H408" t="s">
        <v>17</v>
      </c>
      <c r="I408" t="s">
        <v>731</v>
      </c>
      <c r="J408" t="s">
        <v>205</v>
      </c>
      <c r="K408" t="s">
        <v>16</v>
      </c>
      <c r="L408" s="9">
        <f>WEEKDAY(Table1_2[[#This Row],[Transaction date]])</f>
        <v>2</v>
      </c>
    </row>
    <row r="409" spans="1:12" x14ac:dyDescent="0.3">
      <c r="A409" t="str">
        <f t="shared" si="6"/>
        <v>26-Jan 2009</v>
      </c>
      <c r="B409" s="10">
        <v>39839</v>
      </c>
      <c r="C409">
        <v>2009</v>
      </c>
      <c r="D409" s="11">
        <v>0.1361111111111111</v>
      </c>
      <c r="E409" t="s">
        <v>1738</v>
      </c>
      <c r="F409" t="s">
        <v>11</v>
      </c>
      <c r="G409">
        <v>1200</v>
      </c>
      <c r="H409" t="s">
        <v>12</v>
      </c>
      <c r="I409" t="s">
        <v>732</v>
      </c>
      <c r="J409" t="s">
        <v>733</v>
      </c>
      <c r="K409" t="s">
        <v>16</v>
      </c>
      <c r="L409" s="9">
        <f>WEEKDAY(Table1_2[[#This Row],[Transaction date]])</f>
        <v>2</v>
      </c>
    </row>
    <row r="410" spans="1:12" x14ac:dyDescent="0.3">
      <c r="A410" t="str">
        <f t="shared" si="6"/>
        <v>15-Jan 2009</v>
      </c>
      <c r="B410" s="10">
        <v>39828</v>
      </c>
      <c r="C410">
        <v>2009</v>
      </c>
      <c r="D410" s="11">
        <v>0.16388888888888889</v>
      </c>
      <c r="E410" t="s">
        <v>1738</v>
      </c>
      <c r="F410" t="s">
        <v>21</v>
      </c>
      <c r="G410">
        <v>3600</v>
      </c>
      <c r="H410" t="s">
        <v>12</v>
      </c>
      <c r="I410" t="s">
        <v>734</v>
      </c>
      <c r="J410" t="s">
        <v>735</v>
      </c>
      <c r="K410" t="s">
        <v>16</v>
      </c>
      <c r="L410" s="9">
        <f>WEEKDAY(Table1_2[[#This Row],[Transaction date]])</f>
        <v>5</v>
      </c>
    </row>
    <row r="411" spans="1:12" x14ac:dyDescent="0.3">
      <c r="A411" t="str">
        <f t="shared" si="6"/>
        <v>02-Jan 2009</v>
      </c>
      <c r="B411" s="10">
        <v>39815</v>
      </c>
      <c r="C411">
        <v>2009</v>
      </c>
      <c r="D411" s="11">
        <v>0.3659722222222222</v>
      </c>
      <c r="E411" t="s">
        <v>1738</v>
      </c>
      <c r="F411" t="s">
        <v>11</v>
      </c>
      <c r="G411">
        <v>1200</v>
      </c>
      <c r="H411" t="s">
        <v>12</v>
      </c>
      <c r="I411" t="s">
        <v>736</v>
      </c>
      <c r="J411" t="s">
        <v>737</v>
      </c>
      <c r="K411" t="s">
        <v>16</v>
      </c>
      <c r="L411" s="9">
        <f>WEEKDAY(Table1_2[[#This Row],[Transaction date]])</f>
        <v>6</v>
      </c>
    </row>
    <row r="412" spans="1:12" x14ac:dyDescent="0.3">
      <c r="A412" t="str">
        <f t="shared" si="6"/>
        <v>25-Jan 2009</v>
      </c>
      <c r="B412" s="10">
        <v>39838</v>
      </c>
      <c r="C412">
        <v>2009</v>
      </c>
      <c r="D412" s="11">
        <v>0.4</v>
      </c>
      <c r="E412" t="s">
        <v>1738</v>
      </c>
      <c r="F412" t="s">
        <v>11</v>
      </c>
      <c r="G412">
        <v>1200</v>
      </c>
      <c r="H412" t="s">
        <v>12</v>
      </c>
      <c r="I412" t="s">
        <v>738</v>
      </c>
      <c r="J412" t="s">
        <v>739</v>
      </c>
      <c r="K412" t="s">
        <v>16</v>
      </c>
      <c r="L412" s="9">
        <f>WEEKDAY(Table1_2[[#This Row],[Transaction date]])</f>
        <v>1</v>
      </c>
    </row>
    <row r="413" spans="1:12" x14ac:dyDescent="0.3">
      <c r="A413" t="str">
        <f t="shared" si="6"/>
        <v>06-Jan 2009</v>
      </c>
      <c r="B413" s="10">
        <v>39819</v>
      </c>
      <c r="C413">
        <v>2009</v>
      </c>
      <c r="D413" s="11">
        <v>0.25694444444444442</v>
      </c>
      <c r="E413" t="s">
        <v>1738</v>
      </c>
      <c r="F413" t="s">
        <v>11</v>
      </c>
      <c r="G413">
        <v>1200</v>
      </c>
      <c r="H413" t="s">
        <v>12</v>
      </c>
      <c r="I413" t="s">
        <v>740</v>
      </c>
      <c r="J413" t="s">
        <v>741</v>
      </c>
      <c r="K413" t="s">
        <v>16</v>
      </c>
      <c r="L413" s="9">
        <f>WEEKDAY(Table1_2[[#This Row],[Transaction date]])</f>
        <v>3</v>
      </c>
    </row>
    <row r="414" spans="1:12" x14ac:dyDescent="0.3">
      <c r="A414" t="str">
        <f t="shared" si="6"/>
        <v>31-Jan 2009</v>
      </c>
      <c r="B414" s="10">
        <v>39844</v>
      </c>
      <c r="C414">
        <v>2009</v>
      </c>
      <c r="D414" s="11">
        <v>0.25972222222222224</v>
      </c>
      <c r="E414" t="s">
        <v>1738</v>
      </c>
      <c r="F414" t="s">
        <v>11</v>
      </c>
      <c r="G414">
        <v>1200</v>
      </c>
      <c r="H414" t="s">
        <v>17</v>
      </c>
      <c r="I414" t="s">
        <v>214</v>
      </c>
      <c r="J414" t="s">
        <v>742</v>
      </c>
      <c r="K414" t="s">
        <v>16</v>
      </c>
      <c r="L414" s="9">
        <f>WEEKDAY(Table1_2[[#This Row],[Transaction date]])</f>
        <v>7</v>
      </c>
    </row>
    <row r="415" spans="1:12" x14ac:dyDescent="0.3">
      <c r="A415" t="str">
        <f t="shared" si="6"/>
        <v>06-Jan 2009</v>
      </c>
      <c r="B415" s="10">
        <v>39819</v>
      </c>
      <c r="C415">
        <v>2009</v>
      </c>
      <c r="D415" s="11">
        <v>0.39652777777777776</v>
      </c>
      <c r="E415" t="s">
        <v>1738</v>
      </c>
      <c r="F415" t="s">
        <v>11</v>
      </c>
      <c r="G415">
        <v>1200</v>
      </c>
      <c r="H415" t="s">
        <v>12</v>
      </c>
      <c r="I415" t="s">
        <v>743</v>
      </c>
      <c r="J415" t="s">
        <v>493</v>
      </c>
      <c r="K415" t="s">
        <v>16</v>
      </c>
      <c r="L415" s="9">
        <f>WEEKDAY(Table1_2[[#This Row],[Transaction date]])</f>
        <v>3</v>
      </c>
    </row>
    <row r="416" spans="1:12" x14ac:dyDescent="0.3">
      <c r="A416" t="str">
        <f t="shared" si="6"/>
        <v>21-Jan 2009</v>
      </c>
      <c r="B416" s="10">
        <v>39834</v>
      </c>
      <c r="C416">
        <v>2009</v>
      </c>
      <c r="D416" s="11">
        <v>0.31319444444444444</v>
      </c>
      <c r="E416" t="s">
        <v>1738</v>
      </c>
      <c r="F416" t="s">
        <v>11</v>
      </c>
      <c r="G416">
        <v>1200</v>
      </c>
      <c r="H416" t="s">
        <v>17</v>
      </c>
      <c r="I416" t="s">
        <v>744</v>
      </c>
      <c r="J416" t="s">
        <v>692</v>
      </c>
      <c r="K416" t="s">
        <v>16</v>
      </c>
      <c r="L416" s="9">
        <f>WEEKDAY(Table1_2[[#This Row],[Transaction date]])</f>
        <v>4</v>
      </c>
    </row>
    <row r="417" spans="1:12" x14ac:dyDescent="0.3">
      <c r="A417" t="str">
        <f t="shared" si="6"/>
        <v>29-Jan 2009</v>
      </c>
      <c r="B417" s="10">
        <v>39842</v>
      </c>
      <c r="C417">
        <v>2009</v>
      </c>
      <c r="D417" s="11">
        <v>0.50694444444444442</v>
      </c>
      <c r="E417" t="s">
        <v>1739</v>
      </c>
      <c r="F417" t="s">
        <v>11</v>
      </c>
      <c r="G417">
        <v>1200</v>
      </c>
      <c r="H417" t="s">
        <v>65</v>
      </c>
      <c r="I417" t="s">
        <v>185</v>
      </c>
      <c r="J417" t="s">
        <v>495</v>
      </c>
      <c r="K417" t="s">
        <v>16</v>
      </c>
      <c r="L417" s="9">
        <f>WEEKDAY(Table1_2[[#This Row],[Transaction date]])</f>
        <v>5</v>
      </c>
    </row>
    <row r="418" spans="1:12" x14ac:dyDescent="0.3">
      <c r="A418" t="str">
        <f t="shared" si="6"/>
        <v>08-Jan 2009</v>
      </c>
      <c r="B418" s="10">
        <v>39821</v>
      </c>
      <c r="C418">
        <v>2009</v>
      </c>
      <c r="D418" s="11">
        <v>0.30972222222222223</v>
      </c>
      <c r="E418" t="s">
        <v>1738</v>
      </c>
      <c r="F418" t="s">
        <v>21</v>
      </c>
      <c r="G418">
        <v>3600</v>
      </c>
      <c r="H418" t="s">
        <v>12</v>
      </c>
      <c r="I418" t="s">
        <v>746</v>
      </c>
      <c r="J418" t="s">
        <v>747</v>
      </c>
      <c r="K418" t="s">
        <v>16</v>
      </c>
      <c r="L418" s="9">
        <f>WEEKDAY(Table1_2[[#This Row],[Transaction date]])</f>
        <v>5</v>
      </c>
    </row>
    <row r="419" spans="1:12" x14ac:dyDescent="0.3">
      <c r="A419" t="str">
        <f t="shared" si="6"/>
        <v>10-Jan 2009</v>
      </c>
      <c r="B419" s="10">
        <v>39823</v>
      </c>
      <c r="C419">
        <v>2009</v>
      </c>
      <c r="D419" s="11">
        <v>0.16805555555555557</v>
      </c>
      <c r="E419" t="s">
        <v>1738</v>
      </c>
      <c r="F419" t="s">
        <v>11</v>
      </c>
      <c r="G419">
        <v>1200</v>
      </c>
      <c r="H419" t="s">
        <v>12</v>
      </c>
      <c r="I419" t="s">
        <v>748</v>
      </c>
      <c r="J419" t="s">
        <v>493</v>
      </c>
      <c r="K419" t="s">
        <v>16</v>
      </c>
      <c r="L419" s="9">
        <f>WEEKDAY(Table1_2[[#This Row],[Transaction date]])</f>
        <v>7</v>
      </c>
    </row>
    <row r="420" spans="1:12" x14ac:dyDescent="0.3">
      <c r="A420" t="str">
        <f t="shared" si="6"/>
        <v>23-Jan 2009</v>
      </c>
      <c r="B420" s="10">
        <v>39836</v>
      </c>
      <c r="C420">
        <v>2009</v>
      </c>
      <c r="D420" s="11">
        <v>5.0694444444444445E-2</v>
      </c>
      <c r="E420" t="s">
        <v>1738</v>
      </c>
      <c r="F420" t="s">
        <v>11</v>
      </c>
      <c r="G420">
        <v>1200</v>
      </c>
      <c r="H420" t="s">
        <v>17</v>
      </c>
      <c r="I420" t="s">
        <v>749</v>
      </c>
      <c r="J420" t="s">
        <v>405</v>
      </c>
      <c r="K420" t="s">
        <v>16</v>
      </c>
      <c r="L420" s="9">
        <f>WEEKDAY(Table1_2[[#This Row],[Transaction date]])</f>
        <v>6</v>
      </c>
    </row>
    <row r="421" spans="1:12" x14ac:dyDescent="0.3">
      <c r="A421" t="str">
        <f t="shared" si="6"/>
        <v>27-Jan 2009</v>
      </c>
      <c r="B421" s="10">
        <v>39840</v>
      </c>
      <c r="C421">
        <v>2009</v>
      </c>
      <c r="D421" s="11">
        <v>0.1125</v>
      </c>
      <c r="E421" t="s">
        <v>1738</v>
      </c>
      <c r="F421" t="s">
        <v>21</v>
      </c>
      <c r="G421">
        <v>3600</v>
      </c>
      <c r="H421" t="s">
        <v>17</v>
      </c>
      <c r="I421" t="s">
        <v>750</v>
      </c>
      <c r="J421" t="s">
        <v>334</v>
      </c>
      <c r="K421" t="s">
        <v>16</v>
      </c>
      <c r="L421" s="9">
        <f>WEEKDAY(Table1_2[[#This Row],[Transaction date]])</f>
        <v>3</v>
      </c>
    </row>
    <row r="422" spans="1:12" x14ac:dyDescent="0.3">
      <c r="A422" t="str">
        <f t="shared" si="6"/>
        <v>29-Jan 2009</v>
      </c>
      <c r="B422" s="10">
        <v>39842</v>
      </c>
      <c r="C422">
        <v>2009</v>
      </c>
      <c r="D422" s="11">
        <v>0.51111111111111107</v>
      </c>
      <c r="E422" t="s">
        <v>1739</v>
      </c>
      <c r="F422" t="s">
        <v>11</v>
      </c>
      <c r="G422">
        <v>1200</v>
      </c>
      <c r="H422" t="s">
        <v>17</v>
      </c>
      <c r="I422" t="s">
        <v>627</v>
      </c>
      <c r="J422" t="s">
        <v>751</v>
      </c>
      <c r="K422" t="s">
        <v>16</v>
      </c>
      <c r="L422" s="9">
        <f>WEEKDAY(Table1_2[[#This Row],[Transaction date]])</f>
        <v>5</v>
      </c>
    </row>
    <row r="423" spans="1:12" x14ac:dyDescent="0.3">
      <c r="A423" t="str">
        <f t="shared" si="6"/>
        <v>19-Jan 2009</v>
      </c>
      <c r="B423" s="10">
        <v>39832</v>
      </c>
      <c r="C423">
        <v>2009</v>
      </c>
      <c r="D423" s="11">
        <v>0.2361111111111111</v>
      </c>
      <c r="E423" t="s">
        <v>1738</v>
      </c>
      <c r="F423" t="s">
        <v>11</v>
      </c>
      <c r="G423">
        <v>1200</v>
      </c>
      <c r="H423" t="s">
        <v>12</v>
      </c>
      <c r="I423" t="s">
        <v>752</v>
      </c>
      <c r="J423" t="s">
        <v>753</v>
      </c>
      <c r="K423" t="s">
        <v>16</v>
      </c>
      <c r="L423" s="9">
        <f>WEEKDAY(Table1_2[[#This Row],[Transaction date]])</f>
        <v>2</v>
      </c>
    </row>
    <row r="424" spans="1:12" x14ac:dyDescent="0.3">
      <c r="A424" t="str">
        <f t="shared" si="6"/>
        <v>30-Jan 2009</v>
      </c>
      <c r="B424" s="10">
        <v>39843</v>
      </c>
      <c r="C424">
        <v>2009</v>
      </c>
      <c r="D424" s="11">
        <v>0.43819444444444444</v>
      </c>
      <c r="E424" t="s">
        <v>1738</v>
      </c>
      <c r="F424" t="s">
        <v>11</v>
      </c>
      <c r="G424">
        <v>1200</v>
      </c>
      <c r="H424" t="s">
        <v>17</v>
      </c>
      <c r="I424" t="s">
        <v>754</v>
      </c>
      <c r="J424" t="s">
        <v>755</v>
      </c>
      <c r="K424" t="s">
        <v>16</v>
      </c>
      <c r="L424" s="9">
        <f>WEEKDAY(Table1_2[[#This Row],[Transaction date]])</f>
        <v>6</v>
      </c>
    </row>
    <row r="425" spans="1:12" x14ac:dyDescent="0.3">
      <c r="A425" t="str">
        <f t="shared" si="6"/>
        <v>01-Jan 2009</v>
      </c>
      <c r="B425" s="10">
        <v>39814</v>
      </c>
      <c r="C425">
        <v>2009</v>
      </c>
      <c r="D425" s="11">
        <v>0.19722222222222222</v>
      </c>
      <c r="E425" t="s">
        <v>1738</v>
      </c>
      <c r="F425" t="s">
        <v>11</v>
      </c>
      <c r="G425">
        <v>1200</v>
      </c>
      <c r="H425" t="s">
        <v>65</v>
      </c>
      <c r="I425" t="s">
        <v>756</v>
      </c>
      <c r="J425" t="s">
        <v>231</v>
      </c>
      <c r="K425" t="s">
        <v>16</v>
      </c>
      <c r="L425" s="9">
        <f>WEEKDAY(Table1_2[[#This Row],[Transaction date]])</f>
        <v>5</v>
      </c>
    </row>
    <row r="426" spans="1:12" x14ac:dyDescent="0.3">
      <c r="A426" t="str">
        <f t="shared" si="6"/>
        <v>25-Jan 2009</v>
      </c>
      <c r="B426" s="10">
        <v>39838</v>
      </c>
      <c r="C426">
        <v>2009</v>
      </c>
      <c r="D426" s="11">
        <v>0.4826388888888889</v>
      </c>
      <c r="E426" t="s">
        <v>1738</v>
      </c>
      <c r="F426" t="s">
        <v>64</v>
      </c>
      <c r="G426">
        <v>7500</v>
      </c>
      <c r="H426" t="s">
        <v>17</v>
      </c>
      <c r="I426" t="s">
        <v>757</v>
      </c>
      <c r="J426" t="s">
        <v>474</v>
      </c>
      <c r="K426" t="s">
        <v>16</v>
      </c>
      <c r="L426" s="9">
        <f>WEEKDAY(Table1_2[[#This Row],[Transaction date]])</f>
        <v>1</v>
      </c>
    </row>
    <row r="427" spans="1:12" x14ac:dyDescent="0.3">
      <c r="A427" t="str">
        <f t="shared" si="6"/>
        <v>26-Jan 2009</v>
      </c>
      <c r="B427" s="10">
        <v>39839</v>
      </c>
      <c r="C427">
        <v>2009</v>
      </c>
      <c r="D427" s="11">
        <v>8.4722222222222227E-2</v>
      </c>
      <c r="E427" t="s">
        <v>1738</v>
      </c>
      <c r="F427" t="s">
        <v>11</v>
      </c>
      <c r="G427">
        <v>1200</v>
      </c>
      <c r="H427" t="s">
        <v>17</v>
      </c>
      <c r="I427" t="s">
        <v>356</v>
      </c>
      <c r="J427" t="s">
        <v>474</v>
      </c>
      <c r="K427" t="s">
        <v>16</v>
      </c>
      <c r="L427" s="9">
        <f>WEEKDAY(Table1_2[[#This Row],[Transaction date]])</f>
        <v>2</v>
      </c>
    </row>
    <row r="428" spans="1:12" x14ac:dyDescent="0.3">
      <c r="A428" t="str">
        <f t="shared" si="6"/>
        <v>16-Jan 2009</v>
      </c>
      <c r="B428" s="10">
        <v>39829</v>
      </c>
      <c r="C428">
        <v>2009</v>
      </c>
      <c r="D428" s="11">
        <v>0.43541666666666667</v>
      </c>
      <c r="E428" t="s">
        <v>1738</v>
      </c>
      <c r="F428" t="s">
        <v>11</v>
      </c>
      <c r="G428">
        <v>1200</v>
      </c>
      <c r="H428" t="s">
        <v>17</v>
      </c>
      <c r="I428" t="s">
        <v>625</v>
      </c>
      <c r="J428" t="s">
        <v>758</v>
      </c>
      <c r="K428" t="s">
        <v>16</v>
      </c>
      <c r="L428" s="9">
        <f>WEEKDAY(Table1_2[[#This Row],[Transaction date]])</f>
        <v>6</v>
      </c>
    </row>
    <row r="429" spans="1:12" x14ac:dyDescent="0.3">
      <c r="A429" t="str">
        <f t="shared" si="6"/>
        <v>25-Jan 2009</v>
      </c>
      <c r="B429" s="10">
        <v>39838</v>
      </c>
      <c r="C429">
        <v>2009</v>
      </c>
      <c r="D429" s="11">
        <v>0.27291666666666664</v>
      </c>
      <c r="E429" t="s">
        <v>1738</v>
      </c>
      <c r="F429" t="s">
        <v>11</v>
      </c>
      <c r="G429">
        <v>1200</v>
      </c>
      <c r="H429" t="s">
        <v>17</v>
      </c>
      <c r="I429" t="s">
        <v>420</v>
      </c>
      <c r="J429" t="s">
        <v>759</v>
      </c>
      <c r="K429" t="s">
        <v>16</v>
      </c>
      <c r="L429" s="9">
        <f>WEEKDAY(Table1_2[[#This Row],[Transaction date]])</f>
        <v>1</v>
      </c>
    </row>
    <row r="430" spans="1:12" x14ac:dyDescent="0.3">
      <c r="A430" t="str">
        <f t="shared" si="6"/>
        <v>12-Jan 2009</v>
      </c>
      <c r="B430" s="10">
        <v>39825</v>
      </c>
      <c r="C430">
        <v>2009</v>
      </c>
      <c r="D430" s="11">
        <v>0.22152777777777777</v>
      </c>
      <c r="E430" t="s">
        <v>1738</v>
      </c>
      <c r="F430" t="s">
        <v>21</v>
      </c>
      <c r="G430">
        <v>3600</v>
      </c>
      <c r="H430" t="s">
        <v>17</v>
      </c>
      <c r="I430" t="s">
        <v>760</v>
      </c>
      <c r="J430" t="s">
        <v>284</v>
      </c>
      <c r="K430" t="s">
        <v>16</v>
      </c>
      <c r="L430" s="9">
        <f>WEEKDAY(Table1_2[[#This Row],[Transaction date]])</f>
        <v>2</v>
      </c>
    </row>
    <row r="431" spans="1:12" x14ac:dyDescent="0.3">
      <c r="A431" t="str">
        <f t="shared" si="6"/>
        <v>15-Jan 2009</v>
      </c>
      <c r="B431" s="10">
        <v>39828</v>
      </c>
      <c r="C431">
        <v>2009</v>
      </c>
      <c r="D431" s="11">
        <v>0.14027777777777778</v>
      </c>
      <c r="E431" t="s">
        <v>1738</v>
      </c>
      <c r="F431" t="s">
        <v>11</v>
      </c>
      <c r="G431">
        <v>1200</v>
      </c>
      <c r="H431" t="s">
        <v>12</v>
      </c>
      <c r="I431" t="s">
        <v>761</v>
      </c>
      <c r="J431" t="s">
        <v>89</v>
      </c>
      <c r="K431" t="s">
        <v>16</v>
      </c>
      <c r="L431" s="9">
        <f>WEEKDAY(Table1_2[[#This Row],[Transaction date]])</f>
        <v>5</v>
      </c>
    </row>
    <row r="432" spans="1:12" x14ac:dyDescent="0.3">
      <c r="A432" t="str">
        <f t="shared" si="6"/>
        <v>26-Jan 2009</v>
      </c>
      <c r="B432" s="10">
        <v>39839</v>
      </c>
      <c r="C432">
        <v>2009</v>
      </c>
      <c r="D432" s="11">
        <v>0.23472222222222222</v>
      </c>
      <c r="E432" t="s">
        <v>1738</v>
      </c>
      <c r="F432" t="s">
        <v>21</v>
      </c>
      <c r="G432">
        <v>3600</v>
      </c>
      <c r="H432" t="s">
        <v>65</v>
      </c>
      <c r="I432" t="s">
        <v>762</v>
      </c>
      <c r="J432" t="s">
        <v>763</v>
      </c>
      <c r="K432" t="s">
        <v>16</v>
      </c>
      <c r="L432" s="9">
        <f>WEEKDAY(Table1_2[[#This Row],[Transaction date]])</f>
        <v>2</v>
      </c>
    </row>
    <row r="433" spans="1:12" x14ac:dyDescent="0.3">
      <c r="A433" t="str">
        <f t="shared" si="6"/>
        <v>24-Jan 2009</v>
      </c>
      <c r="B433" s="10">
        <v>39837</v>
      </c>
      <c r="C433">
        <v>2009</v>
      </c>
      <c r="D433" s="11">
        <v>0.44305555555555554</v>
      </c>
      <c r="E433" t="s">
        <v>1738</v>
      </c>
      <c r="F433" t="s">
        <v>11</v>
      </c>
      <c r="G433">
        <v>1200</v>
      </c>
      <c r="H433" t="s">
        <v>12</v>
      </c>
      <c r="I433" t="s">
        <v>764</v>
      </c>
      <c r="J433" t="s">
        <v>334</v>
      </c>
      <c r="K433" t="s">
        <v>16</v>
      </c>
      <c r="L433" s="9">
        <f>WEEKDAY(Table1_2[[#This Row],[Transaction date]])</f>
        <v>7</v>
      </c>
    </row>
    <row r="434" spans="1:12" x14ac:dyDescent="0.3">
      <c r="A434" t="str">
        <f t="shared" si="6"/>
        <v>02-Jan 2009</v>
      </c>
      <c r="B434" s="10">
        <v>39815</v>
      </c>
      <c r="C434">
        <v>2009</v>
      </c>
      <c r="D434" s="11">
        <v>0.3125</v>
      </c>
      <c r="E434" t="s">
        <v>1738</v>
      </c>
      <c r="F434" t="s">
        <v>11</v>
      </c>
      <c r="G434">
        <v>1200</v>
      </c>
      <c r="H434" t="s">
        <v>17</v>
      </c>
      <c r="I434" t="s">
        <v>377</v>
      </c>
      <c r="J434" t="s">
        <v>765</v>
      </c>
      <c r="K434" t="s">
        <v>16</v>
      </c>
      <c r="L434" s="9">
        <f>WEEKDAY(Table1_2[[#This Row],[Transaction date]])</f>
        <v>6</v>
      </c>
    </row>
    <row r="435" spans="1:12" x14ac:dyDescent="0.3">
      <c r="A435" t="str">
        <f t="shared" si="6"/>
        <v>26-Jan 2009</v>
      </c>
      <c r="B435" s="10">
        <v>39839</v>
      </c>
      <c r="C435">
        <v>2009</v>
      </c>
      <c r="D435" s="11">
        <v>0.27638888888888891</v>
      </c>
      <c r="E435" t="s">
        <v>1738</v>
      </c>
      <c r="F435" t="s">
        <v>11</v>
      </c>
      <c r="G435">
        <v>1200</v>
      </c>
      <c r="H435" t="s">
        <v>12</v>
      </c>
      <c r="I435" t="s">
        <v>746</v>
      </c>
      <c r="J435" t="s">
        <v>696</v>
      </c>
      <c r="K435" t="s">
        <v>16</v>
      </c>
      <c r="L435" s="9">
        <f>WEEKDAY(Table1_2[[#This Row],[Transaction date]])</f>
        <v>2</v>
      </c>
    </row>
    <row r="436" spans="1:12" x14ac:dyDescent="0.3">
      <c r="A436" t="str">
        <f t="shared" si="6"/>
        <v>26-Jan 2009</v>
      </c>
      <c r="B436" s="10">
        <v>39839</v>
      </c>
      <c r="C436">
        <v>2009</v>
      </c>
      <c r="D436" s="11">
        <v>0.33333333333333331</v>
      </c>
      <c r="E436" t="s">
        <v>1738</v>
      </c>
      <c r="F436" t="s">
        <v>11</v>
      </c>
      <c r="G436">
        <v>1200</v>
      </c>
      <c r="H436" t="s">
        <v>65</v>
      </c>
      <c r="I436" t="s">
        <v>675</v>
      </c>
      <c r="J436" t="s">
        <v>766</v>
      </c>
      <c r="K436" t="s">
        <v>16</v>
      </c>
      <c r="L436" s="9">
        <f>WEEKDAY(Table1_2[[#This Row],[Transaction date]])</f>
        <v>2</v>
      </c>
    </row>
    <row r="437" spans="1:12" x14ac:dyDescent="0.3">
      <c r="A437" t="str">
        <f t="shared" si="6"/>
        <v>11-Jan 2009</v>
      </c>
      <c r="B437" s="10">
        <v>39824</v>
      </c>
      <c r="C437">
        <v>2009</v>
      </c>
      <c r="D437" s="11">
        <v>0.36180555555555555</v>
      </c>
      <c r="E437" t="s">
        <v>1738</v>
      </c>
      <c r="F437" t="s">
        <v>11</v>
      </c>
      <c r="G437">
        <v>1200</v>
      </c>
      <c r="H437" t="s">
        <v>65</v>
      </c>
      <c r="I437" t="s">
        <v>767</v>
      </c>
      <c r="J437" t="s">
        <v>768</v>
      </c>
      <c r="K437" t="s">
        <v>16</v>
      </c>
      <c r="L437" s="9">
        <f>WEEKDAY(Table1_2[[#This Row],[Transaction date]])</f>
        <v>1</v>
      </c>
    </row>
    <row r="438" spans="1:12" x14ac:dyDescent="0.3">
      <c r="A438" t="str">
        <f t="shared" si="6"/>
        <v>21-Jan 2009</v>
      </c>
      <c r="B438" s="10">
        <v>39834</v>
      </c>
      <c r="C438">
        <v>2009</v>
      </c>
      <c r="D438" s="11">
        <v>0.43888888888888888</v>
      </c>
      <c r="E438" t="s">
        <v>1738</v>
      </c>
      <c r="F438" t="s">
        <v>11</v>
      </c>
      <c r="G438">
        <v>1200</v>
      </c>
      <c r="H438" t="s">
        <v>17</v>
      </c>
      <c r="I438" t="s">
        <v>756</v>
      </c>
      <c r="J438" t="s">
        <v>769</v>
      </c>
      <c r="K438" t="s">
        <v>16</v>
      </c>
      <c r="L438" s="9">
        <f>WEEKDAY(Table1_2[[#This Row],[Transaction date]])</f>
        <v>4</v>
      </c>
    </row>
    <row r="439" spans="1:12" x14ac:dyDescent="0.3">
      <c r="A439" t="str">
        <f t="shared" si="6"/>
        <v>31-Jan 2009</v>
      </c>
      <c r="B439" s="10">
        <v>39844</v>
      </c>
      <c r="C439">
        <v>2009</v>
      </c>
      <c r="D439" s="11">
        <v>0.25833333333333336</v>
      </c>
      <c r="E439" t="s">
        <v>1738</v>
      </c>
      <c r="F439" t="s">
        <v>11</v>
      </c>
      <c r="G439">
        <v>1200</v>
      </c>
      <c r="H439" t="s">
        <v>12</v>
      </c>
      <c r="I439" t="s">
        <v>770</v>
      </c>
      <c r="J439" t="s">
        <v>110</v>
      </c>
      <c r="K439" t="s">
        <v>16</v>
      </c>
      <c r="L439" s="9">
        <f>WEEKDAY(Table1_2[[#This Row],[Transaction date]])</f>
        <v>7</v>
      </c>
    </row>
    <row r="440" spans="1:12" x14ac:dyDescent="0.3">
      <c r="A440" t="str">
        <f t="shared" si="6"/>
        <v>22-Jan 2009</v>
      </c>
      <c r="B440" s="10">
        <v>39835</v>
      </c>
      <c r="C440">
        <v>2009</v>
      </c>
      <c r="D440" s="11">
        <v>0.14930555555555555</v>
      </c>
      <c r="E440" t="s">
        <v>1738</v>
      </c>
      <c r="F440" t="s">
        <v>11</v>
      </c>
      <c r="G440">
        <v>1200</v>
      </c>
      <c r="H440" t="s">
        <v>12</v>
      </c>
      <c r="I440" t="s">
        <v>771</v>
      </c>
      <c r="J440" t="s">
        <v>73</v>
      </c>
      <c r="K440" t="s">
        <v>16</v>
      </c>
      <c r="L440" s="9">
        <f>WEEKDAY(Table1_2[[#This Row],[Transaction date]])</f>
        <v>5</v>
      </c>
    </row>
    <row r="441" spans="1:12" x14ac:dyDescent="0.3">
      <c r="A441" t="str">
        <f t="shared" si="6"/>
        <v>05-Jan 2009</v>
      </c>
      <c r="B441" s="10">
        <v>39818</v>
      </c>
      <c r="C441">
        <v>2009</v>
      </c>
      <c r="D441" s="11">
        <v>0.47499999999999998</v>
      </c>
      <c r="E441" t="s">
        <v>1738</v>
      </c>
      <c r="F441" t="s">
        <v>11</v>
      </c>
      <c r="G441">
        <v>1200</v>
      </c>
      <c r="H441" t="s">
        <v>65</v>
      </c>
      <c r="I441" t="s">
        <v>772</v>
      </c>
      <c r="J441" t="s">
        <v>773</v>
      </c>
      <c r="K441" t="s">
        <v>16</v>
      </c>
      <c r="L441" s="9">
        <f>WEEKDAY(Table1_2[[#This Row],[Transaction date]])</f>
        <v>2</v>
      </c>
    </row>
    <row r="442" spans="1:12" x14ac:dyDescent="0.3">
      <c r="A442" t="str">
        <f t="shared" si="6"/>
        <v>23-Jan 2009</v>
      </c>
      <c r="B442" s="10">
        <v>39836</v>
      </c>
      <c r="C442">
        <v>2009</v>
      </c>
      <c r="D442" s="11">
        <v>0.47430555555555554</v>
      </c>
      <c r="E442" t="s">
        <v>1738</v>
      </c>
      <c r="F442" t="s">
        <v>11</v>
      </c>
      <c r="G442">
        <v>1200</v>
      </c>
      <c r="H442" t="s">
        <v>17</v>
      </c>
      <c r="I442" t="s">
        <v>774</v>
      </c>
      <c r="J442" t="s">
        <v>775</v>
      </c>
      <c r="K442" t="s">
        <v>16</v>
      </c>
      <c r="L442" s="9">
        <f>WEEKDAY(Table1_2[[#This Row],[Transaction date]])</f>
        <v>6</v>
      </c>
    </row>
    <row r="443" spans="1:12" x14ac:dyDescent="0.3">
      <c r="A443" t="str">
        <f t="shared" si="6"/>
        <v>07-Jan 2009</v>
      </c>
      <c r="B443" s="10">
        <v>39820</v>
      </c>
      <c r="C443">
        <v>2009</v>
      </c>
      <c r="D443" s="11">
        <v>0.37152777777777779</v>
      </c>
      <c r="E443" t="s">
        <v>1738</v>
      </c>
      <c r="F443" t="s">
        <v>11</v>
      </c>
      <c r="G443">
        <v>1200</v>
      </c>
      <c r="H443" t="s">
        <v>17</v>
      </c>
      <c r="I443" t="s">
        <v>776</v>
      </c>
      <c r="J443" t="s">
        <v>110</v>
      </c>
      <c r="K443" t="s">
        <v>16</v>
      </c>
      <c r="L443" s="9">
        <f>WEEKDAY(Table1_2[[#This Row],[Transaction date]])</f>
        <v>4</v>
      </c>
    </row>
    <row r="444" spans="1:12" x14ac:dyDescent="0.3">
      <c r="A444" t="str">
        <f t="shared" si="6"/>
        <v>13-Jan 2009</v>
      </c>
      <c r="B444" s="10">
        <v>39826</v>
      </c>
      <c r="C444">
        <v>2009</v>
      </c>
      <c r="D444" s="11">
        <v>0.40277777777777779</v>
      </c>
      <c r="E444" t="s">
        <v>1738</v>
      </c>
      <c r="F444" t="s">
        <v>11</v>
      </c>
      <c r="G444">
        <v>1200</v>
      </c>
      <c r="H444" t="s">
        <v>12</v>
      </c>
      <c r="I444" t="s">
        <v>675</v>
      </c>
      <c r="J444" t="s">
        <v>777</v>
      </c>
      <c r="K444" t="s">
        <v>16</v>
      </c>
      <c r="L444" s="9">
        <f>WEEKDAY(Table1_2[[#This Row],[Transaction date]])</f>
        <v>3</v>
      </c>
    </row>
    <row r="445" spans="1:12" x14ac:dyDescent="0.3">
      <c r="A445" t="str">
        <f t="shared" si="6"/>
        <v>25-Jan 2009</v>
      </c>
      <c r="B445" s="10">
        <v>39838</v>
      </c>
      <c r="C445">
        <v>2009</v>
      </c>
      <c r="D445" s="11">
        <v>0.13750000000000001</v>
      </c>
      <c r="E445" t="s">
        <v>1738</v>
      </c>
      <c r="F445" t="s">
        <v>21</v>
      </c>
      <c r="G445">
        <v>3600</v>
      </c>
      <c r="H445" t="s">
        <v>12</v>
      </c>
      <c r="I445" t="s">
        <v>778</v>
      </c>
      <c r="J445" t="s">
        <v>779</v>
      </c>
      <c r="K445" t="s">
        <v>16</v>
      </c>
      <c r="L445" s="9">
        <f>WEEKDAY(Table1_2[[#This Row],[Transaction date]])</f>
        <v>1</v>
      </c>
    </row>
    <row r="446" spans="1:12" x14ac:dyDescent="0.3">
      <c r="A446" t="str">
        <f t="shared" si="6"/>
        <v>13-Jan 2009</v>
      </c>
      <c r="B446" s="10">
        <v>39826</v>
      </c>
      <c r="C446">
        <v>2009</v>
      </c>
      <c r="D446" s="11">
        <v>0.29791666666666666</v>
      </c>
      <c r="E446" t="s">
        <v>1738</v>
      </c>
      <c r="F446" t="s">
        <v>21</v>
      </c>
      <c r="G446">
        <v>3600</v>
      </c>
      <c r="H446" t="s">
        <v>65</v>
      </c>
      <c r="I446" t="s">
        <v>607</v>
      </c>
      <c r="J446" t="s">
        <v>158</v>
      </c>
      <c r="K446" t="s">
        <v>16</v>
      </c>
      <c r="L446" s="9">
        <f>WEEKDAY(Table1_2[[#This Row],[Transaction date]])</f>
        <v>3</v>
      </c>
    </row>
    <row r="447" spans="1:12" x14ac:dyDescent="0.3">
      <c r="A447" t="str">
        <f t="shared" si="6"/>
        <v>03-Jan 2009</v>
      </c>
      <c r="B447" s="10">
        <v>39816</v>
      </c>
      <c r="C447">
        <v>2009</v>
      </c>
      <c r="D447" s="11">
        <v>0.46041666666666664</v>
      </c>
      <c r="E447" t="s">
        <v>1738</v>
      </c>
      <c r="F447" t="s">
        <v>11</v>
      </c>
      <c r="G447">
        <v>1200</v>
      </c>
      <c r="H447" t="s">
        <v>17</v>
      </c>
      <c r="I447" t="s">
        <v>780</v>
      </c>
      <c r="J447" t="s">
        <v>781</v>
      </c>
      <c r="K447" t="s">
        <v>16</v>
      </c>
      <c r="L447" s="9">
        <f>WEEKDAY(Table1_2[[#This Row],[Transaction date]])</f>
        <v>7</v>
      </c>
    </row>
    <row r="448" spans="1:12" x14ac:dyDescent="0.3">
      <c r="A448" t="str">
        <f t="shared" si="6"/>
        <v>05-Jan 2009</v>
      </c>
      <c r="B448" s="10">
        <v>39818</v>
      </c>
      <c r="C448">
        <v>2009</v>
      </c>
      <c r="D448" s="11">
        <v>0.3298611111111111</v>
      </c>
      <c r="E448" t="s">
        <v>1738</v>
      </c>
      <c r="F448" t="s">
        <v>11</v>
      </c>
      <c r="G448">
        <v>1200</v>
      </c>
      <c r="H448" t="s">
        <v>17</v>
      </c>
      <c r="I448" t="s">
        <v>320</v>
      </c>
      <c r="J448" t="s">
        <v>782</v>
      </c>
      <c r="K448" t="s">
        <v>16</v>
      </c>
      <c r="L448" s="9">
        <f>WEEKDAY(Table1_2[[#This Row],[Transaction date]])</f>
        <v>2</v>
      </c>
    </row>
    <row r="449" spans="1:12" x14ac:dyDescent="0.3">
      <c r="A449" t="str">
        <f t="shared" si="6"/>
        <v>25-Jan 2009</v>
      </c>
      <c r="B449" s="10">
        <v>39838</v>
      </c>
      <c r="C449">
        <v>2009</v>
      </c>
      <c r="D449" s="11">
        <v>0.1111111111111111</v>
      </c>
      <c r="E449" t="s">
        <v>1738</v>
      </c>
      <c r="F449" t="s">
        <v>11</v>
      </c>
      <c r="G449">
        <v>1200</v>
      </c>
      <c r="H449" t="s">
        <v>12</v>
      </c>
      <c r="I449" t="s">
        <v>783</v>
      </c>
      <c r="J449" t="s">
        <v>784</v>
      </c>
      <c r="K449" t="s">
        <v>16</v>
      </c>
      <c r="L449" s="9">
        <f>WEEKDAY(Table1_2[[#This Row],[Transaction date]])</f>
        <v>1</v>
      </c>
    </row>
    <row r="450" spans="1:12" x14ac:dyDescent="0.3">
      <c r="A450" t="str">
        <f t="shared" ref="A450:A513" si="7">TEXT(B450, "dd-mmm") &amp; " " &amp; C450</f>
        <v>25-Jan 2009</v>
      </c>
      <c r="B450" s="10">
        <v>39838</v>
      </c>
      <c r="C450">
        <v>2009</v>
      </c>
      <c r="D450" s="11">
        <v>0.24652777777777779</v>
      </c>
      <c r="E450" t="s">
        <v>1738</v>
      </c>
      <c r="F450" t="s">
        <v>11</v>
      </c>
      <c r="G450">
        <v>1200</v>
      </c>
      <c r="H450" t="s">
        <v>12</v>
      </c>
      <c r="I450" t="s">
        <v>201</v>
      </c>
      <c r="J450" t="s">
        <v>785</v>
      </c>
      <c r="K450" t="s">
        <v>16</v>
      </c>
      <c r="L450" s="9">
        <f>WEEKDAY(Table1_2[[#This Row],[Transaction date]])</f>
        <v>1</v>
      </c>
    </row>
    <row r="451" spans="1:12" x14ac:dyDescent="0.3">
      <c r="A451" t="str">
        <f t="shared" si="7"/>
        <v>03-Jan 2009</v>
      </c>
      <c r="B451" s="10">
        <v>39816</v>
      </c>
      <c r="C451">
        <v>2009</v>
      </c>
      <c r="D451" s="11">
        <v>0.53749999999999998</v>
      </c>
      <c r="E451" t="s">
        <v>1739</v>
      </c>
      <c r="F451" t="s">
        <v>11</v>
      </c>
      <c r="G451">
        <v>1200</v>
      </c>
      <c r="H451" t="s">
        <v>17</v>
      </c>
      <c r="I451" t="s">
        <v>786</v>
      </c>
      <c r="J451" t="s">
        <v>787</v>
      </c>
      <c r="K451" t="s">
        <v>16</v>
      </c>
      <c r="L451" s="9">
        <f>WEEKDAY(Table1_2[[#This Row],[Transaction date]])</f>
        <v>7</v>
      </c>
    </row>
    <row r="452" spans="1:12" x14ac:dyDescent="0.3">
      <c r="A452" t="str">
        <f t="shared" si="7"/>
        <v>10-Jan 2009</v>
      </c>
      <c r="B452" s="10">
        <v>39823</v>
      </c>
      <c r="C452">
        <v>2009</v>
      </c>
      <c r="D452" s="11">
        <v>0.3972222222222222</v>
      </c>
      <c r="E452" t="s">
        <v>1738</v>
      </c>
      <c r="F452" t="s">
        <v>21</v>
      </c>
      <c r="G452">
        <v>3600</v>
      </c>
      <c r="H452" t="s">
        <v>17</v>
      </c>
      <c r="I452" t="s">
        <v>788</v>
      </c>
      <c r="J452" t="s">
        <v>789</v>
      </c>
      <c r="K452" t="s">
        <v>16</v>
      </c>
      <c r="L452" s="9">
        <f>WEEKDAY(Table1_2[[#This Row],[Transaction date]])</f>
        <v>7</v>
      </c>
    </row>
    <row r="453" spans="1:12" x14ac:dyDescent="0.3">
      <c r="A453" t="str">
        <f t="shared" si="7"/>
        <v>22-Jan 2009</v>
      </c>
      <c r="B453" s="10">
        <v>39835</v>
      </c>
      <c r="C453">
        <v>2009</v>
      </c>
      <c r="D453" s="11">
        <v>0.53125</v>
      </c>
      <c r="E453" t="s">
        <v>1739</v>
      </c>
      <c r="F453" t="s">
        <v>64</v>
      </c>
      <c r="G453">
        <v>7500</v>
      </c>
      <c r="H453" t="s">
        <v>12</v>
      </c>
      <c r="I453" t="s">
        <v>790</v>
      </c>
      <c r="J453" t="s">
        <v>791</v>
      </c>
      <c r="K453" t="s">
        <v>16</v>
      </c>
      <c r="L453" s="9">
        <f>WEEKDAY(Table1_2[[#This Row],[Transaction date]])</f>
        <v>5</v>
      </c>
    </row>
    <row r="454" spans="1:12" x14ac:dyDescent="0.3">
      <c r="A454" t="str">
        <f t="shared" si="7"/>
        <v>06-Jan 2009</v>
      </c>
      <c r="B454" s="10">
        <v>39819</v>
      </c>
      <c r="C454">
        <v>2009</v>
      </c>
      <c r="D454" s="11">
        <v>0.25763888888888886</v>
      </c>
      <c r="E454" t="s">
        <v>1738</v>
      </c>
      <c r="F454" t="s">
        <v>21</v>
      </c>
      <c r="G454">
        <v>100000</v>
      </c>
      <c r="H454" t="s">
        <v>17</v>
      </c>
      <c r="I454" t="s">
        <v>792</v>
      </c>
      <c r="J454" t="s">
        <v>793</v>
      </c>
      <c r="K454" t="s">
        <v>16</v>
      </c>
      <c r="L454" s="9">
        <f>WEEKDAY(Table1_2[[#This Row],[Transaction date]])</f>
        <v>3</v>
      </c>
    </row>
    <row r="455" spans="1:12" x14ac:dyDescent="0.3">
      <c r="A455" t="str">
        <f t="shared" si="7"/>
        <v>25-Jan 2009</v>
      </c>
      <c r="B455" s="10">
        <v>39838</v>
      </c>
      <c r="C455">
        <v>2009</v>
      </c>
      <c r="D455" s="11">
        <v>0.4513888888888889</v>
      </c>
      <c r="E455" t="s">
        <v>1738</v>
      </c>
      <c r="F455" t="s">
        <v>11</v>
      </c>
      <c r="G455">
        <v>1200</v>
      </c>
      <c r="H455" t="s">
        <v>17</v>
      </c>
      <c r="I455" t="s">
        <v>794</v>
      </c>
      <c r="J455" t="s">
        <v>307</v>
      </c>
      <c r="K455" t="s">
        <v>16</v>
      </c>
      <c r="L455" s="9">
        <f>WEEKDAY(Table1_2[[#This Row],[Transaction date]])</f>
        <v>1</v>
      </c>
    </row>
    <row r="456" spans="1:12" x14ac:dyDescent="0.3">
      <c r="A456" t="str">
        <f t="shared" si="7"/>
        <v>14-Jan 2009</v>
      </c>
      <c r="B456" s="10">
        <v>39827</v>
      </c>
      <c r="C456">
        <v>2009</v>
      </c>
      <c r="D456" s="11">
        <v>0.35972222222222222</v>
      </c>
      <c r="E456" t="s">
        <v>1738</v>
      </c>
      <c r="F456" t="s">
        <v>11</v>
      </c>
      <c r="G456">
        <v>1200</v>
      </c>
      <c r="H456" t="s">
        <v>12</v>
      </c>
      <c r="I456" t="s">
        <v>795</v>
      </c>
      <c r="J456" t="s">
        <v>796</v>
      </c>
      <c r="K456" t="s">
        <v>16</v>
      </c>
      <c r="L456" s="9">
        <f>WEEKDAY(Table1_2[[#This Row],[Transaction date]])</f>
        <v>4</v>
      </c>
    </row>
    <row r="457" spans="1:12" x14ac:dyDescent="0.3">
      <c r="A457" t="str">
        <f t="shared" si="7"/>
        <v>07-Jan 2009</v>
      </c>
      <c r="B457" s="10">
        <v>39820</v>
      </c>
      <c r="C457">
        <v>2009</v>
      </c>
      <c r="D457" s="11">
        <v>0.26041666666666669</v>
      </c>
      <c r="E457" t="s">
        <v>1738</v>
      </c>
      <c r="F457" t="s">
        <v>11</v>
      </c>
      <c r="G457">
        <v>1200</v>
      </c>
      <c r="H457" t="s">
        <v>17</v>
      </c>
      <c r="I457" t="s">
        <v>797</v>
      </c>
      <c r="J457" t="s">
        <v>798</v>
      </c>
      <c r="K457" t="s">
        <v>16</v>
      </c>
      <c r="L457" s="9">
        <f>WEEKDAY(Table1_2[[#This Row],[Transaction date]])</f>
        <v>4</v>
      </c>
    </row>
    <row r="458" spans="1:12" x14ac:dyDescent="0.3">
      <c r="A458" t="str">
        <f t="shared" si="7"/>
        <v>03-Jan 2009</v>
      </c>
      <c r="B458" s="10">
        <v>39816</v>
      </c>
      <c r="C458">
        <v>2009</v>
      </c>
      <c r="D458" s="11">
        <v>0.38819444444444445</v>
      </c>
      <c r="E458" t="s">
        <v>1738</v>
      </c>
      <c r="F458" t="s">
        <v>11</v>
      </c>
      <c r="G458">
        <v>1200</v>
      </c>
      <c r="H458" t="s">
        <v>12</v>
      </c>
      <c r="I458" t="s">
        <v>799</v>
      </c>
      <c r="J458" t="s">
        <v>800</v>
      </c>
      <c r="K458" t="s">
        <v>16</v>
      </c>
      <c r="L458" s="9">
        <f>WEEKDAY(Table1_2[[#This Row],[Transaction date]])</f>
        <v>7</v>
      </c>
    </row>
    <row r="459" spans="1:12" x14ac:dyDescent="0.3">
      <c r="A459" t="str">
        <f t="shared" si="7"/>
        <v>29-Jan 2009</v>
      </c>
      <c r="B459" s="10">
        <v>39842</v>
      </c>
      <c r="C459">
        <v>2009</v>
      </c>
      <c r="D459" s="11">
        <v>5.9027777777777776E-2</v>
      </c>
      <c r="E459" t="s">
        <v>1738</v>
      </c>
      <c r="F459" t="s">
        <v>11</v>
      </c>
      <c r="G459">
        <v>1200</v>
      </c>
      <c r="H459" t="s">
        <v>17</v>
      </c>
      <c r="I459" t="s">
        <v>801</v>
      </c>
      <c r="J459" t="s">
        <v>802</v>
      </c>
      <c r="K459" t="s">
        <v>16</v>
      </c>
      <c r="L459" s="9">
        <f>WEEKDAY(Table1_2[[#This Row],[Transaction date]])</f>
        <v>5</v>
      </c>
    </row>
    <row r="460" spans="1:12" x14ac:dyDescent="0.3">
      <c r="A460" t="str">
        <f t="shared" si="7"/>
        <v>23-Jan 2009</v>
      </c>
      <c r="B460" s="10">
        <v>39836</v>
      </c>
      <c r="C460">
        <v>2009</v>
      </c>
      <c r="D460" s="11">
        <v>0.41944444444444445</v>
      </c>
      <c r="E460" t="s">
        <v>1738</v>
      </c>
      <c r="F460" t="s">
        <v>11</v>
      </c>
      <c r="G460">
        <v>1200</v>
      </c>
      <c r="H460" t="s">
        <v>17</v>
      </c>
      <c r="I460" t="s">
        <v>803</v>
      </c>
      <c r="J460" t="s">
        <v>804</v>
      </c>
      <c r="K460" t="s">
        <v>16</v>
      </c>
      <c r="L460" s="9">
        <f>WEEKDAY(Table1_2[[#This Row],[Transaction date]])</f>
        <v>6</v>
      </c>
    </row>
    <row r="461" spans="1:12" x14ac:dyDescent="0.3">
      <c r="A461" t="str">
        <f t="shared" si="7"/>
        <v>28-Jan 2009</v>
      </c>
      <c r="B461" s="10">
        <v>39841</v>
      </c>
      <c r="C461">
        <v>2009</v>
      </c>
      <c r="D461" s="11">
        <v>0.47152777777777777</v>
      </c>
      <c r="E461" t="s">
        <v>1738</v>
      </c>
      <c r="F461" t="s">
        <v>11</v>
      </c>
      <c r="G461">
        <v>1200</v>
      </c>
      <c r="H461" t="s">
        <v>12</v>
      </c>
      <c r="I461" t="s">
        <v>805</v>
      </c>
      <c r="J461" t="s">
        <v>802</v>
      </c>
      <c r="K461" t="s">
        <v>16</v>
      </c>
      <c r="L461" s="9">
        <f>WEEKDAY(Table1_2[[#This Row],[Transaction date]])</f>
        <v>4</v>
      </c>
    </row>
    <row r="462" spans="1:12" x14ac:dyDescent="0.3">
      <c r="A462" t="str">
        <f t="shared" si="7"/>
        <v>07-Jan 2009</v>
      </c>
      <c r="B462" s="10">
        <v>39820</v>
      </c>
      <c r="C462">
        <v>2009</v>
      </c>
      <c r="D462" s="11">
        <v>0.24166666666666667</v>
      </c>
      <c r="E462" t="s">
        <v>1738</v>
      </c>
      <c r="F462" t="s">
        <v>11</v>
      </c>
      <c r="G462">
        <v>1200</v>
      </c>
      <c r="H462" t="s">
        <v>17</v>
      </c>
      <c r="I462" t="s">
        <v>806</v>
      </c>
      <c r="J462" t="s">
        <v>807</v>
      </c>
      <c r="K462" t="s">
        <v>16</v>
      </c>
      <c r="L462" s="9">
        <f>WEEKDAY(Table1_2[[#This Row],[Transaction date]])</f>
        <v>4</v>
      </c>
    </row>
    <row r="463" spans="1:12" x14ac:dyDescent="0.3">
      <c r="A463" t="str">
        <f t="shared" si="7"/>
        <v>01-Jan 2009</v>
      </c>
      <c r="B463" s="10">
        <v>39814</v>
      </c>
      <c r="C463">
        <v>2009</v>
      </c>
      <c r="D463" s="11">
        <v>0.18333333333333332</v>
      </c>
      <c r="E463" t="s">
        <v>1738</v>
      </c>
      <c r="F463" t="s">
        <v>64</v>
      </c>
      <c r="G463">
        <v>100000</v>
      </c>
      <c r="H463" t="s">
        <v>65</v>
      </c>
      <c r="I463" t="s">
        <v>808</v>
      </c>
      <c r="J463" t="s">
        <v>809</v>
      </c>
      <c r="K463" t="s">
        <v>16</v>
      </c>
      <c r="L463" s="9">
        <f>WEEKDAY(Table1_2[[#This Row],[Transaction date]])</f>
        <v>5</v>
      </c>
    </row>
    <row r="464" spans="1:12" x14ac:dyDescent="0.3">
      <c r="A464" t="str">
        <f t="shared" si="7"/>
        <v>12-Jan 2009</v>
      </c>
      <c r="B464" s="10">
        <v>39825</v>
      </c>
      <c r="C464">
        <v>2009</v>
      </c>
      <c r="D464" s="11">
        <v>0.39583333333333331</v>
      </c>
      <c r="E464" t="s">
        <v>1738</v>
      </c>
      <c r="F464" t="s">
        <v>11</v>
      </c>
      <c r="G464">
        <v>1200</v>
      </c>
      <c r="H464" t="s">
        <v>12</v>
      </c>
      <c r="I464" t="s">
        <v>810</v>
      </c>
      <c r="J464" t="s">
        <v>811</v>
      </c>
      <c r="K464" t="s">
        <v>16</v>
      </c>
      <c r="L464" s="9">
        <f>WEEKDAY(Table1_2[[#This Row],[Transaction date]])</f>
        <v>2</v>
      </c>
    </row>
    <row r="465" spans="1:12" x14ac:dyDescent="0.3">
      <c r="A465" t="str">
        <f t="shared" si="7"/>
        <v>02-Jan 2009</v>
      </c>
      <c r="B465" s="10">
        <v>39815</v>
      </c>
      <c r="C465">
        <v>2009</v>
      </c>
      <c r="D465" s="11">
        <v>0.26180555555555557</v>
      </c>
      <c r="E465" t="s">
        <v>1738</v>
      </c>
      <c r="F465" t="s">
        <v>11</v>
      </c>
      <c r="G465">
        <v>1200</v>
      </c>
      <c r="H465" t="s">
        <v>17</v>
      </c>
      <c r="I465" t="s">
        <v>812</v>
      </c>
      <c r="J465" t="s">
        <v>813</v>
      </c>
      <c r="K465" t="s">
        <v>815</v>
      </c>
      <c r="L465" s="9">
        <f>WEEKDAY(Table1_2[[#This Row],[Transaction date]])</f>
        <v>6</v>
      </c>
    </row>
    <row r="466" spans="1:12" x14ac:dyDescent="0.3">
      <c r="A466" t="str">
        <f t="shared" si="7"/>
        <v>06-Jan 2009</v>
      </c>
      <c r="B466" s="10">
        <v>39819</v>
      </c>
      <c r="C466">
        <v>2009</v>
      </c>
      <c r="D466" s="11">
        <v>0.32291666666666669</v>
      </c>
      <c r="E466" t="s">
        <v>1738</v>
      </c>
      <c r="F466" t="s">
        <v>21</v>
      </c>
      <c r="G466">
        <v>100000</v>
      </c>
      <c r="H466" t="s">
        <v>12</v>
      </c>
      <c r="I466" t="s">
        <v>816</v>
      </c>
      <c r="J466" t="s">
        <v>817</v>
      </c>
      <c r="K466" t="s">
        <v>815</v>
      </c>
      <c r="L466" s="9">
        <f>WEEKDAY(Table1_2[[#This Row],[Transaction date]])</f>
        <v>3</v>
      </c>
    </row>
    <row r="467" spans="1:12" x14ac:dyDescent="0.3">
      <c r="A467" t="str">
        <f t="shared" si="7"/>
        <v>06-Jan 2009</v>
      </c>
      <c r="B467" s="10">
        <v>39819</v>
      </c>
      <c r="C467">
        <v>2009</v>
      </c>
      <c r="D467" s="11">
        <v>0.53888888888888886</v>
      </c>
      <c r="E467" t="s">
        <v>1739</v>
      </c>
      <c r="F467" t="s">
        <v>11</v>
      </c>
      <c r="G467">
        <v>1200</v>
      </c>
      <c r="H467" t="s">
        <v>12</v>
      </c>
      <c r="I467" t="s">
        <v>818</v>
      </c>
      <c r="J467" t="s">
        <v>819</v>
      </c>
      <c r="K467" t="s">
        <v>815</v>
      </c>
      <c r="L467" s="9">
        <f>WEEKDAY(Table1_2[[#This Row],[Transaction date]])</f>
        <v>3</v>
      </c>
    </row>
    <row r="468" spans="1:12" x14ac:dyDescent="0.3">
      <c r="A468" t="str">
        <f t="shared" si="7"/>
        <v>02-Jan 2009</v>
      </c>
      <c r="B468" s="10">
        <v>39815</v>
      </c>
      <c r="C468">
        <v>2009</v>
      </c>
      <c r="D468" s="11">
        <v>0.12291666666666666</v>
      </c>
      <c r="E468" t="s">
        <v>1738</v>
      </c>
      <c r="F468" t="s">
        <v>11</v>
      </c>
      <c r="G468">
        <v>1200</v>
      </c>
      <c r="H468" t="s">
        <v>12</v>
      </c>
      <c r="I468" t="s">
        <v>820</v>
      </c>
      <c r="J468" t="s">
        <v>817</v>
      </c>
      <c r="K468" t="s">
        <v>815</v>
      </c>
      <c r="L468" s="9">
        <f>WEEKDAY(Table1_2[[#This Row],[Transaction date]])</f>
        <v>6</v>
      </c>
    </row>
    <row r="469" spans="1:12" x14ac:dyDescent="0.3">
      <c r="A469" t="str">
        <f t="shared" si="7"/>
        <v>09-Jan 2009</v>
      </c>
      <c r="B469" s="10">
        <v>39822</v>
      </c>
      <c r="C469">
        <v>2009</v>
      </c>
      <c r="D469" s="11">
        <v>0.16527777777777777</v>
      </c>
      <c r="E469" t="s">
        <v>1738</v>
      </c>
      <c r="F469" t="s">
        <v>11</v>
      </c>
      <c r="G469">
        <v>1200</v>
      </c>
      <c r="H469" t="s">
        <v>17</v>
      </c>
      <c r="I469" t="s">
        <v>821</v>
      </c>
      <c r="J469" t="s">
        <v>822</v>
      </c>
      <c r="K469" t="s">
        <v>815</v>
      </c>
      <c r="L469" s="9">
        <f>WEEKDAY(Table1_2[[#This Row],[Transaction date]])</f>
        <v>6</v>
      </c>
    </row>
    <row r="470" spans="1:12" x14ac:dyDescent="0.3">
      <c r="A470" t="str">
        <f t="shared" si="7"/>
        <v>02-Jan 2009</v>
      </c>
      <c r="B470" s="10">
        <v>39815</v>
      </c>
      <c r="C470">
        <v>2009</v>
      </c>
      <c r="D470" s="11">
        <v>0.25486111111111109</v>
      </c>
      <c r="E470" t="s">
        <v>1738</v>
      </c>
      <c r="F470" t="s">
        <v>11</v>
      </c>
      <c r="G470">
        <v>1200</v>
      </c>
      <c r="H470" t="s">
        <v>12</v>
      </c>
      <c r="I470" t="s">
        <v>308</v>
      </c>
      <c r="J470" t="s">
        <v>823</v>
      </c>
      <c r="K470" t="s">
        <v>815</v>
      </c>
      <c r="L470" s="9">
        <f>WEEKDAY(Table1_2[[#This Row],[Transaction date]])</f>
        <v>6</v>
      </c>
    </row>
    <row r="471" spans="1:12" x14ac:dyDescent="0.3">
      <c r="A471" t="str">
        <f t="shared" si="7"/>
        <v>04-Jan 2009</v>
      </c>
      <c r="B471" s="10">
        <v>39817</v>
      </c>
      <c r="C471">
        <v>2009</v>
      </c>
      <c r="D471" s="11">
        <v>8.0555555555555561E-2</v>
      </c>
      <c r="E471" t="s">
        <v>1738</v>
      </c>
      <c r="F471" t="s">
        <v>11</v>
      </c>
      <c r="G471">
        <v>1200</v>
      </c>
      <c r="H471" t="s">
        <v>17</v>
      </c>
      <c r="I471" t="s">
        <v>824</v>
      </c>
      <c r="J471" t="s">
        <v>825</v>
      </c>
      <c r="K471" t="s">
        <v>815</v>
      </c>
      <c r="L471" s="9">
        <f>WEEKDAY(Table1_2[[#This Row],[Transaction date]])</f>
        <v>1</v>
      </c>
    </row>
    <row r="472" spans="1:12" x14ac:dyDescent="0.3">
      <c r="A472" t="str">
        <f t="shared" si="7"/>
        <v>12-Jan 2009</v>
      </c>
      <c r="B472" s="10">
        <v>39825</v>
      </c>
      <c r="C472">
        <v>2009</v>
      </c>
      <c r="D472" s="11">
        <v>0.22083333333333333</v>
      </c>
      <c r="E472" t="s">
        <v>1738</v>
      </c>
      <c r="F472" t="s">
        <v>11</v>
      </c>
      <c r="G472">
        <v>1200</v>
      </c>
      <c r="H472" t="s">
        <v>17</v>
      </c>
      <c r="I472" t="s">
        <v>826</v>
      </c>
      <c r="J472" t="s">
        <v>827</v>
      </c>
      <c r="K472" t="s">
        <v>815</v>
      </c>
      <c r="L472" s="9">
        <f>WEEKDAY(Table1_2[[#This Row],[Transaction date]])</f>
        <v>2</v>
      </c>
    </row>
    <row r="473" spans="1:12" x14ac:dyDescent="0.3">
      <c r="A473" t="str">
        <f t="shared" si="7"/>
        <v>11-Jan 2009</v>
      </c>
      <c r="B473" s="10">
        <v>39824</v>
      </c>
      <c r="C473">
        <v>2009</v>
      </c>
      <c r="D473" s="11">
        <v>0.44305555555555554</v>
      </c>
      <c r="E473" t="s">
        <v>1738</v>
      </c>
      <c r="F473" t="s">
        <v>11</v>
      </c>
      <c r="G473">
        <v>1200</v>
      </c>
      <c r="H473" t="s">
        <v>17</v>
      </c>
      <c r="I473" t="s">
        <v>828</v>
      </c>
      <c r="J473" t="s">
        <v>829</v>
      </c>
      <c r="K473" t="s">
        <v>815</v>
      </c>
      <c r="L473" s="9">
        <f>WEEKDAY(Table1_2[[#This Row],[Transaction date]])</f>
        <v>1</v>
      </c>
    </row>
    <row r="474" spans="1:12" x14ac:dyDescent="0.3">
      <c r="A474" t="str">
        <f t="shared" si="7"/>
        <v>10-Jan 2009</v>
      </c>
      <c r="B474" s="10">
        <v>39823</v>
      </c>
      <c r="C474">
        <v>2009</v>
      </c>
      <c r="D474" s="11">
        <v>8.5416666666666669E-2</v>
      </c>
      <c r="E474" t="s">
        <v>1738</v>
      </c>
      <c r="F474" t="s">
        <v>11</v>
      </c>
      <c r="G474">
        <v>1200</v>
      </c>
      <c r="H474" t="s">
        <v>17</v>
      </c>
      <c r="I474" t="s">
        <v>803</v>
      </c>
      <c r="J474" t="s">
        <v>831</v>
      </c>
      <c r="K474" t="s">
        <v>815</v>
      </c>
      <c r="L474" s="9">
        <f>WEEKDAY(Table1_2[[#This Row],[Transaction date]])</f>
        <v>7</v>
      </c>
    </row>
    <row r="475" spans="1:12" x14ac:dyDescent="0.3">
      <c r="A475" t="str">
        <f t="shared" si="7"/>
        <v>08-Jan 2009</v>
      </c>
      <c r="B475" s="10">
        <v>39821</v>
      </c>
      <c r="C475">
        <v>2009</v>
      </c>
      <c r="D475" s="11">
        <v>0.30972222222222223</v>
      </c>
      <c r="E475" t="s">
        <v>1738</v>
      </c>
      <c r="F475" t="s">
        <v>11</v>
      </c>
      <c r="G475">
        <v>1200</v>
      </c>
      <c r="H475" t="s">
        <v>17</v>
      </c>
      <c r="I475" t="s">
        <v>832</v>
      </c>
      <c r="J475" t="s">
        <v>833</v>
      </c>
      <c r="K475" t="s">
        <v>815</v>
      </c>
      <c r="L475" s="9">
        <f>WEEKDAY(Table1_2[[#This Row],[Transaction date]])</f>
        <v>5</v>
      </c>
    </row>
    <row r="476" spans="1:12" x14ac:dyDescent="0.3">
      <c r="A476" t="str">
        <f t="shared" si="7"/>
        <v>15-Jan 2009</v>
      </c>
      <c r="B476" s="10">
        <v>39828</v>
      </c>
      <c r="C476">
        <v>2009</v>
      </c>
      <c r="D476" s="11">
        <v>0.43333333333333335</v>
      </c>
      <c r="E476" t="s">
        <v>1738</v>
      </c>
      <c r="F476" t="s">
        <v>11</v>
      </c>
      <c r="G476">
        <v>1200</v>
      </c>
      <c r="H476" t="s">
        <v>12</v>
      </c>
      <c r="I476" t="s">
        <v>834</v>
      </c>
      <c r="J476" t="s">
        <v>835</v>
      </c>
      <c r="K476" t="s">
        <v>815</v>
      </c>
      <c r="L476" s="9">
        <f>WEEKDAY(Table1_2[[#This Row],[Transaction date]])</f>
        <v>5</v>
      </c>
    </row>
    <row r="477" spans="1:12" x14ac:dyDescent="0.3">
      <c r="A477" t="str">
        <f t="shared" si="7"/>
        <v>09-Jan 2009</v>
      </c>
      <c r="B477" s="10">
        <v>39822</v>
      </c>
      <c r="C477">
        <v>2009</v>
      </c>
      <c r="D477" s="11">
        <v>0.14722222222222223</v>
      </c>
      <c r="E477" t="s">
        <v>1738</v>
      </c>
      <c r="F477" t="s">
        <v>11</v>
      </c>
      <c r="G477">
        <v>1200</v>
      </c>
      <c r="H477" t="s">
        <v>17</v>
      </c>
      <c r="I477" t="s">
        <v>83</v>
      </c>
      <c r="J477" t="s">
        <v>836</v>
      </c>
      <c r="K477" t="s">
        <v>815</v>
      </c>
      <c r="L477" s="9">
        <f>WEEKDAY(Table1_2[[#This Row],[Transaction date]])</f>
        <v>6</v>
      </c>
    </row>
    <row r="478" spans="1:12" x14ac:dyDescent="0.3">
      <c r="A478" t="str">
        <f t="shared" si="7"/>
        <v>18-Jan 2009</v>
      </c>
      <c r="B478" s="10">
        <v>39831</v>
      </c>
      <c r="C478">
        <v>2009</v>
      </c>
      <c r="D478" s="11">
        <v>0.48194444444444445</v>
      </c>
      <c r="E478" t="s">
        <v>1738</v>
      </c>
      <c r="F478" t="s">
        <v>21</v>
      </c>
      <c r="G478">
        <v>100000</v>
      </c>
      <c r="H478" t="s">
        <v>12</v>
      </c>
      <c r="I478" t="s">
        <v>788</v>
      </c>
      <c r="J478" t="s">
        <v>837</v>
      </c>
      <c r="K478" t="s">
        <v>815</v>
      </c>
      <c r="L478" s="9">
        <f>WEEKDAY(Table1_2[[#This Row],[Transaction date]])</f>
        <v>1</v>
      </c>
    </row>
    <row r="479" spans="1:12" x14ac:dyDescent="0.3">
      <c r="A479" t="str">
        <f t="shared" si="7"/>
        <v>18-Jan 2009</v>
      </c>
      <c r="B479" s="10">
        <v>39831</v>
      </c>
      <c r="C479">
        <v>2009</v>
      </c>
      <c r="D479" s="11">
        <v>0.19305555555555556</v>
      </c>
      <c r="E479" t="s">
        <v>1738</v>
      </c>
      <c r="F479" t="s">
        <v>11</v>
      </c>
      <c r="G479">
        <v>1200</v>
      </c>
      <c r="H479" t="s">
        <v>12</v>
      </c>
      <c r="I479" t="s">
        <v>323</v>
      </c>
      <c r="J479" t="s">
        <v>838</v>
      </c>
      <c r="K479" t="s">
        <v>815</v>
      </c>
      <c r="L479" s="9">
        <f>WEEKDAY(Table1_2[[#This Row],[Transaction date]])</f>
        <v>1</v>
      </c>
    </row>
    <row r="480" spans="1:12" x14ac:dyDescent="0.3">
      <c r="A480" t="str">
        <f t="shared" si="7"/>
        <v>19-Jan 2009</v>
      </c>
      <c r="B480" s="10">
        <v>39832</v>
      </c>
      <c r="C480">
        <v>2009</v>
      </c>
      <c r="D480" s="11">
        <v>0.46666666666666667</v>
      </c>
      <c r="E480" t="s">
        <v>1738</v>
      </c>
      <c r="F480" t="s">
        <v>11</v>
      </c>
      <c r="G480">
        <v>1200</v>
      </c>
      <c r="H480" t="s">
        <v>12</v>
      </c>
      <c r="I480" t="s">
        <v>135</v>
      </c>
      <c r="J480" t="s">
        <v>839</v>
      </c>
      <c r="K480" t="s">
        <v>815</v>
      </c>
      <c r="L480" s="9">
        <f>WEEKDAY(Table1_2[[#This Row],[Transaction date]])</f>
        <v>2</v>
      </c>
    </row>
    <row r="481" spans="1:12" x14ac:dyDescent="0.3">
      <c r="A481" t="str">
        <f t="shared" si="7"/>
        <v>20-Jan 2009</v>
      </c>
      <c r="B481" s="10">
        <v>39833</v>
      </c>
      <c r="C481">
        <v>2009</v>
      </c>
      <c r="D481" s="11">
        <v>0.13263888888888889</v>
      </c>
      <c r="E481" t="s">
        <v>1738</v>
      </c>
      <c r="F481" t="s">
        <v>11</v>
      </c>
      <c r="G481">
        <v>1200</v>
      </c>
      <c r="H481" t="s">
        <v>12</v>
      </c>
      <c r="I481" t="s">
        <v>841</v>
      </c>
      <c r="J481" t="s">
        <v>842</v>
      </c>
      <c r="K481" t="s">
        <v>815</v>
      </c>
      <c r="L481" s="9">
        <f>WEEKDAY(Table1_2[[#This Row],[Transaction date]])</f>
        <v>3</v>
      </c>
    </row>
    <row r="482" spans="1:12" x14ac:dyDescent="0.3">
      <c r="A482" t="str">
        <f t="shared" si="7"/>
        <v>20-Jan 2009</v>
      </c>
      <c r="B482" s="10">
        <v>39833</v>
      </c>
      <c r="C482">
        <v>2009</v>
      </c>
      <c r="D482" s="11">
        <v>0.24305555555555555</v>
      </c>
      <c r="E482" t="s">
        <v>1738</v>
      </c>
      <c r="F482" t="s">
        <v>11</v>
      </c>
      <c r="G482">
        <v>1200</v>
      </c>
      <c r="H482" t="s">
        <v>12</v>
      </c>
      <c r="I482" t="s">
        <v>627</v>
      </c>
      <c r="J482" t="s">
        <v>843</v>
      </c>
      <c r="K482" t="s">
        <v>815</v>
      </c>
      <c r="L482" s="9">
        <f>WEEKDAY(Table1_2[[#This Row],[Transaction date]])</f>
        <v>3</v>
      </c>
    </row>
    <row r="483" spans="1:12" x14ac:dyDescent="0.3">
      <c r="A483" t="str">
        <f t="shared" si="7"/>
        <v>03-Jan 2009</v>
      </c>
      <c r="B483" s="10">
        <v>39816</v>
      </c>
      <c r="C483">
        <v>2009</v>
      </c>
      <c r="D483" s="11">
        <v>0.35347222222222224</v>
      </c>
      <c r="E483" t="s">
        <v>1738</v>
      </c>
      <c r="F483" t="s">
        <v>11</v>
      </c>
      <c r="G483">
        <v>1200</v>
      </c>
      <c r="H483" t="s">
        <v>12</v>
      </c>
      <c r="I483" t="s">
        <v>844</v>
      </c>
      <c r="J483" t="s">
        <v>845</v>
      </c>
      <c r="K483" t="s">
        <v>815</v>
      </c>
      <c r="L483" s="9">
        <f>WEEKDAY(Table1_2[[#This Row],[Transaction date]])</f>
        <v>7</v>
      </c>
    </row>
    <row r="484" spans="1:12" x14ac:dyDescent="0.3">
      <c r="A484" t="str">
        <f t="shared" si="7"/>
        <v>21-Jan 2009</v>
      </c>
      <c r="B484" s="10">
        <v>39834</v>
      </c>
      <c r="C484">
        <v>2009</v>
      </c>
      <c r="D484" s="11">
        <v>9.375E-2</v>
      </c>
      <c r="E484" t="s">
        <v>1738</v>
      </c>
      <c r="F484" t="s">
        <v>11</v>
      </c>
      <c r="G484">
        <v>1200</v>
      </c>
      <c r="H484" t="s">
        <v>12</v>
      </c>
      <c r="I484" t="s">
        <v>803</v>
      </c>
      <c r="J484" t="s">
        <v>817</v>
      </c>
      <c r="K484" t="s">
        <v>815</v>
      </c>
      <c r="L484" s="9">
        <f>WEEKDAY(Table1_2[[#This Row],[Transaction date]])</f>
        <v>4</v>
      </c>
    </row>
    <row r="485" spans="1:12" x14ac:dyDescent="0.3">
      <c r="A485" t="str">
        <f t="shared" si="7"/>
        <v>06-Jan 2009</v>
      </c>
      <c r="B485" s="10">
        <v>39819</v>
      </c>
      <c r="C485">
        <v>2009</v>
      </c>
      <c r="D485" s="11">
        <v>0.17916666666666667</v>
      </c>
      <c r="E485" t="s">
        <v>1738</v>
      </c>
      <c r="F485" t="s">
        <v>11</v>
      </c>
      <c r="G485">
        <v>1200</v>
      </c>
      <c r="H485" t="s">
        <v>12</v>
      </c>
      <c r="I485" t="s">
        <v>846</v>
      </c>
      <c r="J485" t="s">
        <v>847</v>
      </c>
      <c r="K485" t="s">
        <v>815</v>
      </c>
      <c r="L485" s="9">
        <f>WEEKDAY(Table1_2[[#This Row],[Transaction date]])</f>
        <v>3</v>
      </c>
    </row>
    <row r="486" spans="1:12" x14ac:dyDescent="0.3">
      <c r="A486" t="str">
        <f t="shared" si="7"/>
        <v>14-Jan 2009</v>
      </c>
      <c r="B486" s="10">
        <v>39827</v>
      </c>
      <c r="C486">
        <v>2009</v>
      </c>
      <c r="D486" s="11">
        <v>0.13125000000000001</v>
      </c>
      <c r="E486" t="s">
        <v>1738</v>
      </c>
      <c r="F486" t="s">
        <v>11</v>
      </c>
      <c r="G486">
        <v>1200</v>
      </c>
      <c r="H486" t="s">
        <v>17</v>
      </c>
      <c r="I486" t="s">
        <v>90</v>
      </c>
      <c r="J486" t="s">
        <v>848</v>
      </c>
      <c r="K486" t="s">
        <v>815</v>
      </c>
      <c r="L486" s="9">
        <f>WEEKDAY(Table1_2[[#This Row],[Transaction date]])</f>
        <v>4</v>
      </c>
    </row>
    <row r="487" spans="1:12" x14ac:dyDescent="0.3">
      <c r="A487" t="str">
        <f t="shared" si="7"/>
        <v>24-Jan 2009</v>
      </c>
      <c r="B487" s="10">
        <v>39837</v>
      </c>
      <c r="C487">
        <v>2009</v>
      </c>
      <c r="D487" s="11">
        <v>0.37569444444444444</v>
      </c>
      <c r="E487" t="s">
        <v>1738</v>
      </c>
      <c r="F487" t="s">
        <v>21</v>
      </c>
      <c r="G487">
        <v>100000</v>
      </c>
      <c r="H487" t="s">
        <v>12</v>
      </c>
      <c r="I487" t="s">
        <v>465</v>
      </c>
      <c r="J487" t="s">
        <v>849</v>
      </c>
      <c r="K487" t="s">
        <v>815</v>
      </c>
      <c r="L487" s="9">
        <f>WEEKDAY(Table1_2[[#This Row],[Transaction date]])</f>
        <v>7</v>
      </c>
    </row>
    <row r="488" spans="1:12" x14ac:dyDescent="0.3">
      <c r="A488" t="str">
        <f t="shared" si="7"/>
        <v>11-Jan 2009</v>
      </c>
      <c r="B488" s="10">
        <v>39824</v>
      </c>
      <c r="C488">
        <v>2009</v>
      </c>
      <c r="D488" s="11">
        <v>0.2986111111111111</v>
      </c>
      <c r="E488" t="s">
        <v>1738</v>
      </c>
      <c r="F488" t="s">
        <v>21</v>
      </c>
      <c r="G488">
        <v>100000</v>
      </c>
      <c r="H488" t="s">
        <v>12</v>
      </c>
      <c r="I488" t="s">
        <v>850</v>
      </c>
      <c r="J488" t="s">
        <v>851</v>
      </c>
      <c r="K488" t="s">
        <v>815</v>
      </c>
      <c r="L488" s="9">
        <f>WEEKDAY(Table1_2[[#This Row],[Transaction date]])</f>
        <v>1</v>
      </c>
    </row>
    <row r="489" spans="1:12" x14ac:dyDescent="0.3">
      <c r="A489" t="str">
        <f t="shared" si="7"/>
        <v>11-Jan 2009</v>
      </c>
      <c r="B489" s="10">
        <v>39824</v>
      </c>
      <c r="C489">
        <v>2009</v>
      </c>
      <c r="D489" s="11">
        <v>0.16597222222222222</v>
      </c>
      <c r="E489" t="s">
        <v>1738</v>
      </c>
      <c r="F489" t="s">
        <v>11</v>
      </c>
      <c r="G489">
        <v>1200</v>
      </c>
      <c r="H489" t="s">
        <v>12</v>
      </c>
      <c r="I489" t="s">
        <v>852</v>
      </c>
      <c r="J489" t="s">
        <v>853</v>
      </c>
      <c r="K489" t="s">
        <v>815</v>
      </c>
      <c r="L489" s="9">
        <f>WEEKDAY(Table1_2[[#This Row],[Transaction date]])</f>
        <v>1</v>
      </c>
    </row>
    <row r="490" spans="1:12" x14ac:dyDescent="0.3">
      <c r="A490" t="str">
        <f t="shared" si="7"/>
        <v>01-Jan 2009</v>
      </c>
      <c r="B490" s="10">
        <v>39814</v>
      </c>
      <c r="C490">
        <v>2009</v>
      </c>
      <c r="D490" s="11">
        <v>0.38958333333333334</v>
      </c>
      <c r="E490" t="s">
        <v>1738</v>
      </c>
      <c r="F490" t="s">
        <v>11</v>
      </c>
      <c r="G490">
        <v>1200</v>
      </c>
      <c r="H490" t="s">
        <v>17</v>
      </c>
      <c r="I490" t="s">
        <v>854</v>
      </c>
      <c r="J490" t="s">
        <v>855</v>
      </c>
      <c r="K490" t="s">
        <v>815</v>
      </c>
      <c r="L490" s="9">
        <f>WEEKDAY(Table1_2[[#This Row],[Transaction date]])</f>
        <v>5</v>
      </c>
    </row>
    <row r="491" spans="1:12" x14ac:dyDescent="0.3">
      <c r="A491" t="str">
        <f t="shared" si="7"/>
        <v>11-Jan 2009</v>
      </c>
      <c r="B491" s="10">
        <v>39824</v>
      </c>
      <c r="C491">
        <v>2009</v>
      </c>
      <c r="D491" s="11">
        <v>0.48333333333333334</v>
      </c>
      <c r="E491" t="s">
        <v>1738</v>
      </c>
      <c r="F491" t="s">
        <v>11</v>
      </c>
      <c r="G491">
        <v>1200</v>
      </c>
      <c r="H491" t="s">
        <v>17</v>
      </c>
      <c r="I491" t="s">
        <v>856</v>
      </c>
      <c r="J491" t="s">
        <v>817</v>
      </c>
      <c r="K491" t="s">
        <v>815</v>
      </c>
      <c r="L491" s="9">
        <f>WEEKDAY(Table1_2[[#This Row],[Transaction date]])</f>
        <v>1</v>
      </c>
    </row>
    <row r="492" spans="1:12" x14ac:dyDescent="0.3">
      <c r="A492" t="str">
        <f t="shared" si="7"/>
        <v>07-Jan 2009</v>
      </c>
      <c r="B492" s="10">
        <v>39820</v>
      </c>
      <c r="C492">
        <v>2009</v>
      </c>
      <c r="D492" s="11">
        <v>0.19791666666666666</v>
      </c>
      <c r="E492" t="s">
        <v>1738</v>
      </c>
      <c r="F492" t="s">
        <v>11</v>
      </c>
      <c r="G492">
        <v>1200</v>
      </c>
      <c r="H492" t="s">
        <v>65</v>
      </c>
      <c r="I492" t="s">
        <v>818</v>
      </c>
      <c r="J492" t="s">
        <v>817</v>
      </c>
      <c r="K492" t="s">
        <v>815</v>
      </c>
      <c r="L492" s="9">
        <f>WEEKDAY(Table1_2[[#This Row],[Transaction date]])</f>
        <v>4</v>
      </c>
    </row>
    <row r="493" spans="1:12" x14ac:dyDescent="0.3">
      <c r="A493" t="str">
        <f t="shared" si="7"/>
        <v>26-Jan 2009</v>
      </c>
      <c r="B493" s="10">
        <v>39839</v>
      </c>
      <c r="C493">
        <v>2009</v>
      </c>
      <c r="D493" s="11">
        <v>0.37361111111111112</v>
      </c>
      <c r="E493" t="s">
        <v>1738</v>
      </c>
      <c r="F493" t="s">
        <v>11</v>
      </c>
      <c r="G493">
        <v>1200</v>
      </c>
      <c r="H493" t="s">
        <v>17</v>
      </c>
      <c r="I493" t="s">
        <v>857</v>
      </c>
      <c r="J493" t="s">
        <v>817</v>
      </c>
      <c r="K493" t="s">
        <v>815</v>
      </c>
      <c r="L493" s="9">
        <f>WEEKDAY(Table1_2[[#This Row],[Transaction date]])</f>
        <v>2</v>
      </c>
    </row>
    <row r="494" spans="1:12" x14ac:dyDescent="0.3">
      <c r="A494" t="str">
        <f t="shared" si="7"/>
        <v>05-Jan 2009</v>
      </c>
      <c r="B494" s="10">
        <v>39818</v>
      </c>
      <c r="C494">
        <v>2009</v>
      </c>
      <c r="D494" s="11">
        <v>0.23125000000000001</v>
      </c>
      <c r="E494" t="s">
        <v>1738</v>
      </c>
      <c r="F494" t="s">
        <v>11</v>
      </c>
      <c r="G494">
        <v>1200</v>
      </c>
      <c r="H494" t="s">
        <v>17</v>
      </c>
      <c r="I494" t="s">
        <v>455</v>
      </c>
      <c r="J494" t="s">
        <v>817</v>
      </c>
      <c r="K494" t="s">
        <v>815</v>
      </c>
      <c r="L494" s="9">
        <f>WEEKDAY(Table1_2[[#This Row],[Transaction date]])</f>
        <v>2</v>
      </c>
    </row>
    <row r="495" spans="1:12" x14ac:dyDescent="0.3">
      <c r="A495" t="str">
        <f t="shared" si="7"/>
        <v>27-Jan 2009</v>
      </c>
      <c r="B495" s="10">
        <v>39840</v>
      </c>
      <c r="C495">
        <v>2009</v>
      </c>
      <c r="D495" s="11">
        <v>0.21527777777777779</v>
      </c>
      <c r="E495" t="s">
        <v>1738</v>
      </c>
      <c r="F495" t="s">
        <v>11</v>
      </c>
      <c r="G495">
        <v>1200</v>
      </c>
      <c r="H495" t="s">
        <v>12</v>
      </c>
      <c r="I495" t="s">
        <v>858</v>
      </c>
      <c r="J495" t="s">
        <v>859</v>
      </c>
      <c r="K495" t="s">
        <v>815</v>
      </c>
      <c r="L495" s="9">
        <f>WEEKDAY(Table1_2[[#This Row],[Transaction date]])</f>
        <v>3</v>
      </c>
    </row>
    <row r="496" spans="1:12" x14ac:dyDescent="0.3">
      <c r="A496" t="str">
        <f t="shared" si="7"/>
        <v>02-Jan 2009</v>
      </c>
      <c r="B496" s="10">
        <v>39815</v>
      </c>
      <c r="C496">
        <v>2009</v>
      </c>
      <c r="D496" s="11">
        <v>0.13750000000000001</v>
      </c>
      <c r="E496" t="s">
        <v>1738</v>
      </c>
      <c r="F496" t="s">
        <v>11</v>
      </c>
      <c r="G496">
        <v>1200</v>
      </c>
      <c r="H496" t="s">
        <v>17</v>
      </c>
      <c r="I496" t="s">
        <v>647</v>
      </c>
      <c r="J496" t="s">
        <v>860</v>
      </c>
      <c r="K496" t="s">
        <v>815</v>
      </c>
      <c r="L496" s="9">
        <f>WEEKDAY(Table1_2[[#This Row],[Transaction date]])</f>
        <v>6</v>
      </c>
    </row>
    <row r="497" spans="1:12" x14ac:dyDescent="0.3">
      <c r="A497" t="str">
        <f t="shared" si="7"/>
        <v>28-Jan 2009</v>
      </c>
      <c r="B497" s="10">
        <v>39841</v>
      </c>
      <c r="C497">
        <v>2009</v>
      </c>
      <c r="D497" s="11">
        <v>0.29652777777777778</v>
      </c>
      <c r="E497" t="s">
        <v>1738</v>
      </c>
      <c r="F497" t="s">
        <v>11</v>
      </c>
      <c r="G497">
        <v>1200</v>
      </c>
      <c r="H497" t="s">
        <v>12</v>
      </c>
      <c r="I497" t="s">
        <v>803</v>
      </c>
      <c r="J497" t="s">
        <v>861</v>
      </c>
      <c r="K497" t="s">
        <v>815</v>
      </c>
      <c r="L497" s="9">
        <f>WEEKDAY(Table1_2[[#This Row],[Transaction date]])</f>
        <v>4</v>
      </c>
    </row>
    <row r="498" spans="1:12" x14ac:dyDescent="0.3">
      <c r="A498" t="str">
        <f t="shared" si="7"/>
        <v>24-Jan 2009</v>
      </c>
      <c r="B498" s="10">
        <v>39837</v>
      </c>
      <c r="C498">
        <v>2009</v>
      </c>
      <c r="D498" s="11">
        <v>0.1673611111111111</v>
      </c>
      <c r="E498" t="s">
        <v>1738</v>
      </c>
      <c r="F498" t="s">
        <v>11</v>
      </c>
      <c r="G498">
        <v>1200</v>
      </c>
      <c r="H498" t="s">
        <v>12</v>
      </c>
      <c r="I498" t="s">
        <v>862</v>
      </c>
      <c r="J498" t="s">
        <v>863</v>
      </c>
      <c r="K498" t="s">
        <v>815</v>
      </c>
      <c r="L498" s="9">
        <f>WEEKDAY(Table1_2[[#This Row],[Transaction date]])</f>
        <v>7</v>
      </c>
    </row>
    <row r="499" spans="1:12" x14ac:dyDescent="0.3">
      <c r="A499" t="str">
        <f t="shared" si="7"/>
        <v>02-Jan 2009</v>
      </c>
      <c r="B499" s="10">
        <v>39815</v>
      </c>
      <c r="C499">
        <v>2009</v>
      </c>
      <c r="D499" s="11">
        <v>0.21805555555555556</v>
      </c>
      <c r="E499" t="s">
        <v>1738</v>
      </c>
      <c r="F499" t="s">
        <v>11</v>
      </c>
      <c r="G499">
        <v>1200</v>
      </c>
      <c r="H499" t="s">
        <v>12</v>
      </c>
      <c r="I499" t="s">
        <v>864</v>
      </c>
      <c r="J499" t="s">
        <v>865</v>
      </c>
      <c r="K499" t="s">
        <v>815</v>
      </c>
      <c r="L499" s="9">
        <f>WEEKDAY(Table1_2[[#This Row],[Transaction date]])</f>
        <v>6</v>
      </c>
    </row>
    <row r="500" spans="1:12" x14ac:dyDescent="0.3">
      <c r="A500" t="str">
        <f t="shared" si="7"/>
        <v>13-Jan 2009</v>
      </c>
      <c r="B500" s="10">
        <v>39826</v>
      </c>
      <c r="C500">
        <v>2009</v>
      </c>
      <c r="D500" s="11">
        <v>0.34722222222222221</v>
      </c>
      <c r="E500" t="s">
        <v>1738</v>
      </c>
      <c r="F500" t="s">
        <v>11</v>
      </c>
      <c r="G500">
        <v>1200</v>
      </c>
      <c r="H500" t="s">
        <v>17</v>
      </c>
      <c r="I500" t="s">
        <v>866</v>
      </c>
      <c r="J500" t="s">
        <v>867</v>
      </c>
      <c r="K500" t="s">
        <v>815</v>
      </c>
      <c r="L500" s="9">
        <f>WEEKDAY(Table1_2[[#This Row],[Transaction date]])</f>
        <v>3</v>
      </c>
    </row>
    <row r="501" spans="1:12" x14ac:dyDescent="0.3">
      <c r="A501" t="str">
        <f t="shared" si="7"/>
        <v>13-Jan 2009</v>
      </c>
      <c r="B501" s="10">
        <v>39826</v>
      </c>
      <c r="C501">
        <v>2009</v>
      </c>
      <c r="D501" s="11">
        <v>0.47986111111111113</v>
      </c>
      <c r="E501" t="s">
        <v>1738</v>
      </c>
      <c r="F501" t="s">
        <v>11</v>
      </c>
      <c r="G501">
        <v>1200</v>
      </c>
      <c r="H501" t="s">
        <v>12</v>
      </c>
      <c r="I501" t="s">
        <v>868</v>
      </c>
      <c r="J501" t="s">
        <v>869</v>
      </c>
      <c r="K501" t="s">
        <v>815</v>
      </c>
      <c r="L501" s="9">
        <f>WEEKDAY(Table1_2[[#This Row],[Transaction date]])</f>
        <v>3</v>
      </c>
    </row>
    <row r="502" spans="1:12" x14ac:dyDescent="0.3">
      <c r="A502" t="str">
        <f t="shared" si="7"/>
        <v>05-Jan 2009</v>
      </c>
      <c r="B502" s="10">
        <v>39818</v>
      </c>
      <c r="C502">
        <v>2009</v>
      </c>
      <c r="D502" s="11">
        <v>0.47291666666666665</v>
      </c>
      <c r="E502" t="s">
        <v>1738</v>
      </c>
      <c r="F502" t="s">
        <v>11</v>
      </c>
      <c r="G502">
        <v>1200</v>
      </c>
      <c r="H502" t="s">
        <v>12</v>
      </c>
      <c r="I502" t="s">
        <v>870</v>
      </c>
      <c r="J502" t="s">
        <v>871</v>
      </c>
      <c r="K502" t="s">
        <v>815</v>
      </c>
      <c r="L502" s="9">
        <f>WEEKDAY(Table1_2[[#This Row],[Transaction date]])</f>
        <v>2</v>
      </c>
    </row>
    <row r="503" spans="1:12" x14ac:dyDescent="0.3">
      <c r="A503" t="str">
        <f t="shared" si="7"/>
        <v>31-Jan 2009</v>
      </c>
      <c r="B503" s="10">
        <v>39844</v>
      </c>
      <c r="C503">
        <v>2009</v>
      </c>
      <c r="D503" s="11">
        <v>0.38333333333333336</v>
      </c>
      <c r="E503" t="s">
        <v>1738</v>
      </c>
      <c r="F503" t="s">
        <v>11</v>
      </c>
      <c r="G503">
        <v>1200</v>
      </c>
      <c r="H503" t="s">
        <v>12</v>
      </c>
      <c r="I503" t="s">
        <v>872</v>
      </c>
      <c r="J503" t="s">
        <v>873</v>
      </c>
      <c r="K503" t="s">
        <v>815</v>
      </c>
      <c r="L503" s="9">
        <f>WEEKDAY(Table1_2[[#This Row],[Transaction date]])</f>
        <v>7</v>
      </c>
    </row>
    <row r="504" spans="1:12" x14ac:dyDescent="0.3">
      <c r="A504" t="str">
        <f t="shared" si="7"/>
        <v>31-Jan 2009</v>
      </c>
      <c r="B504" s="10">
        <v>39844</v>
      </c>
      <c r="C504">
        <v>2009</v>
      </c>
      <c r="D504" s="11">
        <v>0.375</v>
      </c>
      <c r="E504" t="s">
        <v>1738</v>
      </c>
      <c r="F504" t="s">
        <v>11</v>
      </c>
      <c r="G504">
        <v>1200</v>
      </c>
      <c r="H504" t="s">
        <v>12</v>
      </c>
      <c r="I504" t="s">
        <v>874</v>
      </c>
      <c r="J504" t="s">
        <v>817</v>
      </c>
      <c r="K504" t="s">
        <v>815</v>
      </c>
      <c r="L504" s="9">
        <f>WEEKDAY(Table1_2[[#This Row],[Transaction date]])</f>
        <v>7</v>
      </c>
    </row>
    <row r="505" spans="1:12" x14ac:dyDescent="0.3">
      <c r="A505" t="str">
        <f t="shared" si="7"/>
        <v>22-Jan 2009</v>
      </c>
      <c r="B505" s="10">
        <v>39835</v>
      </c>
      <c r="C505">
        <v>2009</v>
      </c>
      <c r="D505" s="11">
        <v>0.52222222222222225</v>
      </c>
      <c r="E505" t="s">
        <v>1739</v>
      </c>
      <c r="F505" t="s">
        <v>11</v>
      </c>
      <c r="G505">
        <v>1200</v>
      </c>
      <c r="H505" t="s">
        <v>17</v>
      </c>
      <c r="I505" t="s">
        <v>875</v>
      </c>
      <c r="J505" t="s">
        <v>817</v>
      </c>
      <c r="K505" t="s">
        <v>815</v>
      </c>
      <c r="L505" s="9">
        <f>WEEKDAY(Table1_2[[#This Row],[Transaction date]])</f>
        <v>5</v>
      </c>
    </row>
    <row r="506" spans="1:12" x14ac:dyDescent="0.3">
      <c r="A506" t="str">
        <f t="shared" si="7"/>
        <v>26-Jan 2009</v>
      </c>
      <c r="B506" s="10">
        <v>39839</v>
      </c>
      <c r="C506">
        <v>2009</v>
      </c>
      <c r="D506" s="11">
        <v>0.20347222222222222</v>
      </c>
      <c r="E506" t="s">
        <v>1738</v>
      </c>
      <c r="F506" t="s">
        <v>11</v>
      </c>
      <c r="G506">
        <v>1200</v>
      </c>
      <c r="H506" t="s">
        <v>12</v>
      </c>
      <c r="I506" t="s">
        <v>876</v>
      </c>
      <c r="J506" t="s">
        <v>817</v>
      </c>
      <c r="K506" t="s">
        <v>815</v>
      </c>
      <c r="L506" s="9">
        <f>WEEKDAY(Table1_2[[#This Row],[Transaction date]])</f>
        <v>2</v>
      </c>
    </row>
    <row r="507" spans="1:12" x14ac:dyDescent="0.3">
      <c r="A507" t="str">
        <f t="shared" si="7"/>
        <v>09-Jan 2009</v>
      </c>
      <c r="B507" s="10">
        <v>39822</v>
      </c>
      <c r="C507">
        <v>2009</v>
      </c>
      <c r="D507" s="11">
        <v>0.15138888888888888</v>
      </c>
      <c r="E507" t="s">
        <v>1738</v>
      </c>
      <c r="F507" t="s">
        <v>11</v>
      </c>
      <c r="G507">
        <v>1200</v>
      </c>
      <c r="H507" t="s">
        <v>12</v>
      </c>
      <c r="I507" t="s">
        <v>877</v>
      </c>
      <c r="J507" t="s">
        <v>878</v>
      </c>
      <c r="K507" t="s">
        <v>815</v>
      </c>
      <c r="L507" s="9">
        <f>WEEKDAY(Table1_2[[#This Row],[Transaction date]])</f>
        <v>6</v>
      </c>
    </row>
    <row r="508" spans="1:12" x14ac:dyDescent="0.3">
      <c r="A508" t="str">
        <f t="shared" si="7"/>
        <v>05-Jan 2009</v>
      </c>
      <c r="B508" s="10">
        <v>39818</v>
      </c>
      <c r="C508">
        <v>2009</v>
      </c>
      <c r="D508" s="11">
        <v>4.6527777777777779E-2</v>
      </c>
      <c r="E508" t="s">
        <v>1738</v>
      </c>
      <c r="F508" t="s">
        <v>11</v>
      </c>
      <c r="G508">
        <v>1200</v>
      </c>
      <c r="H508" t="s">
        <v>12</v>
      </c>
      <c r="I508" t="s">
        <v>232</v>
      </c>
      <c r="J508" t="s">
        <v>879</v>
      </c>
      <c r="K508" t="s">
        <v>815</v>
      </c>
      <c r="L508" s="9">
        <f>WEEKDAY(Table1_2[[#This Row],[Transaction date]])</f>
        <v>2</v>
      </c>
    </row>
    <row r="509" spans="1:12" x14ac:dyDescent="0.3">
      <c r="A509" t="str">
        <f t="shared" si="7"/>
        <v>15-Jan 2009</v>
      </c>
      <c r="B509" s="10">
        <v>39828</v>
      </c>
      <c r="C509">
        <v>2009</v>
      </c>
      <c r="D509" s="11">
        <v>0.14305555555555555</v>
      </c>
      <c r="E509" t="s">
        <v>1738</v>
      </c>
      <c r="F509" t="s">
        <v>11</v>
      </c>
      <c r="G509">
        <v>1200</v>
      </c>
      <c r="H509" t="s">
        <v>12</v>
      </c>
      <c r="I509" t="s">
        <v>420</v>
      </c>
      <c r="J509" t="s">
        <v>880</v>
      </c>
      <c r="K509" t="s">
        <v>815</v>
      </c>
      <c r="L509" s="9">
        <f>WEEKDAY(Table1_2[[#This Row],[Transaction date]])</f>
        <v>5</v>
      </c>
    </row>
    <row r="510" spans="1:12" x14ac:dyDescent="0.3">
      <c r="A510" t="str">
        <f t="shared" si="7"/>
        <v>08-Jan 2009</v>
      </c>
      <c r="B510" s="10">
        <v>39821</v>
      </c>
      <c r="C510">
        <v>2009</v>
      </c>
      <c r="D510" s="11">
        <v>0.34097222222222223</v>
      </c>
      <c r="E510" t="s">
        <v>1738</v>
      </c>
      <c r="F510" t="s">
        <v>11</v>
      </c>
      <c r="G510">
        <v>1200</v>
      </c>
      <c r="H510" t="s">
        <v>17</v>
      </c>
      <c r="I510" t="s">
        <v>548</v>
      </c>
      <c r="J510" t="s">
        <v>881</v>
      </c>
      <c r="K510" t="s">
        <v>815</v>
      </c>
      <c r="L510" s="9">
        <f>WEEKDAY(Table1_2[[#This Row],[Transaction date]])</f>
        <v>5</v>
      </c>
    </row>
    <row r="511" spans="1:12" x14ac:dyDescent="0.3">
      <c r="A511" t="str">
        <f t="shared" si="7"/>
        <v>24-Jan 2009</v>
      </c>
      <c r="B511" s="10">
        <v>39837</v>
      </c>
      <c r="C511">
        <v>2009</v>
      </c>
      <c r="D511" s="11">
        <v>0.43263888888888891</v>
      </c>
      <c r="E511" t="s">
        <v>1738</v>
      </c>
      <c r="F511" t="s">
        <v>11</v>
      </c>
      <c r="G511">
        <v>1200</v>
      </c>
      <c r="H511" t="s">
        <v>12</v>
      </c>
      <c r="I511" t="s">
        <v>882</v>
      </c>
      <c r="J511" t="s">
        <v>835</v>
      </c>
      <c r="K511" t="s">
        <v>815</v>
      </c>
      <c r="L511" s="9">
        <f>WEEKDAY(Table1_2[[#This Row],[Transaction date]])</f>
        <v>7</v>
      </c>
    </row>
    <row r="512" spans="1:12" x14ac:dyDescent="0.3">
      <c r="A512" t="str">
        <f t="shared" si="7"/>
        <v>01-Jan 2009</v>
      </c>
      <c r="B512" s="10">
        <v>39814</v>
      </c>
      <c r="C512">
        <v>2009</v>
      </c>
      <c r="D512" s="11">
        <v>0.16666666666666666</v>
      </c>
      <c r="E512" t="s">
        <v>1738</v>
      </c>
      <c r="F512" t="s">
        <v>11</v>
      </c>
      <c r="G512">
        <v>1200</v>
      </c>
      <c r="H512" t="s">
        <v>12</v>
      </c>
      <c r="I512" t="s">
        <v>883</v>
      </c>
      <c r="J512" t="s">
        <v>880</v>
      </c>
      <c r="K512" t="s">
        <v>815</v>
      </c>
      <c r="L512" s="9">
        <f>WEEKDAY(Table1_2[[#This Row],[Transaction date]])</f>
        <v>5</v>
      </c>
    </row>
    <row r="513" spans="1:12" x14ac:dyDescent="0.3">
      <c r="A513" t="str">
        <f t="shared" si="7"/>
        <v>16-Jan 2009</v>
      </c>
      <c r="B513" s="10">
        <v>39829</v>
      </c>
      <c r="C513">
        <v>2009</v>
      </c>
      <c r="D513" s="11">
        <v>0.53263888888888888</v>
      </c>
      <c r="E513" t="s">
        <v>1739</v>
      </c>
      <c r="F513" t="s">
        <v>11</v>
      </c>
      <c r="G513">
        <v>1200</v>
      </c>
      <c r="H513" t="s">
        <v>12</v>
      </c>
      <c r="I513" t="s">
        <v>884</v>
      </c>
      <c r="J513" t="s">
        <v>817</v>
      </c>
      <c r="K513" t="s">
        <v>815</v>
      </c>
      <c r="L513" s="9">
        <f>WEEKDAY(Table1_2[[#This Row],[Transaction date]])</f>
        <v>6</v>
      </c>
    </row>
    <row r="514" spans="1:12" x14ac:dyDescent="0.3">
      <c r="A514" t="str">
        <f t="shared" ref="A514:A577" si="8">TEXT(B514, "dd-mmm") &amp; " " &amp; C514</f>
        <v>02-Jan 2009</v>
      </c>
      <c r="B514" s="10">
        <v>39815</v>
      </c>
      <c r="C514">
        <v>2009</v>
      </c>
      <c r="D514" s="11">
        <v>0.32430555555555557</v>
      </c>
      <c r="E514" t="s">
        <v>1738</v>
      </c>
      <c r="F514" t="s">
        <v>11</v>
      </c>
      <c r="G514">
        <v>1200</v>
      </c>
      <c r="H514" t="s">
        <v>17</v>
      </c>
      <c r="I514" t="s">
        <v>885</v>
      </c>
      <c r="J514" t="s">
        <v>817</v>
      </c>
      <c r="K514" t="s">
        <v>815</v>
      </c>
      <c r="L514" s="9">
        <f>WEEKDAY(Table1_2[[#This Row],[Transaction date]])</f>
        <v>6</v>
      </c>
    </row>
    <row r="515" spans="1:12" x14ac:dyDescent="0.3">
      <c r="A515" t="str">
        <f t="shared" si="8"/>
        <v>10-Jan 2009</v>
      </c>
      <c r="B515" s="10">
        <v>39823</v>
      </c>
      <c r="C515">
        <v>2009</v>
      </c>
      <c r="D515" s="11">
        <v>0.34236111111111112</v>
      </c>
      <c r="E515" t="s">
        <v>1738</v>
      </c>
      <c r="F515" t="s">
        <v>11</v>
      </c>
      <c r="G515">
        <v>1200</v>
      </c>
      <c r="H515" t="s">
        <v>17</v>
      </c>
      <c r="I515" t="s">
        <v>388</v>
      </c>
      <c r="J515" t="s">
        <v>847</v>
      </c>
      <c r="K515" t="s">
        <v>815</v>
      </c>
      <c r="L515" s="9">
        <f>WEEKDAY(Table1_2[[#This Row],[Transaction date]])</f>
        <v>7</v>
      </c>
    </row>
    <row r="516" spans="1:12" x14ac:dyDescent="0.3">
      <c r="A516" t="str">
        <f t="shared" si="8"/>
        <v>27-Jan 2009</v>
      </c>
      <c r="B516" s="10">
        <v>39840</v>
      </c>
      <c r="C516">
        <v>2009</v>
      </c>
      <c r="D516" s="11">
        <v>0.10555555555555556</v>
      </c>
      <c r="E516" t="s">
        <v>1738</v>
      </c>
      <c r="F516" t="s">
        <v>11</v>
      </c>
      <c r="G516">
        <v>1200</v>
      </c>
      <c r="H516" t="s">
        <v>12</v>
      </c>
      <c r="I516" t="s">
        <v>886</v>
      </c>
      <c r="J516" t="s">
        <v>887</v>
      </c>
      <c r="K516" t="s">
        <v>815</v>
      </c>
      <c r="L516" s="9">
        <f>WEEKDAY(Table1_2[[#This Row],[Transaction date]])</f>
        <v>3</v>
      </c>
    </row>
    <row r="517" spans="1:12" x14ac:dyDescent="0.3">
      <c r="A517" t="str">
        <f t="shared" si="8"/>
        <v>18-Jan 2009</v>
      </c>
      <c r="B517" s="10">
        <v>39831</v>
      </c>
      <c r="C517">
        <v>2009</v>
      </c>
      <c r="D517" s="11">
        <v>6.6666666666666666E-2</v>
      </c>
      <c r="E517" t="s">
        <v>1738</v>
      </c>
      <c r="F517" t="s">
        <v>11</v>
      </c>
      <c r="G517">
        <v>1200</v>
      </c>
      <c r="H517" t="s">
        <v>65</v>
      </c>
      <c r="I517" t="s">
        <v>888</v>
      </c>
      <c r="J517" t="s">
        <v>817</v>
      </c>
      <c r="K517" t="s">
        <v>815</v>
      </c>
      <c r="L517" s="9">
        <f>WEEKDAY(Table1_2[[#This Row],[Transaction date]])</f>
        <v>1</v>
      </c>
    </row>
    <row r="518" spans="1:12" x14ac:dyDescent="0.3">
      <c r="A518" t="str">
        <f t="shared" si="8"/>
        <v>18-Jan 2009</v>
      </c>
      <c r="B518" s="10">
        <v>39831</v>
      </c>
      <c r="C518">
        <v>2009</v>
      </c>
      <c r="D518" s="11">
        <v>0.48749999999999999</v>
      </c>
      <c r="E518" t="s">
        <v>1738</v>
      </c>
      <c r="F518" t="s">
        <v>11</v>
      </c>
      <c r="G518">
        <v>1200</v>
      </c>
      <c r="H518" t="s">
        <v>12</v>
      </c>
      <c r="I518" t="s">
        <v>889</v>
      </c>
      <c r="J518" t="s">
        <v>890</v>
      </c>
      <c r="K518" t="s">
        <v>815</v>
      </c>
      <c r="L518" s="9">
        <f>WEEKDAY(Table1_2[[#This Row],[Transaction date]])</f>
        <v>1</v>
      </c>
    </row>
    <row r="519" spans="1:12" x14ac:dyDescent="0.3">
      <c r="A519" t="str">
        <f t="shared" si="8"/>
        <v>30-Jan 2009</v>
      </c>
      <c r="B519" s="10">
        <v>39843</v>
      </c>
      <c r="C519">
        <v>2009</v>
      </c>
      <c r="D519" s="11">
        <v>0.49722222222222223</v>
      </c>
      <c r="E519" t="s">
        <v>1738</v>
      </c>
      <c r="F519" t="s">
        <v>11</v>
      </c>
      <c r="G519">
        <v>1200</v>
      </c>
      <c r="H519" t="s">
        <v>17</v>
      </c>
      <c r="I519" t="s">
        <v>445</v>
      </c>
      <c r="J519" t="s">
        <v>891</v>
      </c>
      <c r="K519" t="s">
        <v>815</v>
      </c>
      <c r="L519" s="9">
        <f>WEEKDAY(Table1_2[[#This Row],[Transaction date]])</f>
        <v>6</v>
      </c>
    </row>
    <row r="520" spans="1:12" x14ac:dyDescent="0.3">
      <c r="A520" t="str">
        <f t="shared" si="8"/>
        <v>14-Jan 2009</v>
      </c>
      <c r="B520" s="10">
        <v>39827</v>
      </c>
      <c r="C520">
        <v>2009</v>
      </c>
      <c r="D520" s="11">
        <v>6.1111111111111109E-2</v>
      </c>
      <c r="E520" t="s">
        <v>1738</v>
      </c>
      <c r="F520" t="s">
        <v>11</v>
      </c>
      <c r="G520">
        <v>1200</v>
      </c>
      <c r="H520" t="s">
        <v>17</v>
      </c>
      <c r="I520" t="s">
        <v>816</v>
      </c>
      <c r="J520" t="s">
        <v>845</v>
      </c>
      <c r="K520" t="s">
        <v>815</v>
      </c>
      <c r="L520" s="9">
        <f>WEEKDAY(Table1_2[[#This Row],[Transaction date]])</f>
        <v>4</v>
      </c>
    </row>
    <row r="521" spans="1:12" x14ac:dyDescent="0.3">
      <c r="A521" t="str">
        <f t="shared" si="8"/>
        <v>05-Jan 2009</v>
      </c>
      <c r="B521" s="10">
        <v>39818</v>
      </c>
      <c r="C521">
        <v>2009</v>
      </c>
      <c r="D521" s="11">
        <v>0.14097222222222222</v>
      </c>
      <c r="E521" t="s">
        <v>1738</v>
      </c>
      <c r="F521" t="s">
        <v>11</v>
      </c>
      <c r="G521">
        <v>1200</v>
      </c>
      <c r="H521" t="s">
        <v>12</v>
      </c>
      <c r="I521" t="s">
        <v>892</v>
      </c>
      <c r="J521" t="s">
        <v>893</v>
      </c>
      <c r="K521" t="s">
        <v>815</v>
      </c>
      <c r="L521" s="9">
        <f>WEEKDAY(Table1_2[[#This Row],[Transaction date]])</f>
        <v>2</v>
      </c>
    </row>
    <row r="522" spans="1:12" x14ac:dyDescent="0.3">
      <c r="A522" t="str">
        <f t="shared" si="8"/>
        <v>24-Jan 2009</v>
      </c>
      <c r="B522" s="10">
        <v>39837</v>
      </c>
      <c r="C522">
        <v>2009</v>
      </c>
      <c r="D522" s="11">
        <v>0.30416666666666664</v>
      </c>
      <c r="E522" t="s">
        <v>1738</v>
      </c>
      <c r="F522" t="s">
        <v>21</v>
      </c>
      <c r="G522">
        <v>100000</v>
      </c>
      <c r="H522" t="s">
        <v>12</v>
      </c>
      <c r="I522" t="s">
        <v>451</v>
      </c>
      <c r="J522" t="s">
        <v>849</v>
      </c>
      <c r="K522" t="s">
        <v>815</v>
      </c>
      <c r="L522" s="9">
        <f>WEEKDAY(Table1_2[[#This Row],[Transaction date]])</f>
        <v>7</v>
      </c>
    </row>
    <row r="523" spans="1:12" x14ac:dyDescent="0.3">
      <c r="A523" t="str">
        <f t="shared" si="8"/>
        <v>14-Jan 2009</v>
      </c>
      <c r="B523" s="10">
        <v>39827</v>
      </c>
      <c r="C523">
        <v>2009</v>
      </c>
      <c r="D523" s="11">
        <v>0.5229166666666667</v>
      </c>
      <c r="E523" t="s">
        <v>1739</v>
      </c>
      <c r="F523" t="s">
        <v>11</v>
      </c>
      <c r="G523">
        <v>1200</v>
      </c>
      <c r="H523" t="s">
        <v>12</v>
      </c>
      <c r="I523" t="s">
        <v>894</v>
      </c>
      <c r="J523" t="s">
        <v>895</v>
      </c>
      <c r="K523" t="s">
        <v>815</v>
      </c>
      <c r="L523" s="9">
        <f>WEEKDAY(Table1_2[[#This Row],[Transaction date]])</f>
        <v>4</v>
      </c>
    </row>
    <row r="524" spans="1:12" x14ac:dyDescent="0.3">
      <c r="A524" t="str">
        <f t="shared" si="8"/>
        <v>01-Jan 2009</v>
      </c>
      <c r="B524" s="10">
        <v>39814</v>
      </c>
      <c r="C524">
        <v>2009</v>
      </c>
      <c r="D524" s="11">
        <v>0.52916666666666667</v>
      </c>
      <c r="E524" t="s">
        <v>1739</v>
      </c>
      <c r="F524" t="s">
        <v>11</v>
      </c>
      <c r="G524">
        <v>1200</v>
      </c>
      <c r="H524" t="s">
        <v>12</v>
      </c>
      <c r="I524" t="s">
        <v>896</v>
      </c>
      <c r="J524" t="s">
        <v>897</v>
      </c>
      <c r="K524" t="s">
        <v>815</v>
      </c>
      <c r="L524" s="9">
        <f>WEEKDAY(Table1_2[[#This Row],[Transaction date]])</f>
        <v>5</v>
      </c>
    </row>
    <row r="525" spans="1:12" x14ac:dyDescent="0.3">
      <c r="A525" t="str">
        <f t="shared" si="8"/>
        <v>15-Jan 2009</v>
      </c>
      <c r="B525" s="10">
        <v>39828</v>
      </c>
      <c r="C525">
        <v>2009</v>
      </c>
      <c r="D525" s="11">
        <v>0.21597222222222223</v>
      </c>
      <c r="E525" t="s">
        <v>1738</v>
      </c>
      <c r="F525" t="s">
        <v>21</v>
      </c>
      <c r="G525">
        <v>100000</v>
      </c>
      <c r="H525" t="s">
        <v>12</v>
      </c>
      <c r="I525" t="s">
        <v>447</v>
      </c>
      <c r="J525" t="s">
        <v>817</v>
      </c>
      <c r="K525" t="s">
        <v>815</v>
      </c>
      <c r="L525" s="9">
        <f>WEEKDAY(Table1_2[[#This Row],[Transaction date]])</f>
        <v>5</v>
      </c>
    </row>
    <row r="526" spans="1:12" x14ac:dyDescent="0.3">
      <c r="A526" t="str">
        <f t="shared" si="8"/>
        <v>19-Jan 2009</v>
      </c>
      <c r="B526" s="10">
        <v>39832</v>
      </c>
      <c r="C526">
        <v>2009</v>
      </c>
      <c r="D526" s="11">
        <v>0.42569444444444443</v>
      </c>
      <c r="E526" t="s">
        <v>1738</v>
      </c>
      <c r="F526" t="s">
        <v>21</v>
      </c>
      <c r="G526">
        <v>100000</v>
      </c>
      <c r="H526" t="s">
        <v>17</v>
      </c>
      <c r="I526" t="s">
        <v>898</v>
      </c>
      <c r="J526" t="s">
        <v>817</v>
      </c>
      <c r="K526" t="s">
        <v>815</v>
      </c>
      <c r="L526" s="9">
        <f>WEEKDAY(Table1_2[[#This Row],[Transaction date]])</f>
        <v>2</v>
      </c>
    </row>
    <row r="527" spans="1:12" x14ac:dyDescent="0.3">
      <c r="A527" t="str">
        <f t="shared" si="8"/>
        <v>08-Jan 2009</v>
      </c>
      <c r="B527" s="10">
        <v>39821</v>
      </c>
      <c r="C527">
        <v>2009</v>
      </c>
      <c r="D527" s="11">
        <v>0.1451388888888889</v>
      </c>
      <c r="E527" t="s">
        <v>1738</v>
      </c>
      <c r="F527" t="s">
        <v>11</v>
      </c>
      <c r="G527">
        <v>1200</v>
      </c>
      <c r="H527" t="s">
        <v>12</v>
      </c>
      <c r="I527" t="s">
        <v>589</v>
      </c>
      <c r="J527" t="s">
        <v>899</v>
      </c>
      <c r="K527" t="s">
        <v>815</v>
      </c>
      <c r="L527" s="9">
        <f>WEEKDAY(Table1_2[[#This Row],[Transaction date]])</f>
        <v>5</v>
      </c>
    </row>
    <row r="528" spans="1:12" x14ac:dyDescent="0.3">
      <c r="A528" t="str">
        <f t="shared" si="8"/>
        <v>07-Jan 2009</v>
      </c>
      <c r="B528" s="10">
        <v>39820</v>
      </c>
      <c r="C528">
        <v>2009</v>
      </c>
      <c r="D528" s="11">
        <v>6.1111111111111109E-2</v>
      </c>
      <c r="E528" t="s">
        <v>1738</v>
      </c>
      <c r="F528" t="s">
        <v>11</v>
      </c>
      <c r="G528">
        <v>1200</v>
      </c>
      <c r="H528" t="s">
        <v>12</v>
      </c>
      <c r="I528" t="s">
        <v>675</v>
      </c>
      <c r="J528" t="s">
        <v>900</v>
      </c>
      <c r="K528" t="s">
        <v>815</v>
      </c>
      <c r="L528" s="9">
        <f>WEEKDAY(Table1_2[[#This Row],[Transaction date]])</f>
        <v>4</v>
      </c>
    </row>
    <row r="529" spans="1:12" x14ac:dyDescent="0.3">
      <c r="A529" t="str">
        <f t="shared" si="8"/>
        <v>02-Jan 2009</v>
      </c>
      <c r="B529" s="10">
        <v>39815</v>
      </c>
      <c r="C529">
        <v>2009</v>
      </c>
      <c r="D529" s="11">
        <v>9.3055555555555558E-2</v>
      </c>
      <c r="E529" t="s">
        <v>1738</v>
      </c>
      <c r="F529" t="s">
        <v>11</v>
      </c>
      <c r="G529">
        <v>1200</v>
      </c>
      <c r="H529" t="s">
        <v>17</v>
      </c>
      <c r="I529" t="s">
        <v>901</v>
      </c>
      <c r="J529" t="s">
        <v>873</v>
      </c>
      <c r="K529" t="s">
        <v>815</v>
      </c>
      <c r="L529" s="9">
        <f>WEEKDAY(Table1_2[[#This Row],[Transaction date]])</f>
        <v>6</v>
      </c>
    </row>
    <row r="530" spans="1:12" x14ac:dyDescent="0.3">
      <c r="A530" t="str">
        <f t="shared" si="8"/>
        <v>28-Jan 2009</v>
      </c>
      <c r="B530" s="10">
        <v>39841</v>
      </c>
      <c r="C530">
        <v>2009</v>
      </c>
      <c r="D530" s="11">
        <v>0.17847222222222223</v>
      </c>
      <c r="E530" t="s">
        <v>1738</v>
      </c>
      <c r="F530" t="s">
        <v>11</v>
      </c>
      <c r="G530">
        <v>1200</v>
      </c>
      <c r="H530" t="s">
        <v>17</v>
      </c>
      <c r="I530" t="s">
        <v>902</v>
      </c>
      <c r="J530" t="s">
        <v>903</v>
      </c>
      <c r="K530" t="s">
        <v>815</v>
      </c>
      <c r="L530" s="9">
        <f>WEEKDAY(Table1_2[[#This Row],[Transaction date]])</f>
        <v>4</v>
      </c>
    </row>
    <row r="531" spans="1:12" x14ac:dyDescent="0.3">
      <c r="A531" t="str">
        <f t="shared" si="8"/>
        <v>04-Jan 2009</v>
      </c>
      <c r="B531" s="10">
        <v>39817</v>
      </c>
      <c r="C531">
        <v>2009</v>
      </c>
      <c r="D531" s="11">
        <v>0.53680555555555554</v>
      </c>
      <c r="E531" t="s">
        <v>1739</v>
      </c>
      <c r="F531" t="s">
        <v>11</v>
      </c>
      <c r="G531">
        <v>1200</v>
      </c>
      <c r="H531" t="s">
        <v>17</v>
      </c>
      <c r="I531" t="s">
        <v>904</v>
      </c>
      <c r="J531" t="s">
        <v>905</v>
      </c>
      <c r="K531" t="s">
        <v>815</v>
      </c>
      <c r="L531" s="9">
        <f>WEEKDAY(Table1_2[[#This Row],[Transaction date]])</f>
        <v>1</v>
      </c>
    </row>
    <row r="532" spans="1:12" x14ac:dyDescent="0.3">
      <c r="A532" t="str">
        <f t="shared" si="8"/>
        <v>08-Jan 2009</v>
      </c>
      <c r="B532" s="10">
        <v>39821</v>
      </c>
      <c r="C532">
        <v>2009</v>
      </c>
      <c r="D532" s="11">
        <v>0.11527777777777778</v>
      </c>
      <c r="E532" t="s">
        <v>1738</v>
      </c>
      <c r="F532" t="s">
        <v>11</v>
      </c>
      <c r="G532">
        <v>1200</v>
      </c>
      <c r="H532" t="s">
        <v>17</v>
      </c>
      <c r="I532" t="s">
        <v>906</v>
      </c>
      <c r="J532" t="s">
        <v>907</v>
      </c>
      <c r="K532" t="s">
        <v>815</v>
      </c>
      <c r="L532" s="9">
        <f>WEEKDAY(Table1_2[[#This Row],[Transaction date]])</f>
        <v>5</v>
      </c>
    </row>
    <row r="533" spans="1:12" x14ac:dyDescent="0.3">
      <c r="A533" t="str">
        <f t="shared" si="8"/>
        <v>04-Jan 2009</v>
      </c>
      <c r="B533" s="10">
        <v>39817</v>
      </c>
      <c r="C533">
        <v>2009</v>
      </c>
      <c r="D533" s="11">
        <v>0.1701388888888889</v>
      </c>
      <c r="E533" t="s">
        <v>1738</v>
      </c>
      <c r="F533" t="s">
        <v>11</v>
      </c>
      <c r="G533">
        <v>1200</v>
      </c>
      <c r="H533" t="s">
        <v>17</v>
      </c>
      <c r="I533" t="s">
        <v>908</v>
      </c>
      <c r="J533" t="s">
        <v>909</v>
      </c>
      <c r="K533" t="s">
        <v>815</v>
      </c>
      <c r="L533" s="9">
        <f>WEEKDAY(Table1_2[[#This Row],[Transaction date]])</f>
        <v>1</v>
      </c>
    </row>
    <row r="534" spans="1:12" x14ac:dyDescent="0.3">
      <c r="A534" t="str">
        <f t="shared" si="8"/>
        <v>19-Jan 2009</v>
      </c>
      <c r="B534" s="10">
        <v>39832</v>
      </c>
      <c r="C534">
        <v>2009</v>
      </c>
      <c r="D534" s="11">
        <v>0.28472222222222221</v>
      </c>
      <c r="E534" t="s">
        <v>1738</v>
      </c>
      <c r="F534" t="s">
        <v>11</v>
      </c>
      <c r="G534">
        <v>1200</v>
      </c>
      <c r="H534" t="s">
        <v>12</v>
      </c>
      <c r="I534" t="s">
        <v>910</v>
      </c>
      <c r="J534" t="s">
        <v>911</v>
      </c>
      <c r="K534" t="s">
        <v>815</v>
      </c>
      <c r="L534" s="9">
        <f>WEEKDAY(Table1_2[[#This Row],[Transaction date]])</f>
        <v>2</v>
      </c>
    </row>
    <row r="535" spans="1:12" x14ac:dyDescent="0.3">
      <c r="A535" t="str">
        <f t="shared" si="8"/>
        <v>13-Jan 2009</v>
      </c>
      <c r="B535" s="10">
        <v>39826</v>
      </c>
      <c r="C535">
        <v>2009</v>
      </c>
      <c r="D535" s="11">
        <v>6.6666666666666666E-2</v>
      </c>
      <c r="E535" t="s">
        <v>1738</v>
      </c>
      <c r="F535" t="s">
        <v>11</v>
      </c>
      <c r="G535">
        <v>1200</v>
      </c>
      <c r="H535" t="s">
        <v>12</v>
      </c>
      <c r="I535" t="s">
        <v>912</v>
      </c>
      <c r="J535" t="s">
        <v>817</v>
      </c>
      <c r="K535" t="s">
        <v>815</v>
      </c>
      <c r="L535" s="9">
        <f>WEEKDAY(Table1_2[[#This Row],[Transaction date]])</f>
        <v>3</v>
      </c>
    </row>
    <row r="536" spans="1:12" x14ac:dyDescent="0.3">
      <c r="A536" t="str">
        <f t="shared" si="8"/>
        <v>20-Jan 2009</v>
      </c>
      <c r="B536" s="10">
        <v>39833</v>
      </c>
      <c r="C536">
        <v>2009</v>
      </c>
      <c r="D536" s="11">
        <v>0.24513888888888888</v>
      </c>
      <c r="E536" t="s">
        <v>1738</v>
      </c>
      <c r="F536" t="s">
        <v>11</v>
      </c>
      <c r="G536">
        <v>1200</v>
      </c>
      <c r="H536" t="s">
        <v>17</v>
      </c>
      <c r="I536" t="s">
        <v>913</v>
      </c>
      <c r="J536" t="s">
        <v>895</v>
      </c>
      <c r="K536" t="s">
        <v>815</v>
      </c>
      <c r="L536" s="9">
        <f>WEEKDAY(Table1_2[[#This Row],[Transaction date]])</f>
        <v>3</v>
      </c>
    </row>
    <row r="537" spans="1:12" x14ac:dyDescent="0.3">
      <c r="A537" t="str">
        <f t="shared" si="8"/>
        <v>09-Jan 2009</v>
      </c>
      <c r="B537" s="10">
        <v>39822</v>
      </c>
      <c r="C537">
        <v>2009</v>
      </c>
      <c r="D537" s="11">
        <v>0.12152777777777778</v>
      </c>
      <c r="E537" t="s">
        <v>1738</v>
      </c>
      <c r="F537" t="s">
        <v>11</v>
      </c>
      <c r="G537">
        <v>1200</v>
      </c>
      <c r="H537" t="s">
        <v>12</v>
      </c>
      <c r="I537" t="s">
        <v>607</v>
      </c>
      <c r="J537" t="s">
        <v>914</v>
      </c>
      <c r="K537" t="s">
        <v>815</v>
      </c>
      <c r="L537" s="9">
        <f>WEEKDAY(Table1_2[[#This Row],[Transaction date]])</f>
        <v>6</v>
      </c>
    </row>
    <row r="538" spans="1:12" x14ac:dyDescent="0.3">
      <c r="A538" t="str">
        <f t="shared" si="8"/>
        <v>27-Jan 2009</v>
      </c>
      <c r="B538" s="10">
        <v>39840</v>
      </c>
      <c r="C538">
        <v>2009</v>
      </c>
      <c r="D538" s="11">
        <v>0.13819444444444445</v>
      </c>
      <c r="E538" t="s">
        <v>1738</v>
      </c>
      <c r="F538" t="s">
        <v>11</v>
      </c>
      <c r="G538">
        <v>1200</v>
      </c>
      <c r="H538" t="s">
        <v>17</v>
      </c>
      <c r="I538" t="s">
        <v>915</v>
      </c>
      <c r="J538" t="s">
        <v>916</v>
      </c>
      <c r="K538" t="s">
        <v>815</v>
      </c>
      <c r="L538" s="9">
        <f>WEEKDAY(Table1_2[[#This Row],[Transaction date]])</f>
        <v>3</v>
      </c>
    </row>
    <row r="539" spans="1:12" x14ac:dyDescent="0.3">
      <c r="A539" t="str">
        <f t="shared" si="8"/>
        <v>22-Jan 2009</v>
      </c>
      <c r="B539" s="10">
        <v>39835</v>
      </c>
      <c r="C539">
        <v>2009</v>
      </c>
      <c r="D539" s="11">
        <v>0.23541666666666666</v>
      </c>
      <c r="E539" t="s">
        <v>1738</v>
      </c>
      <c r="F539" t="s">
        <v>21</v>
      </c>
      <c r="G539">
        <v>100000</v>
      </c>
      <c r="H539" t="s">
        <v>12</v>
      </c>
      <c r="I539" t="s">
        <v>917</v>
      </c>
      <c r="J539" t="s">
        <v>918</v>
      </c>
      <c r="K539" t="s">
        <v>815</v>
      </c>
      <c r="L539" s="9">
        <f>WEEKDAY(Table1_2[[#This Row],[Transaction date]])</f>
        <v>5</v>
      </c>
    </row>
    <row r="540" spans="1:12" x14ac:dyDescent="0.3">
      <c r="A540" t="str">
        <f t="shared" si="8"/>
        <v>22-Jan 2009</v>
      </c>
      <c r="B540" s="10">
        <v>39835</v>
      </c>
      <c r="C540">
        <v>2009</v>
      </c>
      <c r="D540" s="11">
        <v>0.40833333333333333</v>
      </c>
      <c r="E540" t="s">
        <v>1738</v>
      </c>
      <c r="F540" t="s">
        <v>21</v>
      </c>
      <c r="G540">
        <v>100000</v>
      </c>
      <c r="H540" t="s">
        <v>17</v>
      </c>
      <c r="I540" t="s">
        <v>920</v>
      </c>
      <c r="J540" t="s">
        <v>921</v>
      </c>
      <c r="K540" t="s">
        <v>815</v>
      </c>
      <c r="L540" s="9">
        <f>WEEKDAY(Table1_2[[#This Row],[Transaction date]])</f>
        <v>5</v>
      </c>
    </row>
    <row r="541" spans="1:12" x14ac:dyDescent="0.3">
      <c r="A541" t="str">
        <f t="shared" si="8"/>
        <v>02-Jan 2009</v>
      </c>
      <c r="B541" s="10">
        <v>39815</v>
      </c>
      <c r="C541">
        <v>2009</v>
      </c>
      <c r="D541" s="11">
        <v>0.29375000000000001</v>
      </c>
      <c r="E541" t="s">
        <v>1738</v>
      </c>
      <c r="F541" t="s">
        <v>11</v>
      </c>
      <c r="G541">
        <v>1200</v>
      </c>
      <c r="H541" t="s">
        <v>12</v>
      </c>
      <c r="I541" t="s">
        <v>922</v>
      </c>
      <c r="J541" t="s">
        <v>817</v>
      </c>
      <c r="K541" t="s">
        <v>815</v>
      </c>
      <c r="L541" s="9">
        <f>WEEKDAY(Table1_2[[#This Row],[Transaction date]])</f>
        <v>6</v>
      </c>
    </row>
    <row r="542" spans="1:12" x14ac:dyDescent="0.3">
      <c r="A542" t="str">
        <f t="shared" si="8"/>
        <v>02-Jan 2009</v>
      </c>
      <c r="B542" s="10">
        <v>39815</v>
      </c>
      <c r="C542">
        <v>2009</v>
      </c>
      <c r="D542" s="11">
        <v>0.23125000000000001</v>
      </c>
      <c r="E542" t="s">
        <v>1738</v>
      </c>
      <c r="F542" t="s">
        <v>11</v>
      </c>
      <c r="G542">
        <v>1200</v>
      </c>
      <c r="H542" t="s">
        <v>12</v>
      </c>
      <c r="I542" t="s">
        <v>923</v>
      </c>
      <c r="J542" t="s">
        <v>839</v>
      </c>
      <c r="K542" t="s">
        <v>815</v>
      </c>
      <c r="L542" s="9">
        <f>WEEKDAY(Table1_2[[#This Row],[Transaction date]])</f>
        <v>6</v>
      </c>
    </row>
    <row r="543" spans="1:12" x14ac:dyDescent="0.3">
      <c r="A543" t="str">
        <f t="shared" si="8"/>
        <v>25-Jan 2009</v>
      </c>
      <c r="B543" s="10">
        <v>39838</v>
      </c>
      <c r="C543">
        <v>2009</v>
      </c>
      <c r="D543" s="11">
        <v>0.31180555555555556</v>
      </c>
      <c r="E543" t="s">
        <v>1738</v>
      </c>
      <c r="F543" t="s">
        <v>11</v>
      </c>
      <c r="G543">
        <v>1200</v>
      </c>
      <c r="H543" t="s">
        <v>17</v>
      </c>
      <c r="I543" t="s">
        <v>924</v>
      </c>
      <c r="J543" t="s">
        <v>925</v>
      </c>
      <c r="K543" t="s">
        <v>815</v>
      </c>
      <c r="L543" s="9">
        <f>WEEKDAY(Table1_2[[#This Row],[Transaction date]])</f>
        <v>1</v>
      </c>
    </row>
    <row r="544" spans="1:12" x14ac:dyDescent="0.3">
      <c r="A544" t="str">
        <f t="shared" si="8"/>
        <v>29-Jan 2009</v>
      </c>
      <c r="B544" s="10">
        <v>39842</v>
      </c>
      <c r="C544">
        <v>2009</v>
      </c>
      <c r="D544" s="11">
        <v>0.49166666666666664</v>
      </c>
      <c r="E544" t="s">
        <v>1738</v>
      </c>
      <c r="F544" t="s">
        <v>11</v>
      </c>
      <c r="G544">
        <v>1200</v>
      </c>
      <c r="H544" t="s">
        <v>12</v>
      </c>
      <c r="I544" t="s">
        <v>539</v>
      </c>
      <c r="J544" t="s">
        <v>926</v>
      </c>
      <c r="K544" t="s">
        <v>815</v>
      </c>
      <c r="L544" s="9">
        <f>WEEKDAY(Table1_2[[#This Row],[Transaction date]])</f>
        <v>5</v>
      </c>
    </row>
    <row r="545" spans="1:12" x14ac:dyDescent="0.3">
      <c r="A545" t="str">
        <f t="shared" si="8"/>
        <v>11-Jan 2009</v>
      </c>
      <c r="B545" s="10">
        <v>39824</v>
      </c>
      <c r="C545">
        <v>2009</v>
      </c>
      <c r="D545" s="11">
        <v>0.19027777777777777</v>
      </c>
      <c r="E545" t="s">
        <v>1738</v>
      </c>
      <c r="F545" t="s">
        <v>11</v>
      </c>
      <c r="G545">
        <v>1200</v>
      </c>
      <c r="H545" t="s">
        <v>12</v>
      </c>
      <c r="I545" t="s">
        <v>927</v>
      </c>
      <c r="J545" t="s">
        <v>928</v>
      </c>
      <c r="K545" t="s">
        <v>815</v>
      </c>
      <c r="L545" s="9">
        <f>WEEKDAY(Table1_2[[#This Row],[Transaction date]])</f>
        <v>1</v>
      </c>
    </row>
    <row r="546" spans="1:12" x14ac:dyDescent="0.3">
      <c r="A546" t="str">
        <f t="shared" si="8"/>
        <v>17-Jan 2009</v>
      </c>
      <c r="B546" s="10">
        <v>39830</v>
      </c>
      <c r="C546">
        <v>2009</v>
      </c>
      <c r="D546" s="11">
        <v>0.27708333333333335</v>
      </c>
      <c r="E546" t="s">
        <v>1738</v>
      </c>
      <c r="F546" t="s">
        <v>11</v>
      </c>
      <c r="G546">
        <v>1200</v>
      </c>
      <c r="H546" t="s">
        <v>17</v>
      </c>
      <c r="I546" t="s">
        <v>929</v>
      </c>
      <c r="J546" t="s">
        <v>520</v>
      </c>
      <c r="K546" t="s">
        <v>815</v>
      </c>
      <c r="L546" s="9">
        <f>WEEKDAY(Table1_2[[#This Row],[Transaction date]])</f>
        <v>7</v>
      </c>
    </row>
    <row r="547" spans="1:12" x14ac:dyDescent="0.3">
      <c r="A547" t="str">
        <f t="shared" si="8"/>
        <v>25-Jan 2009</v>
      </c>
      <c r="B547" s="10">
        <v>39838</v>
      </c>
      <c r="C547">
        <v>2009</v>
      </c>
      <c r="D547" s="11">
        <v>0.36666666666666664</v>
      </c>
      <c r="E547" t="s">
        <v>1738</v>
      </c>
      <c r="F547" t="s">
        <v>11</v>
      </c>
      <c r="G547">
        <v>1200</v>
      </c>
      <c r="H547" t="s">
        <v>17</v>
      </c>
      <c r="I547" t="s">
        <v>930</v>
      </c>
      <c r="J547" t="s">
        <v>895</v>
      </c>
      <c r="K547" t="s">
        <v>815</v>
      </c>
      <c r="L547" s="9">
        <f>WEEKDAY(Table1_2[[#This Row],[Transaction date]])</f>
        <v>1</v>
      </c>
    </row>
    <row r="548" spans="1:12" x14ac:dyDescent="0.3">
      <c r="A548" t="str">
        <f t="shared" si="8"/>
        <v>24-Jan 2009</v>
      </c>
      <c r="B548" s="10">
        <v>39837</v>
      </c>
      <c r="C548">
        <v>2009</v>
      </c>
      <c r="D548" s="11">
        <v>6.805555555555555E-2</v>
      </c>
      <c r="E548" t="s">
        <v>1738</v>
      </c>
      <c r="F548" t="s">
        <v>11</v>
      </c>
      <c r="G548">
        <v>1200</v>
      </c>
      <c r="H548" t="s">
        <v>17</v>
      </c>
      <c r="I548" t="s">
        <v>254</v>
      </c>
      <c r="J548" t="s">
        <v>931</v>
      </c>
      <c r="K548" t="s">
        <v>815</v>
      </c>
      <c r="L548" s="9">
        <f>WEEKDAY(Table1_2[[#This Row],[Transaction date]])</f>
        <v>7</v>
      </c>
    </row>
    <row r="549" spans="1:12" x14ac:dyDescent="0.3">
      <c r="A549" t="str">
        <f t="shared" si="8"/>
        <v>12-Jan 2009</v>
      </c>
      <c r="B549" s="10">
        <v>39825</v>
      </c>
      <c r="C549">
        <v>2009</v>
      </c>
      <c r="D549" s="11">
        <v>7.013888888888889E-2</v>
      </c>
      <c r="E549" t="s">
        <v>1738</v>
      </c>
      <c r="F549" t="s">
        <v>11</v>
      </c>
      <c r="G549">
        <v>1200</v>
      </c>
      <c r="H549" t="s">
        <v>65</v>
      </c>
      <c r="I549" t="s">
        <v>932</v>
      </c>
      <c r="J549" t="s">
        <v>933</v>
      </c>
      <c r="K549" t="s">
        <v>815</v>
      </c>
      <c r="L549" s="9">
        <f>WEEKDAY(Table1_2[[#This Row],[Transaction date]])</f>
        <v>2</v>
      </c>
    </row>
    <row r="550" spans="1:12" x14ac:dyDescent="0.3">
      <c r="A550" t="str">
        <f t="shared" si="8"/>
        <v>31-Jan 2009</v>
      </c>
      <c r="B550" s="10">
        <v>39844</v>
      </c>
      <c r="C550">
        <v>2009</v>
      </c>
      <c r="D550" s="11">
        <v>0.30069444444444443</v>
      </c>
      <c r="E550" t="s">
        <v>1738</v>
      </c>
      <c r="F550" t="s">
        <v>11</v>
      </c>
      <c r="G550">
        <v>1200</v>
      </c>
      <c r="H550" t="s">
        <v>65</v>
      </c>
      <c r="I550" t="s">
        <v>37</v>
      </c>
      <c r="J550" t="s">
        <v>817</v>
      </c>
      <c r="K550" t="s">
        <v>815</v>
      </c>
      <c r="L550" s="9">
        <f>WEEKDAY(Table1_2[[#This Row],[Transaction date]])</f>
        <v>7</v>
      </c>
    </row>
    <row r="551" spans="1:12" x14ac:dyDescent="0.3">
      <c r="A551" t="str">
        <f t="shared" si="8"/>
        <v>21-Jan 2009</v>
      </c>
      <c r="B551" s="10">
        <v>39834</v>
      </c>
      <c r="C551">
        <v>2009</v>
      </c>
      <c r="D551" s="11">
        <v>8.819444444444445E-2</v>
      </c>
      <c r="E551" t="s">
        <v>1738</v>
      </c>
      <c r="F551" t="s">
        <v>11</v>
      </c>
      <c r="G551">
        <v>1200</v>
      </c>
      <c r="H551" t="s">
        <v>17</v>
      </c>
      <c r="I551" t="s">
        <v>934</v>
      </c>
      <c r="J551" t="s">
        <v>935</v>
      </c>
      <c r="K551" t="s">
        <v>815</v>
      </c>
      <c r="L551" s="9">
        <f>WEEKDAY(Table1_2[[#This Row],[Transaction date]])</f>
        <v>4</v>
      </c>
    </row>
    <row r="552" spans="1:12" x14ac:dyDescent="0.3">
      <c r="A552" t="str">
        <f t="shared" si="8"/>
        <v>04-Jan 2009</v>
      </c>
      <c r="B552" s="10">
        <v>39817</v>
      </c>
      <c r="C552">
        <v>2009</v>
      </c>
      <c r="D552" s="11">
        <v>0.10208333333333333</v>
      </c>
      <c r="E552" t="s">
        <v>1738</v>
      </c>
      <c r="F552" t="s">
        <v>11</v>
      </c>
      <c r="G552">
        <v>1200</v>
      </c>
      <c r="H552" t="s">
        <v>12</v>
      </c>
      <c r="I552" t="s">
        <v>936</v>
      </c>
      <c r="J552" t="s">
        <v>937</v>
      </c>
      <c r="K552" t="s">
        <v>815</v>
      </c>
      <c r="L552" s="9">
        <f>WEEKDAY(Table1_2[[#This Row],[Transaction date]])</f>
        <v>1</v>
      </c>
    </row>
    <row r="553" spans="1:12" x14ac:dyDescent="0.3">
      <c r="A553" t="str">
        <f t="shared" si="8"/>
        <v>05-Jan 2009</v>
      </c>
      <c r="B553" s="10">
        <v>39818</v>
      </c>
      <c r="C553">
        <v>2009</v>
      </c>
      <c r="D553" s="11">
        <v>0.13541666666666666</v>
      </c>
      <c r="E553" t="s">
        <v>1738</v>
      </c>
      <c r="F553" t="s">
        <v>11</v>
      </c>
      <c r="G553">
        <v>1200</v>
      </c>
      <c r="H553" t="s">
        <v>65</v>
      </c>
      <c r="I553" t="s">
        <v>145</v>
      </c>
      <c r="J553" t="s">
        <v>938</v>
      </c>
      <c r="K553" t="s">
        <v>815</v>
      </c>
      <c r="L553" s="9">
        <f>WEEKDAY(Table1_2[[#This Row],[Transaction date]])</f>
        <v>2</v>
      </c>
    </row>
    <row r="554" spans="1:12" x14ac:dyDescent="0.3">
      <c r="A554" t="str">
        <f t="shared" si="8"/>
        <v>25-Jan 2009</v>
      </c>
      <c r="B554" s="10">
        <v>39838</v>
      </c>
      <c r="C554">
        <v>2009</v>
      </c>
      <c r="D554" s="11">
        <v>0.39374999999999999</v>
      </c>
      <c r="E554" t="s">
        <v>1738</v>
      </c>
      <c r="F554" t="s">
        <v>11</v>
      </c>
      <c r="G554">
        <v>1200</v>
      </c>
      <c r="H554" t="s">
        <v>12</v>
      </c>
      <c r="I554" t="s">
        <v>939</v>
      </c>
      <c r="J554" t="s">
        <v>817</v>
      </c>
      <c r="K554" t="s">
        <v>815</v>
      </c>
      <c r="L554" s="9">
        <f>WEEKDAY(Table1_2[[#This Row],[Transaction date]])</f>
        <v>1</v>
      </c>
    </row>
    <row r="555" spans="1:12" x14ac:dyDescent="0.3">
      <c r="A555" t="str">
        <f t="shared" si="8"/>
        <v>07-Jan 2009</v>
      </c>
      <c r="B555" s="10">
        <v>39820</v>
      </c>
      <c r="C555">
        <v>2009</v>
      </c>
      <c r="D555" s="11">
        <v>0.41249999999999998</v>
      </c>
      <c r="E555" t="s">
        <v>1738</v>
      </c>
      <c r="F555" t="s">
        <v>11</v>
      </c>
      <c r="G555">
        <v>1200</v>
      </c>
      <c r="H555" t="s">
        <v>12</v>
      </c>
      <c r="I555" t="s">
        <v>756</v>
      </c>
      <c r="J555" t="s">
        <v>938</v>
      </c>
      <c r="K555" t="s">
        <v>815</v>
      </c>
      <c r="L555" s="9">
        <f>WEEKDAY(Table1_2[[#This Row],[Transaction date]])</f>
        <v>4</v>
      </c>
    </row>
    <row r="556" spans="1:12" x14ac:dyDescent="0.3">
      <c r="A556" t="str">
        <f t="shared" si="8"/>
        <v>15-Jan 2009</v>
      </c>
      <c r="B556" s="10">
        <v>39828</v>
      </c>
      <c r="C556">
        <v>2009</v>
      </c>
      <c r="D556" s="11">
        <v>0.48958333333333331</v>
      </c>
      <c r="E556" t="s">
        <v>1738</v>
      </c>
      <c r="F556" t="s">
        <v>11</v>
      </c>
      <c r="G556">
        <v>1200</v>
      </c>
      <c r="H556" t="s">
        <v>17</v>
      </c>
      <c r="I556" t="s">
        <v>309</v>
      </c>
      <c r="J556" t="s">
        <v>909</v>
      </c>
      <c r="K556" t="s">
        <v>815</v>
      </c>
      <c r="L556" s="9">
        <f>WEEKDAY(Table1_2[[#This Row],[Transaction date]])</f>
        <v>5</v>
      </c>
    </row>
    <row r="557" spans="1:12" x14ac:dyDescent="0.3">
      <c r="A557" t="str">
        <f t="shared" si="8"/>
        <v>19-Jan 2009</v>
      </c>
      <c r="B557" s="10">
        <v>39832</v>
      </c>
      <c r="C557">
        <v>2009</v>
      </c>
      <c r="D557" s="11">
        <v>0.24722222222222223</v>
      </c>
      <c r="E557" t="s">
        <v>1738</v>
      </c>
      <c r="F557" t="s">
        <v>11</v>
      </c>
      <c r="G557">
        <v>1200</v>
      </c>
      <c r="H557" t="s">
        <v>12</v>
      </c>
      <c r="I557" t="s">
        <v>727</v>
      </c>
      <c r="J557" t="s">
        <v>847</v>
      </c>
      <c r="K557" t="s">
        <v>815</v>
      </c>
      <c r="L557" s="9">
        <f>WEEKDAY(Table1_2[[#This Row],[Transaction date]])</f>
        <v>2</v>
      </c>
    </row>
    <row r="558" spans="1:12" x14ac:dyDescent="0.3">
      <c r="A558" t="str">
        <f t="shared" si="8"/>
        <v>04-Jan 2009</v>
      </c>
      <c r="B558" s="10">
        <v>39817</v>
      </c>
      <c r="C558">
        <v>2009</v>
      </c>
      <c r="D558" s="11">
        <v>0.39444444444444443</v>
      </c>
      <c r="E558" t="s">
        <v>1738</v>
      </c>
      <c r="F558" t="s">
        <v>11</v>
      </c>
      <c r="G558">
        <v>1200</v>
      </c>
      <c r="H558" t="s">
        <v>12</v>
      </c>
      <c r="I558" t="s">
        <v>940</v>
      </c>
      <c r="J558" t="s">
        <v>941</v>
      </c>
      <c r="K558" t="s">
        <v>815</v>
      </c>
      <c r="L558" s="9">
        <f>WEEKDAY(Table1_2[[#This Row],[Transaction date]])</f>
        <v>1</v>
      </c>
    </row>
    <row r="559" spans="1:12" x14ac:dyDescent="0.3">
      <c r="A559" t="str">
        <f t="shared" si="8"/>
        <v>02-Jan 2009</v>
      </c>
      <c r="B559" s="10">
        <v>39815</v>
      </c>
      <c r="C559">
        <v>2009</v>
      </c>
      <c r="D559" s="11">
        <v>0.19027777777777777</v>
      </c>
      <c r="E559" t="s">
        <v>1738</v>
      </c>
      <c r="F559" t="s">
        <v>11</v>
      </c>
      <c r="G559">
        <v>1200</v>
      </c>
      <c r="H559" t="s">
        <v>12</v>
      </c>
      <c r="I559" t="s">
        <v>942</v>
      </c>
      <c r="J559" t="s">
        <v>943</v>
      </c>
      <c r="K559" t="s">
        <v>815</v>
      </c>
      <c r="L559" s="9">
        <f>WEEKDAY(Table1_2[[#This Row],[Transaction date]])</f>
        <v>6</v>
      </c>
    </row>
    <row r="560" spans="1:12" x14ac:dyDescent="0.3">
      <c r="A560" t="str">
        <f t="shared" si="8"/>
        <v>27-Jan 2009</v>
      </c>
      <c r="B560" s="10">
        <v>39840</v>
      </c>
      <c r="C560">
        <v>2009</v>
      </c>
      <c r="D560" s="11">
        <v>0.12291666666666666</v>
      </c>
      <c r="E560" t="s">
        <v>1738</v>
      </c>
      <c r="F560" t="s">
        <v>11</v>
      </c>
      <c r="G560">
        <v>1200</v>
      </c>
      <c r="H560" t="s">
        <v>12</v>
      </c>
      <c r="I560" t="s">
        <v>279</v>
      </c>
      <c r="J560" t="s">
        <v>944</v>
      </c>
      <c r="K560" t="s">
        <v>815</v>
      </c>
      <c r="L560" s="9">
        <f>WEEKDAY(Table1_2[[#This Row],[Transaction date]])</f>
        <v>3</v>
      </c>
    </row>
    <row r="561" spans="1:12" x14ac:dyDescent="0.3">
      <c r="A561" t="str">
        <f t="shared" si="8"/>
        <v>19-Jan 2009</v>
      </c>
      <c r="B561" s="10">
        <v>39832</v>
      </c>
      <c r="C561">
        <v>2009</v>
      </c>
      <c r="D561" s="11">
        <v>0.2048611111111111</v>
      </c>
      <c r="E561" t="s">
        <v>1738</v>
      </c>
      <c r="F561" t="s">
        <v>11</v>
      </c>
      <c r="G561">
        <v>1200</v>
      </c>
      <c r="H561" t="s">
        <v>12</v>
      </c>
      <c r="I561" t="s">
        <v>945</v>
      </c>
      <c r="J561" t="s">
        <v>946</v>
      </c>
      <c r="K561" t="s">
        <v>815</v>
      </c>
      <c r="L561" s="9">
        <f>WEEKDAY(Table1_2[[#This Row],[Transaction date]])</f>
        <v>2</v>
      </c>
    </row>
    <row r="562" spans="1:12" x14ac:dyDescent="0.3">
      <c r="A562" t="str">
        <f t="shared" si="8"/>
        <v>20-Jan 2009</v>
      </c>
      <c r="B562" s="10">
        <v>39833</v>
      </c>
      <c r="C562">
        <v>2009</v>
      </c>
      <c r="D562" s="11">
        <v>0.44583333333333336</v>
      </c>
      <c r="E562" t="s">
        <v>1738</v>
      </c>
      <c r="F562" t="s">
        <v>21</v>
      </c>
      <c r="G562">
        <v>100000</v>
      </c>
      <c r="H562" t="s">
        <v>17</v>
      </c>
      <c r="I562" t="s">
        <v>947</v>
      </c>
      <c r="J562" t="s">
        <v>948</v>
      </c>
      <c r="K562" t="s">
        <v>815</v>
      </c>
      <c r="L562" s="9">
        <f>WEEKDAY(Table1_2[[#This Row],[Transaction date]])</f>
        <v>3</v>
      </c>
    </row>
    <row r="563" spans="1:12" x14ac:dyDescent="0.3">
      <c r="A563" t="str">
        <f t="shared" si="8"/>
        <v>22-Jan 2009</v>
      </c>
      <c r="B563" s="10">
        <v>39835</v>
      </c>
      <c r="C563">
        <v>2009</v>
      </c>
      <c r="D563" s="11">
        <v>0.10069444444444445</v>
      </c>
      <c r="E563" t="s">
        <v>1738</v>
      </c>
      <c r="F563" t="s">
        <v>11</v>
      </c>
      <c r="G563">
        <v>1200</v>
      </c>
      <c r="H563" t="s">
        <v>12</v>
      </c>
      <c r="I563" t="s">
        <v>949</v>
      </c>
      <c r="J563" t="s">
        <v>950</v>
      </c>
      <c r="K563" t="s">
        <v>815</v>
      </c>
      <c r="L563" s="9">
        <f>WEEKDAY(Table1_2[[#This Row],[Transaction date]])</f>
        <v>5</v>
      </c>
    </row>
    <row r="564" spans="1:12" x14ac:dyDescent="0.3">
      <c r="A564" t="str">
        <f t="shared" si="8"/>
        <v>08-Jan 2009</v>
      </c>
      <c r="B564" s="10">
        <v>39821</v>
      </c>
      <c r="C564">
        <v>2009</v>
      </c>
      <c r="D564" s="11">
        <v>0.49652777777777779</v>
      </c>
      <c r="E564" t="s">
        <v>1738</v>
      </c>
      <c r="F564" t="s">
        <v>11</v>
      </c>
      <c r="G564">
        <v>1200</v>
      </c>
      <c r="H564" t="s">
        <v>17</v>
      </c>
      <c r="I564" t="s">
        <v>951</v>
      </c>
      <c r="J564" t="s">
        <v>952</v>
      </c>
      <c r="K564" t="s">
        <v>815</v>
      </c>
      <c r="L564" s="9">
        <f>WEEKDAY(Table1_2[[#This Row],[Transaction date]])</f>
        <v>5</v>
      </c>
    </row>
    <row r="565" spans="1:12" x14ac:dyDescent="0.3">
      <c r="A565" t="str">
        <f t="shared" si="8"/>
        <v>14-Jan 2009</v>
      </c>
      <c r="B565" s="10">
        <v>39827</v>
      </c>
      <c r="C565">
        <v>2009</v>
      </c>
      <c r="D565" s="11">
        <v>0.47152777777777777</v>
      </c>
      <c r="E565" t="s">
        <v>1738</v>
      </c>
      <c r="F565" t="s">
        <v>11</v>
      </c>
      <c r="G565">
        <v>1200</v>
      </c>
      <c r="H565" t="s">
        <v>12</v>
      </c>
      <c r="I565" t="s">
        <v>261</v>
      </c>
      <c r="J565" t="s">
        <v>953</v>
      </c>
      <c r="K565" t="s">
        <v>955</v>
      </c>
      <c r="L565" s="9">
        <f>WEEKDAY(Table1_2[[#This Row],[Transaction date]])</f>
        <v>4</v>
      </c>
    </row>
    <row r="566" spans="1:12" x14ac:dyDescent="0.3">
      <c r="A566" t="str">
        <f t="shared" si="8"/>
        <v>17-Jan 2009</v>
      </c>
      <c r="B566" s="10">
        <v>39830</v>
      </c>
      <c r="C566">
        <v>2009</v>
      </c>
      <c r="D566" s="11">
        <v>0.40902777777777777</v>
      </c>
      <c r="E566" t="s">
        <v>1738</v>
      </c>
      <c r="F566" t="s">
        <v>11</v>
      </c>
      <c r="G566">
        <v>1200</v>
      </c>
      <c r="H566" t="s">
        <v>17</v>
      </c>
      <c r="I566" t="s">
        <v>956</v>
      </c>
      <c r="J566" t="s">
        <v>957</v>
      </c>
      <c r="K566" t="s">
        <v>955</v>
      </c>
      <c r="L566" s="9">
        <f>WEEKDAY(Table1_2[[#This Row],[Transaction date]])</f>
        <v>7</v>
      </c>
    </row>
    <row r="567" spans="1:12" x14ac:dyDescent="0.3">
      <c r="A567" t="str">
        <f t="shared" si="8"/>
        <v>10-Jan 2009</v>
      </c>
      <c r="B567" s="10">
        <v>39823</v>
      </c>
      <c r="C567">
        <v>2009</v>
      </c>
      <c r="D567" s="11">
        <v>0.3298611111111111</v>
      </c>
      <c r="E567" t="s">
        <v>1738</v>
      </c>
      <c r="F567" t="s">
        <v>11</v>
      </c>
      <c r="G567">
        <v>1200</v>
      </c>
      <c r="H567" t="s">
        <v>12</v>
      </c>
      <c r="I567" t="s">
        <v>419</v>
      </c>
      <c r="J567" t="s">
        <v>953</v>
      </c>
      <c r="K567" t="s">
        <v>955</v>
      </c>
      <c r="L567" s="9">
        <f>WEEKDAY(Table1_2[[#This Row],[Transaction date]])</f>
        <v>7</v>
      </c>
    </row>
    <row r="568" spans="1:12" x14ac:dyDescent="0.3">
      <c r="A568" t="str">
        <f t="shared" si="8"/>
        <v>25-Jan 2009</v>
      </c>
      <c r="B568" s="10">
        <v>39838</v>
      </c>
      <c r="C568">
        <v>2009</v>
      </c>
      <c r="D568" s="11">
        <v>0.11527777777777778</v>
      </c>
      <c r="E568" t="s">
        <v>1738</v>
      </c>
      <c r="F568" t="s">
        <v>21</v>
      </c>
      <c r="G568">
        <v>100000</v>
      </c>
      <c r="H568" t="s">
        <v>12</v>
      </c>
      <c r="I568" t="s">
        <v>56</v>
      </c>
      <c r="J568" t="s">
        <v>959</v>
      </c>
      <c r="K568" t="s">
        <v>955</v>
      </c>
      <c r="L568" s="9">
        <f>WEEKDAY(Table1_2[[#This Row],[Transaction date]])</f>
        <v>1</v>
      </c>
    </row>
    <row r="569" spans="1:12" x14ac:dyDescent="0.3">
      <c r="A569" t="str">
        <f t="shared" si="8"/>
        <v>17-Jan 2009</v>
      </c>
      <c r="B569" s="10">
        <v>39830</v>
      </c>
      <c r="C569">
        <v>2009</v>
      </c>
      <c r="D569" s="11">
        <v>0.36527777777777776</v>
      </c>
      <c r="E569" t="s">
        <v>1738</v>
      </c>
      <c r="F569" t="s">
        <v>21</v>
      </c>
      <c r="G569">
        <v>100000</v>
      </c>
      <c r="H569" t="s">
        <v>12</v>
      </c>
      <c r="I569" t="s">
        <v>960</v>
      </c>
      <c r="J569" t="s">
        <v>959</v>
      </c>
      <c r="K569" t="s">
        <v>955</v>
      </c>
      <c r="L569" s="9">
        <f>WEEKDAY(Table1_2[[#This Row],[Transaction date]])</f>
        <v>7</v>
      </c>
    </row>
    <row r="570" spans="1:12" x14ac:dyDescent="0.3">
      <c r="A570" t="str">
        <f t="shared" si="8"/>
        <v>20-Jan 2009</v>
      </c>
      <c r="B570" s="10">
        <v>39833</v>
      </c>
      <c r="C570">
        <v>2009</v>
      </c>
      <c r="D570" s="11">
        <v>0.33958333333333335</v>
      </c>
      <c r="E570" t="s">
        <v>1738</v>
      </c>
      <c r="F570" t="s">
        <v>11</v>
      </c>
      <c r="G570">
        <v>1200</v>
      </c>
      <c r="H570" t="s">
        <v>12</v>
      </c>
      <c r="I570" t="s">
        <v>961</v>
      </c>
      <c r="J570" t="s">
        <v>959</v>
      </c>
      <c r="K570" t="s">
        <v>955</v>
      </c>
      <c r="L570" s="9">
        <f>WEEKDAY(Table1_2[[#This Row],[Transaction date]])</f>
        <v>3</v>
      </c>
    </row>
    <row r="571" spans="1:12" x14ac:dyDescent="0.3">
      <c r="A571" t="str">
        <f t="shared" si="8"/>
        <v>11-Jan 2009</v>
      </c>
      <c r="B571" s="10">
        <v>39824</v>
      </c>
      <c r="C571">
        <v>2009</v>
      </c>
      <c r="D571" s="11">
        <v>0.28541666666666665</v>
      </c>
      <c r="E571" t="s">
        <v>1738</v>
      </c>
      <c r="F571" t="s">
        <v>11</v>
      </c>
      <c r="G571">
        <v>1200</v>
      </c>
      <c r="H571" t="s">
        <v>12</v>
      </c>
      <c r="I571" t="s">
        <v>962</v>
      </c>
      <c r="J571" t="s">
        <v>963</v>
      </c>
      <c r="K571" t="s">
        <v>965</v>
      </c>
      <c r="L571" s="9">
        <f>WEEKDAY(Table1_2[[#This Row],[Transaction date]])</f>
        <v>1</v>
      </c>
    </row>
    <row r="572" spans="1:12" x14ac:dyDescent="0.3">
      <c r="A572" t="str">
        <f t="shared" si="8"/>
        <v>02-Jan 2009</v>
      </c>
      <c r="B572" s="10">
        <v>39815</v>
      </c>
      <c r="C572">
        <v>2009</v>
      </c>
      <c r="D572" s="11">
        <v>0.53472222222222221</v>
      </c>
      <c r="E572" t="s">
        <v>1739</v>
      </c>
      <c r="F572" t="s">
        <v>11</v>
      </c>
      <c r="G572">
        <v>1200</v>
      </c>
      <c r="H572" t="s">
        <v>12</v>
      </c>
      <c r="I572" t="s">
        <v>966</v>
      </c>
      <c r="J572" t="s">
        <v>967</v>
      </c>
      <c r="K572" t="s">
        <v>969</v>
      </c>
      <c r="L572" s="9">
        <f>WEEKDAY(Table1_2[[#This Row],[Transaction date]])</f>
        <v>6</v>
      </c>
    </row>
    <row r="573" spans="1:12" x14ac:dyDescent="0.3">
      <c r="A573" t="str">
        <f t="shared" si="8"/>
        <v>03-Jan 2009</v>
      </c>
      <c r="B573" s="10">
        <v>39816</v>
      </c>
      <c r="C573">
        <v>2009</v>
      </c>
      <c r="D573" s="11">
        <v>0.41249999999999998</v>
      </c>
      <c r="E573" t="s">
        <v>1738</v>
      </c>
      <c r="F573" t="s">
        <v>11</v>
      </c>
      <c r="G573">
        <v>1200</v>
      </c>
      <c r="H573" t="s">
        <v>12</v>
      </c>
      <c r="I573" t="s">
        <v>77</v>
      </c>
      <c r="J573" t="s">
        <v>970</v>
      </c>
      <c r="K573" t="s">
        <v>969</v>
      </c>
      <c r="L573" s="9">
        <f>WEEKDAY(Table1_2[[#This Row],[Transaction date]])</f>
        <v>7</v>
      </c>
    </row>
    <row r="574" spans="1:12" x14ac:dyDescent="0.3">
      <c r="A574" t="str">
        <f t="shared" si="8"/>
        <v>08-Jan 2009</v>
      </c>
      <c r="B574" s="10">
        <v>39821</v>
      </c>
      <c r="C574">
        <v>2009</v>
      </c>
      <c r="D574" s="11">
        <v>0.45833333333333331</v>
      </c>
      <c r="E574" t="s">
        <v>1738</v>
      </c>
      <c r="F574" t="s">
        <v>11</v>
      </c>
      <c r="G574">
        <v>1200</v>
      </c>
      <c r="H574" t="s">
        <v>12</v>
      </c>
      <c r="I574" t="s">
        <v>971</v>
      </c>
      <c r="J574" t="s">
        <v>972</v>
      </c>
      <c r="K574" t="s">
        <v>969</v>
      </c>
      <c r="L574" s="9">
        <f>WEEKDAY(Table1_2[[#This Row],[Transaction date]])</f>
        <v>5</v>
      </c>
    </row>
    <row r="575" spans="1:12" x14ac:dyDescent="0.3">
      <c r="A575" t="str">
        <f t="shared" si="8"/>
        <v>22-Jan 2009</v>
      </c>
      <c r="B575" s="10">
        <v>39835</v>
      </c>
      <c r="C575">
        <v>2009</v>
      </c>
      <c r="D575" s="11">
        <v>9.4444444444444442E-2</v>
      </c>
      <c r="E575" t="s">
        <v>1738</v>
      </c>
      <c r="F575" t="s">
        <v>11</v>
      </c>
      <c r="G575">
        <v>1200</v>
      </c>
      <c r="H575" t="s">
        <v>12</v>
      </c>
      <c r="I575" t="s">
        <v>973</v>
      </c>
      <c r="J575" t="s">
        <v>974</v>
      </c>
      <c r="K575" t="s">
        <v>969</v>
      </c>
      <c r="L575" s="9">
        <f>WEEKDAY(Table1_2[[#This Row],[Transaction date]])</f>
        <v>5</v>
      </c>
    </row>
    <row r="576" spans="1:12" x14ac:dyDescent="0.3">
      <c r="A576" t="str">
        <f t="shared" si="8"/>
        <v>21-Jan 2009</v>
      </c>
      <c r="B576" s="10">
        <v>39834</v>
      </c>
      <c r="C576">
        <v>2009</v>
      </c>
      <c r="D576" s="11">
        <v>0.52638888888888891</v>
      </c>
      <c r="E576" t="s">
        <v>1739</v>
      </c>
      <c r="F576" t="s">
        <v>11</v>
      </c>
      <c r="G576">
        <v>1200</v>
      </c>
      <c r="H576" t="s">
        <v>12</v>
      </c>
      <c r="I576" t="s">
        <v>975</v>
      </c>
      <c r="J576" t="s">
        <v>968</v>
      </c>
      <c r="K576" t="s">
        <v>969</v>
      </c>
      <c r="L576" s="9">
        <f>WEEKDAY(Table1_2[[#This Row],[Transaction date]])</f>
        <v>4</v>
      </c>
    </row>
    <row r="577" spans="1:12" x14ac:dyDescent="0.3">
      <c r="A577" t="str">
        <f t="shared" si="8"/>
        <v>07-Jan 2009</v>
      </c>
      <c r="B577" s="10">
        <v>39820</v>
      </c>
      <c r="C577">
        <v>2009</v>
      </c>
      <c r="D577" s="11">
        <v>5.486111111111111E-2</v>
      </c>
      <c r="E577" t="s">
        <v>1738</v>
      </c>
      <c r="F577" t="s">
        <v>11</v>
      </c>
      <c r="G577">
        <v>1200</v>
      </c>
      <c r="H577" t="s">
        <v>12</v>
      </c>
      <c r="I577" t="s">
        <v>976</v>
      </c>
      <c r="J577" t="s">
        <v>977</v>
      </c>
      <c r="K577" t="s">
        <v>969</v>
      </c>
      <c r="L577" s="9">
        <f>WEEKDAY(Table1_2[[#This Row],[Transaction date]])</f>
        <v>4</v>
      </c>
    </row>
    <row r="578" spans="1:12" x14ac:dyDescent="0.3">
      <c r="A578" t="str">
        <f t="shared" ref="A578:A641" si="9">TEXT(B578, "dd-mmm") &amp; " " &amp; C578</f>
        <v>27-Jan 2009</v>
      </c>
      <c r="B578" s="10">
        <v>39840</v>
      </c>
      <c r="C578">
        <v>2009</v>
      </c>
      <c r="D578" s="11">
        <v>0.25416666666666665</v>
      </c>
      <c r="E578" t="s">
        <v>1738</v>
      </c>
      <c r="F578" t="s">
        <v>11</v>
      </c>
      <c r="G578">
        <v>1200</v>
      </c>
      <c r="H578" t="s">
        <v>12</v>
      </c>
      <c r="I578" t="s">
        <v>978</v>
      </c>
      <c r="J578" t="s">
        <v>979</v>
      </c>
      <c r="K578" t="s">
        <v>981</v>
      </c>
      <c r="L578" s="9">
        <f>WEEKDAY(Table1_2[[#This Row],[Transaction date]])</f>
        <v>3</v>
      </c>
    </row>
    <row r="579" spans="1:12" x14ac:dyDescent="0.3">
      <c r="A579" t="str">
        <f t="shared" si="9"/>
        <v>15-Jan 2009</v>
      </c>
      <c r="B579" s="10">
        <v>39828</v>
      </c>
      <c r="C579">
        <v>2009</v>
      </c>
      <c r="D579" s="11">
        <v>0.375</v>
      </c>
      <c r="E579" t="s">
        <v>1738</v>
      </c>
      <c r="F579" t="s">
        <v>11</v>
      </c>
      <c r="G579">
        <v>1200</v>
      </c>
      <c r="H579" t="s">
        <v>12</v>
      </c>
      <c r="I579" t="s">
        <v>982</v>
      </c>
      <c r="J579" t="s">
        <v>983</v>
      </c>
      <c r="K579" t="s">
        <v>981</v>
      </c>
      <c r="L579" s="9">
        <f>WEEKDAY(Table1_2[[#This Row],[Transaction date]])</f>
        <v>5</v>
      </c>
    </row>
    <row r="580" spans="1:12" x14ac:dyDescent="0.3">
      <c r="A580" t="str">
        <f t="shared" si="9"/>
        <v>08-Jan 2009</v>
      </c>
      <c r="B580" s="10">
        <v>39821</v>
      </c>
      <c r="C580">
        <v>2009</v>
      </c>
      <c r="D580" s="11">
        <v>0.31180555555555556</v>
      </c>
      <c r="E580" t="s">
        <v>1738</v>
      </c>
      <c r="F580" t="s">
        <v>21</v>
      </c>
      <c r="G580">
        <v>100000</v>
      </c>
      <c r="H580" t="s">
        <v>17</v>
      </c>
      <c r="I580" t="s">
        <v>985</v>
      </c>
      <c r="J580" t="s">
        <v>986</v>
      </c>
      <c r="K580" t="s">
        <v>988</v>
      </c>
      <c r="L580" s="9">
        <f>WEEKDAY(Table1_2[[#This Row],[Transaction date]])</f>
        <v>5</v>
      </c>
    </row>
    <row r="581" spans="1:12" x14ac:dyDescent="0.3">
      <c r="A581" t="str">
        <f t="shared" si="9"/>
        <v>24-Jan 2009</v>
      </c>
      <c r="B581" s="10">
        <v>39837</v>
      </c>
      <c r="C581">
        <v>2009</v>
      </c>
      <c r="D581" s="11">
        <v>0.47291666666666665</v>
      </c>
      <c r="E581" t="s">
        <v>1738</v>
      </c>
      <c r="F581" t="s">
        <v>11</v>
      </c>
      <c r="G581">
        <v>1200</v>
      </c>
      <c r="H581" t="s">
        <v>12</v>
      </c>
      <c r="I581" t="s">
        <v>989</v>
      </c>
      <c r="J581" t="s">
        <v>990</v>
      </c>
      <c r="K581" t="s">
        <v>988</v>
      </c>
      <c r="L581" s="9">
        <f>WEEKDAY(Table1_2[[#This Row],[Transaction date]])</f>
        <v>7</v>
      </c>
    </row>
    <row r="582" spans="1:12" x14ac:dyDescent="0.3">
      <c r="A582" t="str">
        <f t="shared" si="9"/>
        <v>08-Jan 2009</v>
      </c>
      <c r="B582" s="10">
        <v>39821</v>
      </c>
      <c r="C582">
        <v>2009</v>
      </c>
      <c r="D582" s="11">
        <v>8.2638888888888887E-2</v>
      </c>
      <c r="E582" t="s">
        <v>1738</v>
      </c>
      <c r="F582" t="s">
        <v>11</v>
      </c>
      <c r="G582">
        <v>1200</v>
      </c>
      <c r="H582" t="s">
        <v>17</v>
      </c>
      <c r="I582" t="s">
        <v>991</v>
      </c>
      <c r="J582" t="s">
        <v>992</v>
      </c>
      <c r="K582" t="s">
        <v>994</v>
      </c>
      <c r="L582" s="9">
        <f>WEEKDAY(Table1_2[[#This Row],[Transaction date]])</f>
        <v>5</v>
      </c>
    </row>
    <row r="583" spans="1:12" x14ac:dyDescent="0.3">
      <c r="A583" t="str">
        <f t="shared" si="9"/>
        <v>07-Jan 2009</v>
      </c>
      <c r="B583" s="10">
        <v>39820</v>
      </c>
      <c r="C583">
        <v>2009</v>
      </c>
      <c r="D583" s="11">
        <v>0.5083333333333333</v>
      </c>
      <c r="E583" t="s">
        <v>1739</v>
      </c>
      <c r="F583" t="s">
        <v>21</v>
      </c>
      <c r="G583">
        <v>100000</v>
      </c>
      <c r="H583" t="s">
        <v>17</v>
      </c>
      <c r="I583" t="s">
        <v>995</v>
      </c>
      <c r="J583" t="s">
        <v>996</v>
      </c>
      <c r="K583" t="s">
        <v>994</v>
      </c>
      <c r="L583" s="9">
        <f>WEEKDAY(Table1_2[[#This Row],[Transaction date]])</f>
        <v>4</v>
      </c>
    </row>
    <row r="584" spans="1:12" x14ac:dyDescent="0.3">
      <c r="A584" t="str">
        <f t="shared" si="9"/>
        <v>05-Jan 2009</v>
      </c>
      <c r="B584" s="10">
        <v>39818</v>
      </c>
      <c r="C584">
        <v>2009</v>
      </c>
      <c r="D584" s="11">
        <v>7.7777777777777779E-2</v>
      </c>
      <c r="E584" t="s">
        <v>1738</v>
      </c>
      <c r="F584" t="s">
        <v>11</v>
      </c>
      <c r="G584">
        <v>1200</v>
      </c>
      <c r="H584" t="s">
        <v>17</v>
      </c>
      <c r="I584" t="s">
        <v>723</v>
      </c>
      <c r="J584" t="s">
        <v>998</v>
      </c>
      <c r="K584" t="s">
        <v>994</v>
      </c>
      <c r="L584" s="9">
        <f>WEEKDAY(Table1_2[[#This Row],[Transaction date]])</f>
        <v>2</v>
      </c>
    </row>
    <row r="585" spans="1:12" x14ac:dyDescent="0.3">
      <c r="A585" t="str">
        <f t="shared" si="9"/>
        <v>18-Jan 2009</v>
      </c>
      <c r="B585" s="10">
        <v>39831</v>
      </c>
      <c r="C585">
        <v>2009</v>
      </c>
      <c r="D585" s="11">
        <v>0.27083333333333331</v>
      </c>
      <c r="E585" t="s">
        <v>1738</v>
      </c>
      <c r="F585" t="s">
        <v>11</v>
      </c>
      <c r="G585">
        <v>1200</v>
      </c>
      <c r="H585" t="s">
        <v>12</v>
      </c>
      <c r="I585" t="s">
        <v>999</v>
      </c>
      <c r="J585" t="s">
        <v>1000</v>
      </c>
      <c r="K585" t="s">
        <v>994</v>
      </c>
      <c r="L585" s="9">
        <f>WEEKDAY(Table1_2[[#This Row],[Transaction date]])</f>
        <v>1</v>
      </c>
    </row>
    <row r="586" spans="1:12" x14ac:dyDescent="0.3">
      <c r="A586" t="str">
        <f t="shared" si="9"/>
        <v>14-Jan 2009</v>
      </c>
      <c r="B586" s="10">
        <v>39827</v>
      </c>
      <c r="C586">
        <v>2009</v>
      </c>
      <c r="D586" s="11">
        <v>0.22222222222222221</v>
      </c>
      <c r="E586" t="s">
        <v>1738</v>
      </c>
      <c r="F586" t="s">
        <v>21</v>
      </c>
      <c r="G586">
        <v>100000</v>
      </c>
      <c r="H586" t="s">
        <v>12</v>
      </c>
      <c r="I586" t="s">
        <v>717</v>
      </c>
      <c r="J586" t="s">
        <v>1002</v>
      </c>
      <c r="K586" t="s">
        <v>994</v>
      </c>
      <c r="L586" s="9">
        <f>WEEKDAY(Table1_2[[#This Row],[Transaction date]])</f>
        <v>4</v>
      </c>
    </row>
    <row r="587" spans="1:12" x14ac:dyDescent="0.3">
      <c r="A587" t="str">
        <f t="shared" si="9"/>
        <v>05-Jan 2009</v>
      </c>
      <c r="B587" s="10">
        <v>39818</v>
      </c>
      <c r="C587">
        <v>2009</v>
      </c>
      <c r="D587" s="11">
        <v>0.30972222222222223</v>
      </c>
      <c r="E587" t="s">
        <v>1738</v>
      </c>
      <c r="F587" t="s">
        <v>11</v>
      </c>
      <c r="G587">
        <v>1200</v>
      </c>
      <c r="H587" t="s">
        <v>12</v>
      </c>
      <c r="I587" t="s">
        <v>1004</v>
      </c>
      <c r="J587" t="s">
        <v>1005</v>
      </c>
      <c r="K587" t="s">
        <v>994</v>
      </c>
      <c r="L587" s="9">
        <f>WEEKDAY(Table1_2[[#This Row],[Transaction date]])</f>
        <v>2</v>
      </c>
    </row>
    <row r="588" spans="1:12" x14ac:dyDescent="0.3">
      <c r="A588" t="str">
        <f t="shared" si="9"/>
        <v>01-Jan 2009</v>
      </c>
      <c r="B588" s="10">
        <v>39814</v>
      </c>
      <c r="C588">
        <v>2009</v>
      </c>
      <c r="D588" s="11">
        <v>0.51736111111111116</v>
      </c>
      <c r="E588" t="s">
        <v>1739</v>
      </c>
      <c r="F588" t="s">
        <v>21</v>
      </c>
      <c r="G588">
        <v>100000</v>
      </c>
      <c r="H588" t="s">
        <v>17</v>
      </c>
      <c r="I588" t="s">
        <v>1007</v>
      </c>
      <c r="J588" t="s">
        <v>1008</v>
      </c>
      <c r="K588" t="s">
        <v>994</v>
      </c>
      <c r="L588" s="9">
        <f>WEEKDAY(Table1_2[[#This Row],[Transaction date]])</f>
        <v>5</v>
      </c>
    </row>
    <row r="589" spans="1:12" x14ac:dyDescent="0.3">
      <c r="A589" t="str">
        <f t="shared" si="9"/>
        <v>12-Jan 2009</v>
      </c>
      <c r="B589" s="10">
        <v>39825</v>
      </c>
      <c r="C589">
        <v>2009</v>
      </c>
      <c r="D589" s="11">
        <v>0.4201388888888889</v>
      </c>
      <c r="E589" t="s">
        <v>1738</v>
      </c>
      <c r="F589" t="s">
        <v>21</v>
      </c>
      <c r="G589">
        <v>100000</v>
      </c>
      <c r="H589" t="s">
        <v>65</v>
      </c>
      <c r="I589" t="s">
        <v>808</v>
      </c>
      <c r="J589" t="s">
        <v>1009</v>
      </c>
      <c r="K589" t="s">
        <v>994</v>
      </c>
      <c r="L589" s="9">
        <f>WEEKDAY(Table1_2[[#This Row],[Transaction date]])</f>
        <v>2</v>
      </c>
    </row>
    <row r="590" spans="1:12" x14ac:dyDescent="0.3">
      <c r="A590" t="str">
        <f t="shared" si="9"/>
        <v>05-Jan 2009</v>
      </c>
      <c r="B590" s="10">
        <v>39818</v>
      </c>
      <c r="C590">
        <v>2009</v>
      </c>
      <c r="D590" s="11">
        <v>0.3527777777777778</v>
      </c>
      <c r="E590" t="s">
        <v>1738</v>
      </c>
      <c r="F590" t="s">
        <v>11</v>
      </c>
      <c r="G590">
        <v>1200</v>
      </c>
      <c r="H590" t="s">
        <v>12</v>
      </c>
      <c r="I590" t="s">
        <v>1011</v>
      </c>
      <c r="J590" t="s">
        <v>1012</v>
      </c>
      <c r="K590" t="s">
        <v>994</v>
      </c>
      <c r="L590" s="9">
        <f>WEEKDAY(Table1_2[[#This Row],[Transaction date]])</f>
        <v>2</v>
      </c>
    </row>
    <row r="591" spans="1:12" x14ac:dyDescent="0.3">
      <c r="A591" t="str">
        <f t="shared" si="9"/>
        <v>25-Jan 2009</v>
      </c>
      <c r="B591" s="10">
        <v>39838</v>
      </c>
      <c r="C591">
        <v>2009</v>
      </c>
      <c r="D591" s="11">
        <v>0.36805555555555558</v>
      </c>
      <c r="E591" t="s">
        <v>1738</v>
      </c>
      <c r="F591" t="s">
        <v>11</v>
      </c>
      <c r="G591">
        <v>1200</v>
      </c>
      <c r="H591" t="s">
        <v>17</v>
      </c>
      <c r="I591" t="s">
        <v>1013</v>
      </c>
      <c r="J591" t="s">
        <v>1006</v>
      </c>
      <c r="K591" t="s">
        <v>994</v>
      </c>
      <c r="L591" s="9">
        <f>WEEKDAY(Table1_2[[#This Row],[Transaction date]])</f>
        <v>1</v>
      </c>
    </row>
    <row r="592" spans="1:12" x14ac:dyDescent="0.3">
      <c r="A592" t="str">
        <f t="shared" si="9"/>
        <v>05-Jan 2009</v>
      </c>
      <c r="B592" s="10">
        <v>39818</v>
      </c>
      <c r="C592">
        <v>2009</v>
      </c>
      <c r="D592" s="11">
        <v>0.32430555555555557</v>
      </c>
      <c r="E592" t="s">
        <v>1738</v>
      </c>
      <c r="F592" t="s">
        <v>11</v>
      </c>
      <c r="G592">
        <v>1200</v>
      </c>
      <c r="H592" t="s">
        <v>65</v>
      </c>
      <c r="I592" t="s">
        <v>530</v>
      </c>
      <c r="J592" t="s">
        <v>1014</v>
      </c>
      <c r="K592" t="s">
        <v>994</v>
      </c>
      <c r="L592" s="9">
        <f>WEEKDAY(Table1_2[[#This Row],[Transaction date]])</f>
        <v>2</v>
      </c>
    </row>
    <row r="593" spans="1:12" x14ac:dyDescent="0.3">
      <c r="A593" t="str">
        <f t="shared" si="9"/>
        <v>07-Jan 2009</v>
      </c>
      <c r="B593" s="10">
        <v>39820</v>
      </c>
      <c r="C593">
        <v>2009</v>
      </c>
      <c r="D593" s="11">
        <v>4.2361111111111113E-2</v>
      </c>
      <c r="E593" t="s">
        <v>1738</v>
      </c>
      <c r="F593" t="s">
        <v>21</v>
      </c>
      <c r="G593">
        <v>100000</v>
      </c>
      <c r="H593" t="s">
        <v>12</v>
      </c>
      <c r="I593" t="s">
        <v>657</v>
      </c>
      <c r="J593" t="s">
        <v>1015</v>
      </c>
      <c r="K593" t="s">
        <v>994</v>
      </c>
      <c r="L593" s="9">
        <f>WEEKDAY(Table1_2[[#This Row],[Transaction date]])</f>
        <v>4</v>
      </c>
    </row>
    <row r="594" spans="1:12" x14ac:dyDescent="0.3">
      <c r="A594" t="str">
        <f t="shared" si="9"/>
        <v>24-Jan 2009</v>
      </c>
      <c r="B594" s="10">
        <v>39837</v>
      </c>
      <c r="C594">
        <v>2009</v>
      </c>
      <c r="D594" s="11">
        <v>7.9166666666666663E-2</v>
      </c>
      <c r="E594" t="s">
        <v>1738</v>
      </c>
      <c r="F594" t="s">
        <v>21</v>
      </c>
      <c r="G594">
        <v>100000</v>
      </c>
      <c r="H594" t="s">
        <v>17</v>
      </c>
      <c r="I594" t="s">
        <v>1016</v>
      </c>
      <c r="J594" t="s">
        <v>1017</v>
      </c>
      <c r="K594" t="s">
        <v>994</v>
      </c>
      <c r="L594" s="9">
        <f>WEEKDAY(Table1_2[[#This Row],[Transaction date]])</f>
        <v>7</v>
      </c>
    </row>
    <row r="595" spans="1:12" x14ac:dyDescent="0.3">
      <c r="A595" t="str">
        <f t="shared" si="9"/>
        <v>14-Jan 2009</v>
      </c>
      <c r="B595" s="10">
        <v>39827</v>
      </c>
      <c r="C595">
        <v>2009</v>
      </c>
      <c r="D595" s="11">
        <v>0.53819444444444442</v>
      </c>
      <c r="E595" t="s">
        <v>1739</v>
      </c>
      <c r="F595" t="s">
        <v>11</v>
      </c>
      <c r="G595">
        <v>1200</v>
      </c>
      <c r="H595" t="s">
        <v>12</v>
      </c>
      <c r="I595" t="s">
        <v>1018</v>
      </c>
      <c r="J595" t="s">
        <v>1019</v>
      </c>
      <c r="K595" t="s">
        <v>994</v>
      </c>
      <c r="L595" s="9">
        <f>WEEKDAY(Table1_2[[#This Row],[Transaction date]])</f>
        <v>4</v>
      </c>
    </row>
    <row r="596" spans="1:12" x14ac:dyDescent="0.3">
      <c r="A596" t="str">
        <f t="shared" si="9"/>
        <v>27-Jan 2009</v>
      </c>
      <c r="B596" s="10">
        <v>39840</v>
      </c>
      <c r="C596">
        <v>2009</v>
      </c>
      <c r="D596" s="11">
        <v>4.7222222222222221E-2</v>
      </c>
      <c r="E596" t="s">
        <v>1738</v>
      </c>
      <c r="F596" t="s">
        <v>11</v>
      </c>
      <c r="G596">
        <v>1200</v>
      </c>
      <c r="H596" t="s">
        <v>17</v>
      </c>
      <c r="I596" t="s">
        <v>135</v>
      </c>
      <c r="J596" t="s">
        <v>993</v>
      </c>
      <c r="K596" t="s">
        <v>994</v>
      </c>
      <c r="L596" s="9">
        <f>WEEKDAY(Table1_2[[#This Row],[Transaction date]])</f>
        <v>3</v>
      </c>
    </row>
    <row r="597" spans="1:12" x14ac:dyDescent="0.3">
      <c r="A597" t="str">
        <f t="shared" si="9"/>
        <v>03-Jan 2009</v>
      </c>
      <c r="B597" s="10">
        <v>39816</v>
      </c>
      <c r="C597">
        <v>2009</v>
      </c>
      <c r="D597" s="11">
        <v>6.5972222222222224E-2</v>
      </c>
      <c r="E597" t="s">
        <v>1738</v>
      </c>
      <c r="F597" t="s">
        <v>11</v>
      </c>
      <c r="G597">
        <v>1200</v>
      </c>
      <c r="H597" t="s">
        <v>17</v>
      </c>
      <c r="I597" t="s">
        <v>1020</v>
      </c>
      <c r="J597" t="s">
        <v>1021</v>
      </c>
      <c r="K597" t="s">
        <v>994</v>
      </c>
      <c r="L597" s="9">
        <f>WEEKDAY(Table1_2[[#This Row],[Transaction date]])</f>
        <v>7</v>
      </c>
    </row>
    <row r="598" spans="1:12" x14ac:dyDescent="0.3">
      <c r="A598" t="str">
        <f t="shared" si="9"/>
        <v>13-Jan 2009</v>
      </c>
      <c r="B598" s="10">
        <v>39826</v>
      </c>
      <c r="C598">
        <v>2009</v>
      </c>
      <c r="D598" s="11">
        <v>0.11388888888888889</v>
      </c>
      <c r="E598" t="s">
        <v>1738</v>
      </c>
      <c r="F598" t="s">
        <v>21</v>
      </c>
      <c r="G598">
        <v>100000</v>
      </c>
      <c r="H598" t="s">
        <v>12</v>
      </c>
      <c r="I598" t="s">
        <v>1022</v>
      </c>
      <c r="J598" t="s">
        <v>1006</v>
      </c>
      <c r="K598" t="s">
        <v>994</v>
      </c>
      <c r="L598" s="9">
        <f>WEEKDAY(Table1_2[[#This Row],[Transaction date]])</f>
        <v>3</v>
      </c>
    </row>
    <row r="599" spans="1:12" x14ac:dyDescent="0.3">
      <c r="A599" t="str">
        <f t="shared" si="9"/>
        <v>24-Jan 2009</v>
      </c>
      <c r="B599" s="10">
        <v>39837</v>
      </c>
      <c r="C599">
        <v>2009</v>
      </c>
      <c r="D599" s="11">
        <v>0.39583333333333331</v>
      </c>
      <c r="E599" t="s">
        <v>1738</v>
      </c>
      <c r="F599" t="s">
        <v>11</v>
      </c>
      <c r="G599">
        <v>1200</v>
      </c>
      <c r="H599" t="s">
        <v>12</v>
      </c>
      <c r="I599" t="s">
        <v>83</v>
      </c>
      <c r="J599" t="s">
        <v>1023</v>
      </c>
      <c r="K599" t="s">
        <v>994</v>
      </c>
      <c r="L599" s="9">
        <f>WEEKDAY(Table1_2[[#This Row],[Transaction date]])</f>
        <v>7</v>
      </c>
    </row>
    <row r="600" spans="1:12" x14ac:dyDescent="0.3">
      <c r="A600" t="str">
        <f t="shared" si="9"/>
        <v>28-Jan 2009</v>
      </c>
      <c r="B600" s="10">
        <v>39841</v>
      </c>
      <c r="C600">
        <v>2009</v>
      </c>
      <c r="D600" s="11">
        <v>0.51527777777777772</v>
      </c>
      <c r="E600" t="s">
        <v>1739</v>
      </c>
      <c r="F600" t="s">
        <v>11</v>
      </c>
      <c r="G600">
        <v>1200</v>
      </c>
      <c r="H600" t="s">
        <v>12</v>
      </c>
      <c r="I600" t="s">
        <v>1024</v>
      </c>
      <c r="J600" t="s">
        <v>1025</v>
      </c>
      <c r="K600" t="s">
        <v>994</v>
      </c>
      <c r="L600" s="9">
        <f>WEEKDAY(Table1_2[[#This Row],[Transaction date]])</f>
        <v>4</v>
      </c>
    </row>
    <row r="601" spans="1:12" x14ac:dyDescent="0.3">
      <c r="A601" t="str">
        <f t="shared" si="9"/>
        <v>21-Jan 2009</v>
      </c>
      <c r="B601" s="10">
        <v>39834</v>
      </c>
      <c r="C601">
        <v>2009</v>
      </c>
      <c r="D601" s="11">
        <v>0.49444444444444446</v>
      </c>
      <c r="E601" t="s">
        <v>1738</v>
      </c>
      <c r="F601" t="s">
        <v>11</v>
      </c>
      <c r="G601">
        <v>1200</v>
      </c>
      <c r="H601" t="s">
        <v>12</v>
      </c>
      <c r="I601" t="s">
        <v>420</v>
      </c>
      <c r="J601" t="s">
        <v>1027</v>
      </c>
      <c r="K601" t="s">
        <v>994</v>
      </c>
      <c r="L601" s="9">
        <f>WEEKDAY(Table1_2[[#This Row],[Transaction date]])</f>
        <v>4</v>
      </c>
    </row>
    <row r="602" spans="1:12" x14ac:dyDescent="0.3">
      <c r="A602" t="str">
        <f t="shared" si="9"/>
        <v>29-Jan 2009</v>
      </c>
      <c r="B602" s="10">
        <v>39842</v>
      </c>
      <c r="C602">
        <v>2009</v>
      </c>
      <c r="D602" s="11">
        <v>4.2361111111111113E-2</v>
      </c>
      <c r="E602" t="s">
        <v>1738</v>
      </c>
      <c r="F602" t="s">
        <v>11</v>
      </c>
      <c r="G602">
        <v>1200</v>
      </c>
      <c r="H602" t="s">
        <v>17</v>
      </c>
      <c r="I602" t="s">
        <v>1028</v>
      </c>
      <c r="J602" t="s">
        <v>1029</v>
      </c>
      <c r="K602" t="s">
        <v>994</v>
      </c>
      <c r="L602" s="9">
        <f>WEEKDAY(Table1_2[[#This Row],[Transaction date]])</f>
        <v>5</v>
      </c>
    </row>
    <row r="603" spans="1:12" x14ac:dyDescent="0.3">
      <c r="A603" t="str">
        <f t="shared" si="9"/>
        <v>27-Jan 2009</v>
      </c>
      <c r="B603" s="10">
        <v>39840</v>
      </c>
      <c r="C603">
        <v>2009</v>
      </c>
      <c r="D603" s="11">
        <v>0.15625</v>
      </c>
      <c r="E603" t="s">
        <v>1738</v>
      </c>
      <c r="F603" t="s">
        <v>21</v>
      </c>
      <c r="G603">
        <v>100000</v>
      </c>
      <c r="H603" t="s">
        <v>12</v>
      </c>
      <c r="I603" t="s">
        <v>1030</v>
      </c>
      <c r="J603" t="s">
        <v>1031</v>
      </c>
      <c r="K603" t="s">
        <v>994</v>
      </c>
      <c r="L603" s="9">
        <f>WEEKDAY(Table1_2[[#This Row],[Transaction date]])</f>
        <v>3</v>
      </c>
    </row>
    <row r="604" spans="1:12" x14ac:dyDescent="0.3">
      <c r="A604" t="str">
        <f t="shared" si="9"/>
        <v>12-Jan 2009</v>
      </c>
      <c r="B604" s="10">
        <v>39825</v>
      </c>
      <c r="C604">
        <v>2009</v>
      </c>
      <c r="D604" s="11">
        <v>0.47291666666666665</v>
      </c>
      <c r="E604" t="s">
        <v>1738</v>
      </c>
      <c r="F604" t="s">
        <v>11</v>
      </c>
      <c r="G604">
        <v>1200</v>
      </c>
      <c r="H604" t="s">
        <v>17</v>
      </c>
      <c r="I604" t="s">
        <v>1032</v>
      </c>
      <c r="J604" t="s">
        <v>1033</v>
      </c>
      <c r="K604" t="s">
        <v>994</v>
      </c>
      <c r="L604" s="9">
        <f>WEEKDAY(Table1_2[[#This Row],[Transaction date]])</f>
        <v>2</v>
      </c>
    </row>
    <row r="605" spans="1:12" x14ac:dyDescent="0.3">
      <c r="A605" t="str">
        <f t="shared" si="9"/>
        <v>21-Jan 2009</v>
      </c>
      <c r="B605" s="10">
        <v>39834</v>
      </c>
      <c r="C605">
        <v>2009</v>
      </c>
      <c r="D605" s="11">
        <v>0.49722222222222223</v>
      </c>
      <c r="E605" t="s">
        <v>1738</v>
      </c>
      <c r="F605" t="s">
        <v>11</v>
      </c>
      <c r="G605">
        <v>1200</v>
      </c>
      <c r="H605" t="s">
        <v>12</v>
      </c>
      <c r="I605" t="s">
        <v>1034</v>
      </c>
      <c r="J605" t="s">
        <v>1035</v>
      </c>
      <c r="K605" t="s">
        <v>994</v>
      </c>
      <c r="L605" s="9">
        <f>WEEKDAY(Table1_2[[#This Row],[Transaction date]])</f>
        <v>4</v>
      </c>
    </row>
    <row r="606" spans="1:12" x14ac:dyDescent="0.3">
      <c r="A606" t="str">
        <f t="shared" si="9"/>
        <v>30-Jan 2009</v>
      </c>
      <c r="B606" s="10">
        <v>39843</v>
      </c>
      <c r="C606">
        <v>2009</v>
      </c>
      <c r="D606" s="11">
        <v>0.26250000000000001</v>
      </c>
      <c r="E606" t="s">
        <v>1738</v>
      </c>
      <c r="F606" t="s">
        <v>21</v>
      </c>
      <c r="G606">
        <v>100000</v>
      </c>
      <c r="H606" t="s">
        <v>17</v>
      </c>
      <c r="I606" t="s">
        <v>912</v>
      </c>
      <c r="J606" t="s">
        <v>1036</v>
      </c>
      <c r="K606" t="s">
        <v>994</v>
      </c>
      <c r="L606" s="9">
        <f>WEEKDAY(Table1_2[[#This Row],[Transaction date]])</f>
        <v>6</v>
      </c>
    </row>
    <row r="607" spans="1:12" x14ac:dyDescent="0.3">
      <c r="A607" t="str">
        <f t="shared" si="9"/>
        <v>21-Jan 2009</v>
      </c>
      <c r="B607" s="10">
        <v>39834</v>
      </c>
      <c r="C607">
        <v>2009</v>
      </c>
      <c r="D607" s="11">
        <v>9.7222222222222224E-2</v>
      </c>
      <c r="E607" t="s">
        <v>1738</v>
      </c>
      <c r="F607" t="s">
        <v>21</v>
      </c>
      <c r="G607">
        <v>100000</v>
      </c>
      <c r="H607" t="s">
        <v>12</v>
      </c>
      <c r="I607" t="s">
        <v>135</v>
      </c>
      <c r="J607" t="s">
        <v>1038</v>
      </c>
      <c r="K607" t="s">
        <v>994</v>
      </c>
      <c r="L607" s="9">
        <f>WEEKDAY(Table1_2[[#This Row],[Transaction date]])</f>
        <v>4</v>
      </c>
    </row>
    <row r="608" spans="1:12" x14ac:dyDescent="0.3">
      <c r="A608" t="str">
        <f t="shared" si="9"/>
        <v>25-Jan 2009</v>
      </c>
      <c r="B608" s="10">
        <v>39838</v>
      </c>
      <c r="C608">
        <v>2009</v>
      </c>
      <c r="D608" s="11">
        <v>7.6388888888888895E-2</v>
      </c>
      <c r="E608" t="s">
        <v>1738</v>
      </c>
      <c r="F608" t="s">
        <v>21</v>
      </c>
      <c r="G608">
        <v>100000</v>
      </c>
      <c r="H608" t="s">
        <v>12</v>
      </c>
      <c r="I608" t="s">
        <v>214</v>
      </c>
      <c r="J608" t="s">
        <v>996</v>
      </c>
      <c r="K608" t="s">
        <v>994</v>
      </c>
      <c r="L608" s="9">
        <f>WEEKDAY(Table1_2[[#This Row],[Transaction date]])</f>
        <v>1</v>
      </c>
    </row>
    <row r="609" spans="1:12" x14ac:dyDescent="0.3">
      <c r="A609" t="str">
        <f t="shared" si="9"/>
        <v>30-Jan 2009</v>
      </c>
      <c r="B609" s="10">
        <v>39843</v>
      </c>
      <c r="C609">
        <v>2009</v>
      </c>
      <c r="D609" s="11">
        <v>4.791666666666667E-2</v>
      </c>
      <c r="E609" t="s">
        <v>1738</v>
      </c>
      <c r="F609" t="s">
        <v>11</v>
      </c>
      <c r="G609">
        <v>1200</v>
      </c>
      <c r="H609" t="s">
        <v>17</v>
      </c>
      <c r="I609" t="s">
        <v>1039</v>
      </c>
      <c r="J609" t="s">
        <v>1040</v>
      </c>
      <c r="K609" t="s">
        <v>994</v>
      </c>
      <c r="L609" s="9">
        <f>WEEKDAY(Table1_2[[#This Row],[Transaction date]])</f>
        <v>6</v>
      </c>
    </row>
    <row r="610" spans="1:12" x14ac:dyDescent="0.3">
      <c r="A610" t="str">
        <f t="shared" si="9"/>
        <v>08-Jan 2009</v>
      </c>
      <c r="B610" s="10">
        <v>39821</v>
      </c>
      <c r="C610">
        <v>2009</v>
      </c>
      <c r="D610" s="11">
        <v>0.46805555555555556</v>
      </c>
      <c r="E610" t="s">
        <v>1738</v>
      </c>
      <c r="F610" t="s">
        <v>21</v>
      </c>
      <c r="G610">
        <v>100000</v>
      </c>
      <c r="H610" t="s">
        <v>12</v>
      </c>
      <c r="I610" t="s">
        <v>1041</v>
      </c>
      <c r="J610" t="s">
        <v>1042</v>
      </c>
      <c r="K610" t="s">
        <v>994</v>
      </c>
      <c r="L610" s="9">
        <f>WEEKDAY(Table1_2[[#This Row],[Transaction date]])</f>
        <v>5</v>
      </c>
    </row>
    <row r="611" spans="1:12" x14ac:dyDescent="0.3">
      <c r="A611" t="str">
        <f t="shared" si="9"/>
        <v>30-Jan 2009</v>
      </c>
      <c r="B611" s="10">
        <v>39843</v>
      </c>
      <c r="C611">
        <v>2009</v>
      </c>
      <c r="D611" s="11">
        <v>0.10833333333333334</v>
      </c>
      <c r="E611" t="s">
        <v>1738</v>
      </c>
      <c r="F611" t="s">
        <v>11</v>
      </c>
      <c r="G611">
        <v>1200</v>
      </c>
      <c r="H611" t="s">
        <v>12</v>
      </c>
      <c r="I611" t="s">
        <v>1043</v>
      </c>
      <c r="J611" t="s">
        <v>993</v>
      </c>
      <c r="K611" t="s">
        <v>994</v>
      </c>
      <c r="L611" s="9">
        <f>WEEKDAY(Table1_2[[#This Row],[Transaction date]])</f>
        <v>6</v>
      </c>
    </row>
    <row r="612" spans="1:12" x14ac:dyDescent="0.3">
      <c r="A612" t="str">
        <f t="shared" si="9"/>
        <v>26-Jan 2009</v>
      </c>
      <c r="B612" s="10">
        <v>39839</v>
      </c>
      <c r="C612">
        <v>2009</v>
      </c>
      <c r="D612" s="11">
        <v>0.27569444444444446</v>
      </c>
      <c r="E612" t="s">
        <v>1738</v>
      </c>
      <c r="F612" t="s">
        <v>11</v>
      </c>
      <c r="G612">
        <v>1200</v>
      </c>
      <c r="H612" t="s">
        <v>12</v>
      </c>
      <c r="I612" t="s">
        <v>1044</v>
      </c>
      <c r="J612" t="s">
        <v>1045</v>
      </c>
      <c r="K612" t="s">
        <v>994</v>
      </c>
      <c r="L612" s="9">
        <f>WEEKDAY(Table1_2[[#This Row],[Transaction date]])</f>
        <v>2</v>
      </c>
    </row>
    <row r="613" spans="1:12" x14ac:dyDescent="0.3">
      <c r="A613" t="str">
        <f t="shared" si="9"/>
        <v>08-Jan 2009</v>
      </c>
      <c r="B613" s="10">
        <v>39821</v>
      </c>
      <c r="C613">
        <v>2009</v>
      </c>
      <c r="D613" s="11">
        <v>0.11736111111111111</v>
      </c>
      <c r="E613" t="s">
        <v>1738</v>
      </c>
      <c r="F613" t="s">
        <v>21</v>
      </c>
      <c r="G613">
        <v>100000</v>
      </c>
      <c r="H613" t="s">
        <v>17</v>
      </c>
      <c r="I613" t="s">
        <v>509</v>
      </c>
      <c r="J613" t="s">
        <v>1046</v>
      </c>
      <c r="K613" t="s">
        <v>994</v>
      </c>
      <c r="L613" s="9">
        <f>WEEKDAY(Table1_2[[#This Row],[Transaction date]])</f>
        <v>5</v>
      </c>
    </row>
    <row r="614" spans="1:12" x14ac:dyDescent="0.3">
      <c r="A614" t="str">
        <f t="shared" si="9"/>
        <v>16-Jan 2009</v>
      </c>
      <c r="B614" s="10">
        <v>39829</v>
      </c>
      <c r="C614">
        <v>2009</v>
      </c>
      <c r="D614" s="11">
        <v>0.21666666666666667</v>
      </c>
      <c r="E614" t="s">
        <v>1738</v>
      </c>
      <c r="F614" t="s">
        <v>21</v>
      </c>
      <c r="G614">
        <v>100000</v>
      </c>
      <c r="H614" t="s">
        <v>12</v>
      </c>
      <c r="I614" t="s">
        <v>593</v>
      </c>
      <c r="J614" t="s">
        <v>1047</v>
      </c>
      <c r="K614" t="s">
        <v>994</v>
      </c>
      <c r="L614" s="9">
        <f>WEEKDAY(Table1_2[[#This Row],[Transaction date]])</f>
        <v>6</v>
      </c>
    </row>
    <row r="615" spans="1:12" x14ac:dyDescent="0.3">
      <c r="A615" t="str">
        <f t="shared" si="9"/>
        <v>23-Jan 2009</v>
      </c>
      <c r="B615" s="10">
        <v>39836</v>
      </c>
      <c r="C615">
        <v>2009</v>
      </c>
      <c r="D615" s="11">
        <v>0.24444444444444444</v>
      </c>
      <c r="E615" t="s">
        <v>1738</v>
      </c>
      <c r="F615" t="s">
        <v>11</v>
      </c>
      <c r="G615">
        <v>1200</v>
      </c>
      <c r="H615" t="s">
        <v>65</v>
      </c>
      <c r="I615" t="s">
        <v>1049</v>
      </c>
      <c r="J615" t="s">
        <v>1008</v>
      </c>
      <c r="K615" t="s">
        <v>994</v>
      </c>
      <c r="L615" s="9">
        <f>WEEKDAY(Table1_2[[#This Row],[Transaction date]])</f>
        <v>6</v>
      </c>
    </row>
    <row r="616" spans="1:12" x14ac:dyDescent="0.3">
      <c r="A616" t="str">
        <f t="shared" si="9"/>
        <v>13-Jan 2009</v>
      </c>
      <c r="B616" s="10">
        <v>39826</v>
      </c>
      <c r="C616">
        <v>2009</v>
      </c>
      <c r="D616" s="11">
        <v>0.39305555555555555</v>
      </c>
      <c r="E616" t="s">
        <v>1738</v>
      </c>
      <c r="F616" t="s">
        <v>11</v>
      </c>
      <c r="G616">
        <v>1200</v>
      </c>
      <c r="H616" t="s">
        <v>12</v>
      </c>
      <c r="I616" t="s">
        <v>1050</v>
      </c>
      <c r="J616" t="s">
        <v>1051</v>
      </c>
      <c r="K616" t="s">
        <v>994</v>
      </c>
      <c r="L616" s="9">
        <f>WEEKDAY(Table1_2[[#This Row],[Transaction date]])</f>
        <v>3</v>
      </c>
    </row>
    <row r="617" spans="1:12" x14ac:dyDescent="0.3">
      <c r="A617" t="str">
        <f t="shared" si="9"/>
        <v>26-Jan 2009</v>
      </c>
      <c r="B617" s="10">
        <v>39839</v>
      </c>
      <c r="C617">
        <v>2009</v>
      </c>
      <c r="D617" s="11">
        <v>7.013888888888889E-2</v>
      </c>
      <c r="E617" t="s">
        <v>1738</v>
      </c>
      <c r="F617" t="s">
        <v>11</v>
      </c>
      <c r="G617">
        <v>1200</v>
      </c>
      <c r="H617" t="s">
        <v>17</v>
      </c>
      <c r="I617" t="s">
        <v>1052</v>
      </c>
      <c r="J617" t="s">
        <v>1053</v>
      </c>
      <c r="K617" t="s">
        <v>994</v>
      </c>
      <c r="L617" s="9">
        <f>WEEKDAY(Table1_2[[#This Row],[Transaction date]])</f>
        <v>2</v>
      </c>
    </row>
    <row r="618" spans="1:12" x14ac:dyDescent="0.3">
      <c r="A618" t="str">
        <f t="shared" si="9"/>
        <v>05-Jan 2009</v>
      </c>
      <c r="B618" s="10">
        <v>39818</v>
      </c>
      <c r="C618">
        <v>2009</v>
      </c>
      <c r="D618" s="11">
        <v>0.52152777777777781</v>
      </c>
      <c r="E618" t="s">
        <v>1739</v>
      </c>
      <c r="F618" t="s">
        <v>11</v>
      </c>
      <c r="G618">
        <v>1200</v>
      </c>
      <c r="H618" t="s">
        <v>17</v>
      </c>
      <c r="I618" t="s">
        <v>1054</v>
      </c>
      <c r="J618" t="s">
        <v>1055</v>
      </c>
      <c r="K618" t="s">
        <v>1057</v>
      </c>
      <c r="L618" s="9">
        <f>WEEKDAY(Table1_2[[#This Row],[Transaction date]])</f>
        <v>2</v>
      </c>
    </row>
    <row r="619" spans="1:12" x14ac:dyDescent="0.3">
      <c r="A619" t="str">
        <f t="shared" si="9"/>
        <v>03-Jan 2009</v>
      </c>
      <c r="B619" s="10">
        <v>39816</v>
      </c>
      <c r="C619">
        <v>2009</v>
      </c>
      <c r="D619" s="11">
        <v>0.27847222222222223</v>
      </c>
      <c r="E619" t="s">
        <v>1738</v>
      </c>
      <c r="F619" t="s">
        <v>21</v>
      </c>
      <c r="G619">
        <v>100000</v>
      </c>
      <c r="H619" t="s">
        <v>12</v>
      </c>
      <c r="I619" t="s">
        <v>1058</v>
      </c>
      <c r="J619" t="s">
        <v>1059</v>
      </c>
      <c r="K619" t="s">
        <v>1057</v>
      </c>
      <c r="L619" s="9">
        <f>WEEKDAY(Table1_2[[#This Row],[Transaction date]])</f>
        <v>7</v>
      </c>
    </row>
    <row r="620" spans="1:12" x14ac:dyDescent="0.3">
      <c r="A620" t="str">
        <f t="shared" si="9"/>
        <v>25-Jan 2009</v>
      </c>
      <c r="B620" s="10">
        <v>39838</v>
      </c>
      <c r="C620">
        <v>2009</v>
      </c>
      <c r="D620" s="11">
        <v>0.26458333333333334</v>
      </c>
      <c r="E620" t="s">
        <v>1738</v>
      </c>
      <c r="F620" t="s">
        <v>11</v>
      </c>
      <c r="G620">
        <v>1200</v>
      </c>
      <c r="H620" t="s">
        <v>12</v>
      </c>
      <c r="I620" t="s">
        <v>1061</v>
      </c>
      <c r="J620" t="s">
        <v>1062</v>
      </c>
      <c r="K620" t="s">
        <v>1057</v>
      </c>
      <c r="L620" s="9">
        <f>WEEKDAY(Table1_2[[#This Row],[Transaction date]])</f>
        <v>1</v>
      </c>
    </row>
    <row r="621" spans="1:12" x14ac:dyDescent="0.3">
      <c r="A621" t="str">
        <f t="shared" si="9"/>
        <v>28-Jan 2009</v>
      </c>
      <c r="B621" s="10">
        <v>39841</v>
      </c>
      <c r="C621">
        <v>2009</v>
      </c>
      <c r="D621" s="11">
        <v>6.805555555555555E-2</v>
      </c>
      <c r="E621" t="s">
        <v>1738</v>
      </c>
      <c r="F621" t="s">
        <v>11</v>
      </c>
      <c r="G621">
        <v>1200</v>
      </c>
      <c r="H621" t="s">
        <v>17</v>
      </c>
      <c r="I621" t="s">
        <v>189</v>
      </c>
      <c r="J621" t="s">
        <v>1056</v>
      </c>
      <c r="K621" t="s">
        <v>1057</v>
      </c>
      <c r="L621" s="9">
        <f>WEEKDAY(Table1_2[[#This Row],[Transaction date]])</f>
        <v>4</v>
      </c>
    </row>
    <row r="622" spans="1:12" x14ac:dyDescent="0.3">
      <c r="A622" t="str">
        <f t="shared" si="9"/>
        <v>12-Jan 2009</v>
      </c>
      <c r="B622" s="10">
        <v>39825</v>
      </c>
      <c r="C622">
        <v>2009</v>
      </c>
      <c r="D622" s="11">
        <v>0.34236111111111112</v>
      </c>
      <c r="E622" t="s">
        <v>1738</v>
      </c>
      <c r="F622" t="s">
        <v>11</v>
      </c>
      <c r="G622">
        <v>1200</v>
      </c>
      <c r="H622" t="s">
        <v>65</v>
      </c>
      <c r="I622" t="s">
        <v>1064</v>
      </c>
      <c r="J622" t="s">
        <v>1065</v>
      </c>
      <c r="K622" t="s">
        <v>1057</v>
      </c>
      <c r="L622" s="9">
        <f>WEEKDAY(Table1_2[[#This Row],[Transaction date]])</f>
        <v>2</v>
      </c>
    </row>
    <row r="623" spans="1:12" x14ac:dyDescent="0.3">
      <c r="A623" t="str">
        <f t="shared" si="9"/>
        <v>12-Jan 2009</v>
      </c>
      <c r="B623" s="10">
        <v>39825</v>
      </c>
      <c r="C623">
        <v>2009</v>
      </c>
      <c r="D623" s="11">
        <v>0.51527777777777772</v>
      </c>
      <c r="E623" t="s">
        <v>1739</v>
      </c>
      <c r="F623" t="s">
        <v>11</v>
      </c>
      <c r="G623">
        <v>1200</v>
      </c>
      <c r="H623" t="s">
        <v>17</v>
      </c>
      <c r="I623" t="s">
        <v>1066</v>
      </c>
      <c r="J623" t="s">
        <v>1067</v>
      </c>
      <c r="K623" t="s">
        <v>1057</v>
      </c>
      <c r="L623" s="9">
        <f>WEEKDAY(Table1_2[[#This Row],[Transaction date]])</f>
        <v>2</v>
      </c>
    </row>
    <row r="624" spans="1:12" x14ac:dyDescent="0.3">
      <c r="A624" t="str">
        <f t="shared" si="9"/>
        <v>27-Jan 2009</v>
      </c>
      <c r="B624" s="10">
        <v>39840</v>
      </c>
      <c r="C624">
        <v>2009</v>
      </c>
      <c r="D624" s="11">
        <v>0.16319444444444445</v>
      </c>
      <c r="E624" t="s">
        <v>1738</v>
      </c>
      <c r="F624" t="s">
        <v>11</v>
      </c>
      <c r="G624">
        <v>1200</v>
      </c>
      <c r="H624" t="s">
        <v>65</v>
      </c>
      <c r="I624" t="s">
        <v>1069</v>
      </c>
      <c r="J624" t="s">
        <v>1070</v>
      </c>
      <c r="K624" t="s">
        <v>1057</v>
      </c>
      <c r="L624" s="9">
        <f>WEEKDAY(Table1_2[[#This Row],[Transaction date]])</f>
        <v>3</v>
      </c>
    </row>
    <row r="625" spans="1:12" x14ac:dyDescent="0.3">
      <c r="A625" t="str">
        <f t="shared" si="9"/>
        <v>12-Jan 2009</v>
      </c>
      <c r="B625" s="10">
        <v>39825</v>
      </c>
      <c r="C625">
        <v>2009</v>
      </c>
      <c r="D625" s="11">
        <v>0.50277777777777777</v>
      </c>
      <c r="E625" t="s">
        <v>1739</v>
      </c>
      <c r="F625" t="s">
        <v>11</v>
      </c>
      <c r="G625">
        <v>1200</v>
      </c>
      <c r="H625" t="s">
        <v>12</v>
      </c>
      <c r="I625" t="s">
        <v>1071</v>
      </c>
      <c r="J625" t="s">
        <v>1065</v>
      </c>
      <c r="K625" t="s">
        <v>1057</v>
      </c>
      <c r="L625" s="9">
        <f>WEEKDAY(Table1_2[[#This Row],[Transaction date]])</f>
        <v>2</v>
      </c>
    </row>
    <row r="626" spans="1:12" x14ac:dyDescent="0.3">
      <c r="A626" t="str">
        <f t="shared" si="9"/>
        <v>19-Jan 2009</v>
      </c>
      <c r="B626" s="10">
        <v>39832</v>
      </c>
      <c r="C626">
        <v>2009</v>
      </c>
      <c r="D626" s="11">
        <v>5.2083333333333336E-2</v>
      </c>
      <c r="E626" t="s">
        <v>1738</v>
      </c>
      <c r="F626" t="s">
        <v>11</v>
      </c>
      <c r="G626">
        <v>1200</v>
      </c>
      <c r="H626" t="s">
        <v>12</v>
      </c>
      <c r="I626" t="s">
        <v>776</v>
      </c>
      <c r="J626" t="s">
        <v>1072</v>
      </c>
      <c r="K626" t="s">
        <v>1057</v>
      </c>
      <c r="L626" s="9">
        <f>WEEKDAY(Table1_2[[#This Row],[Transaction date]])</f>
        <v>2</v>
      </c>
    </row>
    <row r="627" spans="1:12" x14ac:dyDescent="0.3">
      <c r="A627" t="str">
        <f t="shared" si="9"/>
        <v>31-Jan 2009</v>
      </c>
      <c r="B627" s="10">
        <v>39844</v>
      </c>
      <c r="C627">
        <v>2009</v>
      </c>
      <c r="D627" s="11">
        <v>0.46041666666666664</v>
      </c>
      <c r="E627" t="s">
        <v>1738</v>
      </c>
      <c r="F627" t="s">
        <v>11</v>
      </c>
      <c r="G627">
        <v>1200</v>
      </c>
      <c r="H627" t="s">
        <v>12</v>
      </c>
      <c r="I627" t="s">
        <v>1073</v>
      </c>
      <c r="J627" t="s">
        <v>1074</v>
      </c>
      <c r="K627" t="s">
        <v>1057</v>
      </c>
      <c r="L627" s="9">
        <f>WEEKDAY(Table1_2[[#This Row],[Transaction date]])</f>
        <v>7</v>
      </c>
    </row>
    <row r="628" spans="1:12" x14ac:dyDescent="0.3">
      <c r="A628" t="str">
        <f t="shared" si="9"/>
        <v>23-Jan 2009</v>
      </c>
      <c r="B628" s="10">
        <v>39836</v>
      </c>
      <c r="C628">
        <v>2009</v>
      </c>
      <c r="D628" s="11">
        <v>0.38124999999999998</v>
      </c>
      <c r="E628" t="s">
        <v>1738</v>
      </c>
      <c r="F628" t="s">
        <v>21</v>
      </c>
      <c r="G628">
        <v>100000</v>
      </c>
      <c r="H628" t="s">
        <v>65</v>
      </c>
      <c r="I628" t="s">
        <v>1075</v>
      </c>
      <c r="J628" t="s">
        <v>1076</v>
      </c>
      <c r="K628" t="s">
        <v>1057</v>
      </c>
      <c r="L628" s="9">
        <f>WEEKDAY(Table1_2[[#This Row],[Transaction date]])</f>
        <v>6</v>
      </c>
    </row>
    <row r="629" spans="1:12" x14ac:dyDescent="0.3">
      <c r="A629" t="str">
        <f t="shared" si="9"/>
        <v>20-Jan 2009</v>
      </c>
      <c r="B629" s="10">
        <v>39833</v>
      </c>
      <c r="C629">
        <v>2009</v>
      </c>
      <c r="D629" s="11">
        <v>0.11666666666666667</v>
      </c>
      <c r="E629" t="s">
        <v>1738</v>
      </c>
      <c r="F629" t="s">
        <v>21</v>
      </c>
      <c r="G629">
        <v>100000</v>
      </c>
      <c r="H629" t="s">
        <v>12</v>
      </c>
      <c r="I629" t="s">
        <v>601</v>
      </c>
      <c r="J629" t="s">
        <v>1077</v>
      </c>
      <c r="K629" t="s">
        <v>1057</v>
      </c>
      <c r="L629" s="9">
        <f>WEEKDAY(Table1_2[[#This Row],[Transaction date]])</f>
        <v>3</v>
      </c>
    </row>
    <row r="630" spans="1:12" x14ac:dyDescent="0.3">
      <c r="A630" t="str">
        <f t="shared" si="9"/>
        <v>31-Jan 2009</v>
      </c>
      <c r="B630" s="10">
        <v>39844</v>
      </c>
      <c r="C630">
        <v>2009</v>
      </c>
      <c r="D630" s="11">
        <v>0.2013888888888889</v>
      </c>
      <c r="E630" t="s">
        <v>1738</v>
      </c>
      <c r="F630" t="s">
        <v>11</v>
      </c>
      <c r="G630">
        <v>1200</v>
      </c>
      <c r="H630" t="s">
        <v>17</v>
      </c>
      <c r="I630" t="s">
        <v>1079</v>
      </c>
      <c r="J630" t="s">
        <v>1080</v>
      </c>
      <c r="K630" t="s">
        <v>1057</v>
      </c>
      <c r="L630" s="9">
        <f>WEEKDAY(Table1_2[[#This Row],[Transaction date]])</f>
        <v>7</v>
      </c>
    </row>
    <row r="631" spans="1:12" x14ac:dyDescent="0.3">
      <c r="A631" t="str">
        <f t="shared" si="9"/>
        <v>12-Jan 2009</v>
      </c>
      <c r="B631" s="10">
        <v>39825</v>
      </c>
      <c r="C631">
        <v>2009</v>
      </c>
      <c r="D631" s="11">
        <v>0.31111111111111112</v>
      </c>
      <c r="E631" t="s">
        <v>1738</v>
      </c>
      <c r="F631" t="s">
        <v>11</v>
      </c>
      <c r="G631">
        <v>1200</v>
      </c>
      <c r="H631" t="s">
        <v>65</v>
      </c>
      <c r="I631" t="s">
        <v>732</v>
      </c>
      <c r="J631" t="s">
        <v>1081</v>
      </c>
      <c r="K631" t="s">
        <v>1083</v>
      </c>
      <c r="L631" s="9">
        <f>WEEKDAY(Table1_2[[#This Row],[Transaction date]])</f>
        <v>2</v>
      </c>
    </row>
    <row r="632" spans="1:12" x14ac:dyDescent="0.3">
      <c r="A632" t="str">
        <f t="shared" si="9"/>
        <v>13-Jan 2009</v>
      </c>
      <c r="B632" s="10">
        <v>39826</v>
      </c>
      <c r="C632">
        <v>2009</v>
      </c>
      <c r="D632" s="11">
        <v>8.6805555555555552E-2</v>
      </c>
      <c r="E632" t="s">
        <v>1738</v>
      </c>
      <c r="F632" t="s">
        <v>11</v>
      </c>
      <c r="G632">
        <v>1200</v>
      </c>
      <c r="H632" t="s">
        <v>65</v>
      </c>
      <c r="I632" t="s">
        <v>1084</v>
      </c>
      <c r="J632" t="s">
        <v>1085</v>
      </c>
      <c r="K632" t="s">
        <v>1083</v>
      </c>
      <c r="L632" s="9">
        <f>WEEKDAY(Table1_2[[#This Row],[Transaction date]])</f>
        <v>3</v>
      </c>
    </row>
    <row r="633" spans="1:12" x14ac:dyDescent="0.3">
      <c r="A633" t="str">
        <f t="shared" si="9"/>
        <v>27-Jan 2009</v>
      </c>
      <c r="B633" s="10">
        <v>39840</v>
      </c>
      <c r="C633">
        <v>2009</v>
      </c>
      <c r="D633" s="11">
        <v>0.37569444444444444</v>
      </c>
      <c r="E633" t="s">
        <v>1738</v>
      </c>
      <c r="F633" t="s">
        <v>11</v>
      </c>
      <c r="G633">
        <v>1200</v>
      </c>
      <c r="H633" t="s">
        <v>12</v>
      </c>
      <c r="I633" t="s">
        <v>1087</v>
      </c>
      <c r="J633" t="s">
        <v>1085</v>
      </c>
      <c r="K633" t="s">
        <v>1083</v>
      </c>
      <c r="L633" s="9">
        <f>WEEKDAY(Table1_2[[#This Row],[Transaction date]])</f>
        <v>3</v>
      </c>
    </row>
    <row r="634" spans="1:12" x14ac:dyDescent="0.3">
      <c r="A634" t="str">
        <f t="shared" si="9"/>
        <v>12-Jan 2009</v>
      </c>
      <c r="B634" s="10">
        <v>39825</v>
      </c>
      <c r="C634">
        <v>2009</v>
      </c>
      <c r="D634" s="11">
        <v>0.46944444444444444</v>
      </c>
      <c r="E634" t="s">
        <v>1738</v>
      </c>
      <c r="F634" t="s">
        <v>11</v>
      </c>
      <c r="G634">
        <v>1200</v>
      </c>
      <c r="H634" t="s">
        <v>12</v>
      </c>
      <c r="I634" t="s">
        <v>593</v>
      </c>
      <c r="J634" t="s">
        <v>1088</v>
      </c>
      <c r="K634" t="s">
        <v>1083</v>
      </c>
      <c r="L634" s="9">
        <f>WEEKDAY(Table1_2[[#This Row],[Transaction date]])</f>
        <v>2</v>
      </c>
    </row>
    <row r="635" spans="1:12" x14ac:dyDescent="0.3">
      <c r="A635" t="str">
        <f t="shared" si="9"/>
        <v>27-Jan 2009</v>
      </c>
      <c r="B635" s="10">
        <v>39840</v>
      </c>
      <c r="C635">
        <v>2009</v>
      </c>
      <c r="D635" s="11">
        <v>0.4597222222222222</v>
      </c>
      <c r="E635" t="s">
        <v>1738</v>
      </c>
      <c r="F635" t="s">
        <v>11</v>
      </c>
      <c r="G635">
        <v>1200</v>
      </c>
      <c r="H635" t="s">
        <v>17</v>
      </c>
      <c r="I635" t="s">
        <v>1089</v>
      </c>
      <c r="J635" t="s">
        <v>1088</v>
      </c>
      <c r="K635" t="s">
        <v>1083</v>
      </c>
      <c r="L635" s="9">
        <f>WEEKDAY(Table1_2[[#This Row],[Transaction date]])</f>
        <v>3</v>
      </c>
    </row>
    <row r="636" spans="1:12" x14ac:dyDescent="0.3">
      <c r="A636" t="str">
        <f t="shared" si="9"/>
        <v>02-Jan 2009</v>
      </c>
      <c r="B636" s="10">
        <v>39815</v>
      </c>
      <c r="C636">
        <v>2009</v>
      </c>
      <c r="D636" s="11">
        <v>0.46250000000000002</v>
      </c>
      <c r="E636" t="s">
        <v>1738</v>
      </c>
      <c r="F636" t="s">
        <v>11</v>
      </c>
      <c r="G636">
        <v>1200</v>
      </c>
      <c r="H636" t="s">
        <v>17</v>
      </c>
      <c r="I636" t="s">
        <v>1090</v>
      </c>
      <c r="J636" t="s">
        <v>1091</v>
      </c>
      <c r="K636" t="s">
        <v>1083</v>
      </c>
      <c r="L636" s="9">
        <f>WEEKDAY(Table1_2[[#This Row],[Transaction date]])</f>
        <v>6</v>
      </c>
    </row>
    <row r="637" spans="1:12" x14ac:dyDescent="0.3">
      <c r="A637" t="str">
        <f t="shared" si="9"/>
        <v>18-Jan 2009</v>
      </c>
      <c r="B637" s="10">
        <v>39831</v>
      </c>
      <c r="C637">
        <v>2009</v>
      </c>
      <c r="D637" s="11">
        <v>0.46041666666666664</v>
      </c>
      <c r="E637" t="s">
        <v>1738</v>
      </c>
      <c r="F637" t="s">
        <v>21</v>
      </c>
      <c r="G637">
        <v>100000</v>
      </c>
      <c r="H637" t="s">
        <v>65</v>
      </c>
      <c r="I637" t="s">
        <v>1093</v>
      </c>
      <c r="J637" t="s">
        <v>1094</v>
      </c>
      <c r="K637" t="s">
        <v>1083</v>
      </c>
      <c r="L637" s="9">
        <f>WEEKDAY(Table1_2[[#This Row],[Transaction date]])</f>
        <v>1</v>
      </c>
    </row>
    <row r="638" spans="1:12" x14ac:dyDescent="0.3">
      <c r="A638" t="str">
        <f t="shared" si="9"/>
        <v>14-Jan 2009</v>
      </c>
      <c r="B638" s="10">
        <v>39827</v>
      </c>
      <c r="C638">
        <v>2009</v>
      </c>
      <c r="D638" s="11">
        <v>0.3125</v>
      </c>
      <c r="E638" t="s">
        <v>1738</v>
      </c>
      <c r="F638" t="s">
        <v>11</v>
      </c>
      <c r="G638">
        <v>1200</v>
      </c>
      <c r="H638" t="s">
        <v>12</v>
      </c>
      <c r="I638" t="s">
        <v>1095</v>
      </c>
      <c r="J638" t="s">
        <v>1096</v>
      </c>
      <c r="K638" t="s">
        <v>1083</v>
      </c>
      <c r="L638" s="9">
        <f>WEEKDAY(Table1_2[[#This Row],[Transaction date]])</f>
        <v>4</v>
      </c>
    </row>
    <row r="639" spans="1:12" x14ac:dyDescent="0.3">
      <c r="A639" t="str">
        <f t="shared" si="9"/>
        <v>26-Jan 2009</v>
      </c>
      <c r="B639" s="10">
        <v>39839</v>
      </c>
      <c r="C639">
        <v>2009</v>
      </c>
      <c r="D639" s="11">
        <v>5.1388888888888887E-2</v>
      </c>
      <c r="E639" t="s">
        <v>1738</v>
      </c>
      <c r="F639" t="s">
        <v>11</v>
      </c>
      <c r="G639">
        <v>1200</v>
      </c>
      <c r="H639" t="s">
        <v>12</v>
      </c>
      <c r="I639" t="s">
        <v>1098</v>
      </c>
      <c r="J639" t="s">
        <v>1099</v>
      </c>
      <c r="K639" t="s">
        <v>1083</v>
      </c>
      <c r="L639" s="9">
        <f>WEEKDAY(Table1_2[[#This Row],[Transaction date]])</f>
        <v>2</v>
      </c>
    </row>
    <row r="640" spans="1:12" x14ac:dyDescent="0.3">
      <c r="A640" t="str">
        <f t="shared" si="9"/>
        <v>23-Jan 2009</v>
      </c>
      <c r="B640" s="10">
        <v>39836</v>
      </c>
      <c r="C640">
        <v>2009</v>
      </c>
      <c r="D640" s="11">
        <v>0.39374999999999999</v>
      </c>
      <c r="E640" t="s">
        <v>1738</v>
      </c>
      <c r="F640" t="s">
        <v>11</v>
      </c>
      <c r="G640">
        <v>1200</v>
      </c>
      <c r="H640" t="s">
        <v>17</v>
      </c>
      <c r="I640" t="s">
        <v>1100</v>
      </c>
      <c r="J640" t="s">
        <v>1088</v>
      </c>
      <c r="K640" t="s">
        <v>1083</v>
      </c>
      <c r="L640" s="9">
        <f>WEEKDAY(Table1_2[[#This Row],[Transaction date]])</f>
        <v>6</v>
      </c>
    </row>
    <row r="641" spans="1:12" x14ac:dyDescent="0.3">
      <c r="A641" t="str">
        <f t="shared" si="9"/>
        <v>09-Jan 2009</v>
      </c>
      <c r="B641" s="10">
        <v>39822</v>
      </c>
      <c r="C641">
        <v>2009</v>
      </c>
      <c r="D641" s="11">
        <v>0.21875</v>
      </c>
      <c r="E641" t="s">
        <v>1738</v>
      </c>
      <c r="F641" t="s">
        <v>11</v>
      </c>
      <c r="G641">
        <v>1200</v>
      </c>
      <c r="H641" t="s">
        <v>12</v>
      </c>
      <c r="I641" t="s">
        <v>1101</v>
      </c>
      <c r="J641" t="s">
        <v>1102</v>
      </c>
      <c r="K641" t="s">
        <v>1083</v>
      </c>
      <c r="L641" s="9">
        <f>WEEKDAY(Table1_2[[#This Row],[Transaction date]])</f>
        <v>6</v>
      </c>
    </row>
    <row r="642" spans="1:12" x14ac:dyDescent="0.3">
      <c r="A642" t="str">
        <f t="shared" ref="A642:A705" si="10">TEXT(B642, "dd-mmm") &amp; " " &amp; C642</f>
        <v>24-Jan 2009</v>
      </c>
      <c r="B642" s="10">
        <v>39837</v>
      </c>
      <c r="C642">
        <v>2009</v>
      </c>
      <c r="D642" s="11">
        <v>0.5</v>
      </c>
      <c r="E642" t="s">
        <v>1739</v>
      </c>
      <c r="F642" t="s">
        <v>11</v>
      </c>
      <c r="G642">
        <v>1200</v>
      </c>
      <c r="H642" t="s">
        <v>12</v>
      </c>
      <c r="I642" t="s">
        <v>397</v>
      </c>
      <c r="J642" t="s">
        <v>1103</v>
      </c>
      <c r="K642" t="s">
        <v>1083</v>
      </c>
      <c r="L642" s="9">
        <f>WEEKDAY(Table1_2[[#This Row],[Transaction date]])</f>
        <v>7</v>
      </c>
    </row>
    <row r="643" spans="1:12" x14ac:dyDescent="0.3">
      <c r="A643" t="str">
        <f t="shared" si="10"/>
        <v>04-Jan 2009</v>
      </c>
      <c r="B643" s="10">
        <v>39817</v>
      </c>
      <c r="C643">
        <v>2009</v>
      </c>
      <c r="D643" s="11">
        <v>0.21666666666666667</v>
      </c>
      <c r="E643" t="s">
        <v>1738</v>
      </c>
      <c r="F643" t="s">
        <v>11</v>
      </c>
      <c r="G643">
        <v>1200</v>
      </c>
      <c r="H643" t="s">
        <v>12</v>
      </c>
      <c r="I643" t="s">
        <v>1104</v>
      </c>
      <c r="J643" t="s">
        <v>1105</v>
      </c>
      <c r="K643" t="s">
        <v>1107</v>
      </c>
      <c r="L643" s="9">
        <f>WEEKDAY(Table1_2[[#This Row],[Transaction date]])</f>
        <v>1</v>
      </c>
    </row>
    <row r="644" spans="1:12" x14ac:dyDescent="0.3">
      <c r="A644" t="str">
        <f t="shared" si="10"/>
        <v>05-Jan 2009</v>
      </c>
      <c r="B644" s="10">
        <v>39818</v>
      </c>
      <c r="C644">
        <v>2009</v>
      </c>
      <c r="D644" s="11">
        <v>0.1736111111111111</v>
      </c>
      <c r="E644" t="s">
        <v>1738</v>
      </c>
      <c r="F644" t="s">
        <v>11</v>
      </c>
      <c r="G644">
        <v>1200</v>
      </c>
      <c r="H644" t="s">
        <v>17</v>
      </c>
      <c r="I644" t="s">
        <v>534</v>
      </c>
      <c r="J644" t="s">
        <v>1108</v>
      </c>
      <c r="K644" t="s">
        <v>1110</v>
      </c>
      <c r="L644" s="9">
        <f>WEEKDAY(Table1_2[[#This Row],[Transaction date]])</f>
        <v>2</v>
      </c>
    </row>
    <row r="645" spans="1:12" x14ac:dyDescent="0.3">
      <c r="A645" t="str">
        <f t="shared" si="10"/>
        <v>13-Jan 2009</v>
      </c>
      <c r="B645" s="10">
        <v>39826</v>
      </c>
      <c r="C645">
        <v>2009</v>
      </c>
      <c r="D645" s="11">
        <v>7.7083333333333337E-2</v>
      </c>
      <c r="E645" t="s">
        <v>1738</v>
      </c>
      <c r="F645" t="s">
        <v>11</v>
      </c>
      <c r="G645">
        <v>1200</v>
      </c>
      <c r="H645" t="s">
        <v>12</v>
      </c>
      <c r="I645" t="s">
        <v>1111</v>
      </c>
      <c r="J645" t="s">
        <v>1112</v>
      </c>
      <c r="K645" t="s">
        <v>1110</v>
      </c>
      <c r="L645" s="9">
        <f>WEEKDAY(Table1_2[[#This Row],[Transaction date]])</f>
        <v>3</v>
      </c>
    </row>
    <row r="646" spans="1:12" x14ac:dyDescent="0.3">
      <c r="A646" t="str">
        <f t="shared" si="10"/>
        <v>16-Jan 2009</v>
      </c>
      <c r="B646" s="10">
        <v>39829</v>
      </c>
      <c r="C646">
        <v>2009</v>
      </c>
      <c r="D646" s="11">
        <v>0.41249999999999998</v>
      </c>
      <c r="E646" t="s">
        <v>1738</v>
      </c>
      <c r="F646" t="s">
        <v>11</v>
      </c>
      <c r="G646">
        <v>1200</v>
      </c>
      <c r="H646" t="s">
        <v>17</v>
      </c>
      <c r="I646" t="s">
        <v>1113</v>
      </c>
      <c r="J646" t="s">
        <v>1114</v>
      </c>
      <c r="K646" t="s">
        <v>1110</v>
      </c>
      <c r="L646" s="9">
        <f>WEEKDAY(Table1_2[[#This Row],[Transaction date]])</f>
        <v>6</v>
      </c>
    </row>
    <row r="647" spans="1:12" x14ac:dyDescent="0.3">
      <c r="A647" t="str">
        <f t="shared" si="10"/>
        <v>25-Jan 2009</v>
      </c>
      <c r="B647" s="10">
        <v>39838</v>
      </c>
      <c r="C647">
        <v>2009</v>
      </c>
      <c r="D647" s="11">
        <v>7.8472222222222221E-2</v>
      </c>
      <c r="E647" t="s">
        <v>1738</v>
      </c>
      <c r="F647" t="s">
        <v>64</v>
      </c>
      <c r="G647">
        <v>100000</v>
      </c>
      <c r="H647" t="s">
        <v>12</v>
      </c>
      <c r="I647" t="s">
        <v>601</v>
      </c>
      <c r="J647" t="s">
        <v>1116</v>
      </c>
      <c r="K647" t="s">
        <v>1110</v>
      </c>
      <c r="L647" s="9">
        <f>WEEKDAY(Table1_2[[#This Row],[Transaction date]])</f>
        <v>1</v>
      </c>
    </row>
    <row r="648" spans="1:12" x14ac:dyDescent="0.3">
      <c r="A648" t="str">
        <f t="shared" si="10"/>
        <v>16-Jan 2009</v>
      </c>
      <c r="B648" s="10">
        <v>39829</v>
      </c>
      <c r="C648">
        <v>2009</v>
      </c>
      <c r="D648" s="11">
        <v>0.2590277777777778</v>
      </c>
      <c r="E648" t="s">
        <v>1738</v>
      </c>
      <c r="F648" t="s">
        <v>11</v>
      </c>
      <c r="G648">
        <v>1200</v>
      </c>
      <c r="H648" t="s">
        <v>17</v>
      </c>
      <c r="I648" t="s">
        <v>1117</v>
      </c>
      <c r="J648" t="s">
        <v>1118</v>
      </c>
      <c r="K648" t="s">
        <v>1110</v>
      </c>
      <c r="L648" s="9">
        <f>WEEKDAY(Table1_2[[#This Row],[Transaction date]])</f>
        <v>6</v>
      </c>
    </row>
    <row r="649" spans="1:12" x14ac:dyDescent="0.3">
      <c r="A649" t="str">
        <f t="shared" si="10"/>
        <v>26-Jan 2009</v>
      </c>
      <c r="B649" s="10">
        <v>39839</v>
      </c>
      <c r="C649">
        <v>2009</v>
      </c>
      <c r="D649" s="11">
        <v>0.4777777777777778</v>
      </c>
      <c r="E649" t="s">
        <v>1738</v>
      </c>
      <c r="F649" t="s">
        <v>21</v>
      </c>
      <c r="G649">
        <v>100000</v>
      </c>
      <c r="H649" t="s">
        <v>65</v>
      </c>
      <c r="I649" t="s">
        <v>1119</v>
      </c>
      <c r="J649" t="s">
        <v>1120</v>
      </c>
      <c r="K649" t="s">
        <v>1122</v>
      </c>
      <c r="L649" s="9">
        <f>WEEKDAY(Table1_2[[#This Row],[Transaction date]])</f>
        <v>2</v>
      </c>
    </row>
    <row r="650" spans="1:12" x14ac:dyDescent="0.3">
      <c r="A650" t="str">
        <f t="shared" si="10"/>
        <v>22-Jan 2009</v>
      </c>
      <c r="B650" s="10">
        <v>39835</v>
      </c>
      <c r="C650">
        <v>2009</v>
      </c>
      <c r="D650" s="11">
        <v>0.46527777777777779</v>
      </c>
      <c r="E650" t="s">
        <v>1738</v>
      </c>
      <c r="F650" t="s">
        <v>11</v>
      </c>
      <c r="G650">
        <v>1200</v>
      </c>
      <c r="H650" t="s">
        <v>17</v>
      </c>
      <c r="I650" t="s">
        <v>1123</v>
      </c>
      <c r="J650" t="s">
        <v>1124</v>
      </c>
      <c r="K650" t="s">
        <v>1126</v>
      </c>
      <c r="L650" s="9">
        <f>WEEKDAY(Table1_2[[#This Row],[Transaction date]])</f>
        <v>5</v>
      </c>
    </row>
    <row r="651" spans="1:12" x14ac:dyDescent="0.3">
      <c r="A651" t="str">
        <f t="shared" si="10"/>
        <v>08-Jan 2009</v>
      </c>
      <c r="B651" s="10">
        <v>39821</v>
      </c>
      <c r="C651">
        <v>2009</v>
      </c>
      <c r="D651" s="11">
        <v>0.17708333333333334</v>
      </c>
      <c r="E651" t="s">
        <v>1738</v>
      </c>
      <c r="F651" t="s">
        <v>11</v>
      </c>
      <c r="G651">
        <v>1200</v>
      </c>
      <c r="H651" t="s">
        <v>12</v>
      </c>
      <c r="I651" t="s">
        <v>1127</v>
      </c>
      <c r="J651" t="s">
        <v>1128</v>
      </c>
      <c r="K651" t="s">
        <v>1130</v>
      </c>
      <c r="L651" s="9">
        <f>WEEKDAY(Table1_2[[#This Row],[Transaction date]])</f>
        <v>5</v>
      </c>
    </row>
    <row r="652" spans="1:12" x14ac:dyDescent="0.3">
      <c r="A652" t="str">
        <f t="shared" si="10"/>
        <v>28-Jan 2009</v>
      </c>
      <c r="B652" s="10">
        <v>39841</v>
      </c>
      <c r="C652">
        <v>2009</v>
      </c>
      <c r="D652" s="11">
        <v>8.9583333333333334E-2</v>
      </c>
      <c r="E652" t="s">
        <v>1738</v>
      </c>
      <c r="F652" t="s">
        <v>11</v>
      </c>
      <c r="G652">
        <v>1200</v>
      </c>
      <c r="H652" t="s">
        <v>12</v>
      </c>
      <c r="I652" t="s">
        <v>1131</v>
      </c>
      <c r="J652" t="s">
        <v>1132</v>
      </c>
      <c r="K652" t="s">
        <v>1130</v>
      </c>
      <c r="L652" s="9">
        <f>WEEKDAY(Table1_2[[#This Row],[Transaction date]])</f>
        <v>4</v>
      </c>
    </row>
    <row r="653" spans="1:12" x14ac:dyDescent="0.3">
      <c r="A653" t="str">
        <f t="shared" si="10"/>
        <v>17-Jan 2009</v>
      </c>
      <c r="B653" s="10">
        <v>39830</v>
      </c>
      <c r="C653">
        <v>2009</v>
      </c>
      <c r="D653" s="11">
        <v>0.16875000000000001</v>
      </c>
      <c r="E653" t="s">
        <v>1738</v>
      </c>
      <c r="F653" t="s">
        <v>11</v>
      </c>
      <c r="G653">
        <v>1200</v>
      </c>
      <c r="H653" t="s">
        <v>12</v>
      </c>
      <c r="I653" t="s">
        <v>51</v>
      </c>
      <c r="J653" t="s">
        <v>1134</v>
      </c>
      <c r="K653" t="s">
        <v>1136</v>
      </c>
      <c r="L653" s="9">
        <f>WEEKDAY(Table1_2[[#This Row],[Transaction date]])</f>
        <v>7</v>
      </c>
    </row>
    <row r="654" spans="1:12" x14ac:dyDescent="0.3">
      <c r="A654" t="str">
        <f t="shared" si="10"/>
        <v>24-Jan 2009</v>
      </c>
      <c r="B654" s="10">
        <v>39837</v>
      </c>
      <c r="C654">
        <v>2009</v>
      </c>
      <c r="D654" s="11">
        <v>0.36875000000000002</v>
      </c>
      <c r="E654" t="s">
        <v>1738</v>
      </c>
      <c r="F654" t="s">
        <v>11</v>
      </c>
      <c r="G654">
        <v>1200</v>
      </c>
      <c r="H654" t="s">
        <v>17</v>
      </c>
      <c r="I654" t="s">
        <v>449</v>
      </c>
      <c r="J654" t="s">
        <v>1137</v>
      </c>
      <c r="K654" t="s">
        <v>1136</v>
      </c>
      <c r="L654" s="9">
        <f>WEEKDAY(Table1_2[[#This Row],[Transaction date]])</f>
        <v>7</v>
      </c>
    </row>
    <row r="655" spans="1:12" x14ac:dyDescent="0.3">
      <c r="A655" t="str">
        <f t="shared" si="10"/>
        <v>11-Jan 2009</v>
      </c>
      <c r="B655" s="10">
        <v>39824</v>
      </c>
      <c r="C655">
        <v>2009</v>
      </c>
      <c r="D655" s="11">
        <v>0.48125000000000001</v>
      </c>
      <c r="E655" t="s">
        <v>1738</v>
      </c>
      <c r="F655" t="s">
        <v>11</v>
      </c>
      <c r="G655">
        <v>1200</v>
      </c>
      <c r="H655" t="s">
        <v>12</v>
      </c>
      <c r="I655" t="s">
        <v>1139</v>
      </c>
      <c r="J655" t="s">
        <v>1140</v>
      </c>
      <c r="K655" t="s">
        <v>1142</v>
      </c>
      <c r="L655" s="9">
        <f>WEEKDAY(Table1_2[[#This Row],[Transaction date]])</f>
        <v>1</v>
      </c>
    </row>
    <row r="656" spans="1:12" x14ac:dyDescent="0.3">
      <c r="A656" t="str">
        <f t="shared" si="10"/>
        <v>08-Jan 2009</v>
      </c>
      <c r="B656" s="10">
        <v>39821</v>
      </c>
      <c r="C656">
        <v>2009</v>
      </c>
      <c r="D656" s="11">
        <v>5.1388888888888887E-2</v>
      </c>
      <c r="E656" t="s">
        <v>1738</v>
      </c>
      <c r="F656" t="s">
        <v>11</v>
      </c>
      <c r="G656">
        <v>1200</v>
      </c>
      <c r="H656" t="s">
        <v>12</v>
      </c>
      <c r="I656" t="s">
        <v>1143</v>
      </c>
      <c r="J656" t="s">
        <v>1144</v>
      </c>
      <c r="K656" t="s">
        <v>1142</v>
      </c>
      <c r="L656" s="9">
        <f>WEEKDAY(Table1_2[[#This Row],[Transaction date]])</f>
        <v>5</v>
      </c>
    </row>
    <row r="657" spans="1:12" x14ac:dyDescent="0.3">
      <c r="A657" t="str">
        <f t="shared" si="10"/>
        <v>07-Jan 2009</v>
      </c>
      <c r="B657" s="10">
        <v>39820</v>
      </c>
      <c r="C657">
        <v>2009</v>
      </c>
      <c r="D657" s="11">
        <v>0.34791666666666665</v>
      </c>
      <c r="E657" t="s">
        <v>1738</v>
      </c>
      <c r="F657" t="s">
        <v>11</v>
      </c>
      <c r="G657">
        <v>1200</v>
      </c>
      <c r="H657" t="s">
        <v>12</v>
      </c>
      <c r="I657" t="s">
        <v>1145</v>
      </c>
      <c r="J657" t="s">
        <v>1146</v>
      </c>
      <c r="K657" t="s">
        <v>1142</v>
      </c>
      <c r="L657" s="9">
        <f>WEEKDAY(Table1_2[[#This Row],[Transaction date]])</f>
        <v>4</v>
      </c>
    </row>
    <row r="658" spans="1:12" x14ac:dyDescent="0.3">
      <c r="A658" t="str">
        <f t="shared" si="10"/>
        <v>21-Jan 2009</v>
      </c>
      <c r="B658" s="10">
        <v>39834</v>
      </c>
      <c r="C658">
        <v>2009</v>
      </c>
      <c r="D658" s="11">
        <v>0.48333333333333334</v>
      </c>
      <c r="E658" t="s">
        <v>1738</v>
      </c>
      <c r="F658" t="s">
        <v>11</v>
      </c>
      <c r="G658">
        <v>1200</v>
      </c>
      <c r="H658" t="s">
        <v>12</v>
      </c>
      <c r="I658" t="s">
        <v>1147</v>
      </c>
      <c r="J658" t="s">
        <v>1144</v>
      </c>
      <c r="K658" t="s">
        <v>1142</v>
      </c>
      <c r="L658" s="9">
        <f>WEEKDAY(Table1_2[[#This Row],[Transaction date]])</f>
        <v>4</v>
      </c>
    </row>
    <row r="659" spans="1:12" x14ac:dyDescent="0.3">
      <c r="A659" t="str">
        <f t="shared" si="10"/>
        <v>01-Jan 2009</v>
      </c>
      <c r="B659" s="10">
        <v>39814</v>
      </c>
      <c r="C659">
        <v>2009</v>
      </c>
      <c r="D659" s="11">
        <v>9.8611111111111108E-2</v>
      </c>
      <c r="E659" t="s">
        <v>1738</v>
      </c>
      <c r="F659" t="s">
        <v>11</v>
      </c>
      <c r="G659">
        <v>1200</v>
      </c>
      <c r="H659" t="s">
        <v>17</v>
      </c>
      <c r="I659" t="s">
        <v>1148</v>
      </c>
      <c r="J659" t="s">
        <v>1140</v>
      </c>
      <c r="K659" t="s">
        <v>1142</v>
      </c>
      <c r="L659" s="9">
        <f>WEEKDAY(Table1_2[[#This Row],[Transaction date]])</f>
        <v>5</v>
      </c>
    </row>
    <row r="660" spans="1:12" x14ac:dyDescent="0.3">
      <c r="A660" t="str">
        <f t="shared" si="10"/>
        <v>10-Jan 2009</v>
      </c>
      <c r="B660" s="10">
        <v>39823</v>
      </c>
      <c r="C660">
        <v>2009</v>
      </c>
      <c r="D660" s="11">
        <v>0.14444444444444443</v>
      </c>
      <c r="E660" t="s">
        <v>1738</v>
      </c>
      <c r="F660" t="s">
        <v>11</v>
      </c>
      <c r="G660">
        <v>1200</v>
      </c>
      <c r="H660" t="s">
        <v>12</v>
      </c>
      <c r="I660" t="s">
        <v>1149</v>
      </c>
      <c r="J660" t="s">
        <v>1150</v>
      </c>
      <c r="K660" t="s">
        <v>1142</v>
      </c>
      <c r="L660" s="9">
        <f>WEEKDAY(Table1_2[[#This Row],[Transaction date]])</f>
        <v>7</v>
      </c>
    </row>
    <row r="661" spans="1:12" x14ac:dyDescent="0.3">
      <c r="A661" t="str">
        <f t="shared" si="10"/>
        <v>15-Jan 2009</v>
      </c>
      <c r="B661" s="10">
        <v>39828</v>
      </c>
      <c r="C661">
        <v>2009</v>
      </c>
      <c r="D661" s="11">
        <v>0.45208333333333334</v>
      </c>
      <c r="E661" t="s">
        <v>1738</v>
      </c>
      <c r="F661" t="s">
        <v>11</v>
      </c>
      <c r="G661">
        <v>1200</v>
      </c>
      <c r="H661" t="s">
        <v>17</v>
      </c>
      <c r="I661" t="s">
        <v>1152</v>
      </c>
      <c r="J661" t="s">
        <v>1153</v>
      </c>
      <c r="K661" t="s">
        <v>1142</v>
      </c>
      <c r="L661" s="9">
        <f>WEEKDAY(Table1_2[[#This Row],[Transaction date]])</f>
        <v>5</v>
      </c>
    </row>
    <row r="662" spans="1:12" x14ac:dyDescent="0.3">
      <c r="A662" t="str">
        <f t="shared" si="10"/>
        <v>11-Jan 2009</v>
      </c>
      <c r="B662" s="10">
        <v>39824</v>
      </c>
      <c r="C662">
        <v>2009</v>
      </c>
      <c r="D662" s="11">
        <v>0.12222222222222222</v>
      </c>
      <c r="E662" t="s">
        <v>1738</v>
      </c>
      <c r="F662" t="s">
        <v>11</v>
      </c>
      <c r="G662">
        <v>1200</v>
      </c>
      <c r="H662" t="s">
        <v>12</v>
      </c>
      <c r="I662" t="s">
        <v>83</v>
      </c>
      <c r="J662" t="s">
        <v>1154</v>
      </c>
      <c r="K662" t="s">
        <v>1142</v>
      </c>
      <c r="L662" s="9">
        <f>WEEKDAY(Table1_2[[#This Row],[Transaction date]])</f>
        <v>1</v>
      </c>
    </row>
    <row r="663" spans="1:12" x14ac:dyDescent="0.3">
      <c r="A663" t="str">
        <f t="shared" si="10"/>
        <v>09-Jan 2009</v>
      </c>
      <c r="B663" s="10">
        <v>39822</v>
      </c>
      <c r="C663">
        <v>2009</v>
      </c>
      <c r="D663" s="11">
        <v>0.19097222222222221</v>
      </c>
      <c r="E663" t="s">
        <v>1738</v>
      </c>
      <c r="F663" t="s">
        <v>11</v>
      </c>
      <c r="G663">
        <v>1200</v>
      </c>
      <c r="H663" t="s">
        <v>17</v>
      </c>
      <c r="I663" t="s">
        <v>261</v>
      </c>
      <c r="J663" t="s">
        <v>1156</v>
      </c>
      <c r="K663" t="s">
        <v>1142</v>
      </c>
      <c r="L663" s="9">
        <f>WEEKDAY(Table1_2[[#This Row],[Transaction date]])</f>
        <v>6</v>
      </c>
    </row>
    <row r="664" spans="1:12" x14ac:dyDescent="0.3">
      <c r="A664" t="str">
        <f t="shared" si="10"/>
        <v>06-Jan 2009</v>
      </c>
      <c r="B664" s="10">
        <v>39819</v>
      </c>
      <c r="C664">
        <v>2009</v>
      </c>
      <c r="D664" s="11">
        <v>0.15208333333333332</v>
      </c>
      <c r="E664" t="s">
        <v>1738</v>
      </c>
      <c r="F664" t="s">
        <v>11</v>
      </c>
      <c r="G664">
        <v>1200</v>
      </c>
      <c r="H664" t="s">
        <v>12</v>
      </c>
      <c r="I664" t="s">
        <v>1157</v>
      </c>
      <c r="J664" t="s">
        <v>1158</v>
      </c>
      <c r="K664" t="s">
        <v>1142</v>
      </c>
      <c r="L664" s="9">
        <f>WEEKDAY(Table1_2[[#This Row],[Transaction date]])</f>
        <v>3</v>
      </c>
    </row>
    <row r="665" spans="1:12" x14ac:dyDescent="0.3">
      <c r="A665" t="str">
        <f t="shared" si="10"/>
        <v>13-Jan 2009</v>
      </c>
      <c r="B665" s="10">
        <v>39826</v>
      </c>
      <c r="C665">
        <v>2009</v>
      </c>
      <c r="D665" s="11">
        <v>0.38472222222222224</v>
      </c>
      <c r="E665" t="s">
        <v>1738</v>
      </c>
      <c r="F665" t="s">
        <v>11</v>
      </c>
      <c r="G665">
        <v>1200</v>
      </c>
      <c r="H665" t="s">
        <v>12</v>
      </c>
      <c r="I665" t="s">
        <v>1160</v>
      </c>
      <c r="J665" t="s">
        <v>1161</v>
      </c>
      <c r="K665" t="s">
        <v>1142</v>
      </c>
      <c r="L665" s="9">
        <f>WEEKDAY(Table1_2[[#This Row],[Transaction date]])</f>
        <v>3</v>
      </c>
    </row>
    <row r="666" spans="1:12" x14ac:dyDescent="0.3">
      <c r="A666" t="str">
        <f t="shared" si="10"/>
        <v>28-Jan 2009</v>
      </c>
      <c r="B666" s="10">
        <v>39841</v>
      </c>
      <c r="C666">
        <v>2009</v>
      </c>
      <c r="D666" s="11">
        <v>0.19097222222222221</v>
      </c>
      <c r="E666" t="s">
        <v>1738</v>
      </c>
      <c r="F666" t="s">
        <v>11</v>
      </c>
      <c r="G666">
        <v>1200</v>
      </c>
      <c r="H666" t="s">
        <v>17</v>
      </c>
      <c r="I666" t="s">
        <v>1162</v>
      </c>
      <c r="J666" t="s">
        <v>1144</v>
      </c>
      <c r="K666" t="s">
        <v>1142</v>
      </c>
      <c r="L666" s="9">
        <f>WEEKDAY(Table1_2[[#This Row],[Transaction date]])</f>
        <v>4</v>
      </c>
    </row>
    <row r="667" spans="1:12" x14ac:dyDescent="0.3">
      <c r="A667" t="str">
        <f t="shared" si="10"/>
        <v>25-Jan 2009</v>
      </c>
      <c r="B667" s="10">
        <v>39838</v>
      </c>
      <c r="C667">
        <v>2009</v>
      </c>
      <c r="D667" s="11">
        <v>0.34444444444444444</v>
      </c>
      <c r="E667" t="s">
        <v>1738</v>
      </c>
      <c r="F667" t="s">
        <v>21</v>
      </c>
      <c r="G667">
        <v>100000</v>
      </c>
      <c r="H667" t="s">
        <v>12</v>
      </c>
      <c r="I667" t="s">
        <v>915</v>
      </c>
      <c r="J667" t="s">
        <v>1144</v>
      </c>
      <c r="K667" t="s">
        <v>1142</v>
      </c>
      <c r="L667" s="9">
        <f>WEEKDAY(Table1_2[[#This Row],[Transaction date]])</f>
        <v>1</v>
      </c>
    </row>
    <row r="668" spans="1:12" x14ac:dyDescent="0.3">
      <c r="A668" t="str">
        <f t="shared" si="10"/>
        <v>19-Jan 2009</v>
      </c>
      <c r="B668" s="10">
        <v>39832</v>
      </c>
      <c r="C668">
        <v>2009</v>
      </c>
      <c r="D668" s="11">
        <v>0.44930555555555557</v>
      </c>
      <c r="E668" t="s">
        <v>1738</v>
      </c>
      <c r="F668" t="s">
        <v>11</v>
      </c>
      <c r="G668">
        <v>1200</v>
      </c>
      <c r="H668" t="s">
        <v>17</v>
      </c>
      <c r="I668" t="s">
        <v>201</v>
      </c>
      <c r="J668" t="s">
        <v>1163</v>
      </c>
      <c r="K668" t="s">
        <v>1142</v>
      </c>
      <c r="L668" s="9">
        <f>WEEKDAY(Table1_2[[#This Row],[Transaction date]])</f>
        <v>2</v>
      </c>
    </row>
    <row r="669" spans="1:12" x14ac:dyDescent="0.3">
      <c r="A669" t="str">
        <f t="shared" si="10"/>
        <v>22-Jan 2009</v>
      </c>
      <c r="B669" s="10">
        <v>39835</v>
      </c>
      <c r="C669">
        <v>2009</v>
      </c>
      <c r="D669" s="11">
        <v>0.53888888888888886</v>
      </c>
      <c r="E669" t="s">
        <v>1739</v>
      </c>
      <c r="F669" t="s">
        <v>11</v>
      </c>
      <c r="G669">
        <v>1200</v>
      </c>
      <c r="H669" t="s">
        <v>12</v>
      </c>
      <c r="I669" t="s">
        <v>1164</v>
      </c>
      <c r="J669" t="s">
        <v>1165</v>
      </c>
      <c r="K669" t="s">
        <v>1142</v>
      </c>
      <c r="L669" s="9">
        <f>WEEKDAY(Table1_2[[#This Row],[Transaction date]])</f>
        <v>5</v>
      </c>
    </row>
    <row r="670" spans="1:12" x14ac:dyDescent="0.3">
      <c r="A670" t="str">
        <f t="shared" si="10"/>
        <v>02-Jan 2009</v>
      </c>
      <c r="B670" s="10">
        <v>39815</v>
      </c>
      <c r="C670">
        <v>2009</v>
      </c>
      <c r="D670" s="11">
        <v>0.18124999999999999</v>
      </c>
      <c r="E670" t="s">
        <v>1738</v>
      </c>
      <c r="F670" t="s">
        <v>11</v>
      </c>
      <c r="G670">
        <v>1200</v>
      </c>
      <c r="H670" t="s">
        <v>12</v>
      </c>
      <c r="I670" t="s">
        <v>456</v>
      </c>
      <c r="J670" t="s">
        <v>1166</v>
      </c>
      <c r="K670" t="s">
        <v>1142</v>
      </c>
      <c r="L670" s="9">
        <f>WEEKDAY(Table1_2[[#This Row],[Transaction date]])</f>
        <v>6</v>
      </c>
    </row>
    <row r="671" spans="1:12" x14ac:dyDescent="0.3">
      <c r="A671" t="str">
        <f t="shared" si="10"/>
        <v>08-Jan 2009</v>
      </c>
      <c r="B671" s="10">
        <v>39821</v>
      </c>
      <c r="C671">
        <v>2009</v>
      </c>
      <c r="D671" s="11">
        <v>0.50277777777777777</v>
      </c>
      <c r="E671" t="s">
        <v>1739</v>
      </c>
      <c r="F671" t="s">
        <v>11</v>
      </c>
      <c r="G671">
        <v>1200</v>
      </c>
      <c r="H671" t="s">
        <v>12</v>
      </c>
      <c r="I671" t="s">
        <v>1168</v>
      </c>
      <c r="J671" t="s">
        <v>1169</v>
      </c>
      <c r="K671" t="s">
        <v>1171</v>
      </c>
      <c r="L671" s="9">
        <f>WEEKDAY(Table1_2[[#This Row],[Transaction date]])</f>
        <v>5</v>
      </c>
    </row>
    <row r="672" spans="1:12" x14ac:dyDescent="0.3">
      <c r="A672" t="str">
        <f t="shared" si="10"/>
        <v>23-Jan 2009</v>
      </c>
      <c r="B672" s="10">
        <v>39836</v>
      </c>
      <c r="C672">
        <v>2009</v>
      </c>
      <c r="D672" s="11">
        <v>0.11319444444444444</v>
      </c>
      <c r="E672" t="s">
        <v>1738</v>
      </c>
      <c r="F672" t="s">
        <v>11</v>
      </c>
      <c r="G672">
        <v>1200</v>
      </c>
      <c r="H672" t="s">
        <v>12</v>
      </c>
      <c r="I672" t="s">
        <v>811</v>
      </c>
      <c r="J672" t="s">
        <v>1172</v>
      </c>
      <c r="K672" t="s">
        <v>1171</v>
      </c>
      <c r="L672" s="9">
        <f>WEEKDAY(Table1_2[[#This Row],[Transaction date]])</f>
        <v>6</v>
      </c>
    </row>
    <row r="673" spans="1:12" x14ac:dyDescent="0.3">
      <c r="A673" t="str">
        <f t="shared" si="10"/>
        <v>29-Jan 2009</v>
      </c>
      <c r="B673" s="10">
        <v>39842</v>
      </c>
      <c r="C673">
        <v>2009</v>
      </c>
      <c r="D673" s="11">
        <v>0.12708333333333333</v>
      </c>
      <c r="E673" t="s">
        <v>1738</v>
      </c>
      <c r="F673" t="s">
        <v>11</v>
      </c>
      <c r="G673">
        <v>1200</v>
      </c>
      <c r="H673" t="s">
        <v>12</v>
      </c>
      <c r="I673" t="s">
        <v>713</v>
      </c>
      <c r="J673" t="s">
        <v>1173</v>
      </c>
      <c r="K673" t="s">
        <v>1171</v>
      </c>
      <c r="L673" s="9">
        <f>WEEKDAY(Table1_2[[#This Row],[Transaction date]])</f>
        <v>5</v>
      </c>
    </row>
    <row r="674" spans="1:12" x14ac:dyDescent="0.3">
      <c r="A674" t="str">
        <f t="shared" si="10"/>
        <v>07-Jan 2009</v>
      </c>
      <c r="B674" s="10">
        <v>39820</v>
      </c>
      <c r="C674">
        <v>2009</v>
      </c>
      <c r="D674" s="11">
        <v>8.1250000000000003E-2</v>
      </c>
      <c r="E674" t="s">
        <v>1738</v>
      </c>
      <c r="F674" t="s">
        <v>11</v>
      </c>
      <c r="G674">
        <v>1200</v>
      </c>
      <c r="H674" t="s">
        <v>12</v>
      </c>
      <c r="I674" t="s">
        <v>1174</v>
      </c>
      <c r="J674" t="s">
        <v>1175</v>
      </c>
      <c r="K674" t="s">
        <v>1171</v>
      </c>
      <c r="L674" s="9">
        <f>WEEKDAY(Table1_2[[#This Row],[Transaction date]])</f>
        <v>4</v>
      </c>
    </row>
    <row r="675" spans="1:12" x14ac:dyDescent="0.3">
      <c r="A675" t="str">
        <f t="shared" si="10"/>
        <v>17-Jan 2009</v>
      </c>
      <c r="B675" s="10">
        <v>39830</v>
      </c>
      <c r="C675">
        <v>2009</v>
      </c>
      <c r="D675" s="11">
        <v>0.36875000000000002</v>
      </c>
      <c r="E675" t="s">
        <v>1738</v>
      </c>
      <c r="F675" t="s">
        <v>11</v>
      </c>
      <c r="G675">
        <v>1200</v>
      </c>
      <c r="H675" t="s">
        <v>12</v>
      </c>
      <c r="I675" t="s">
        <v>451</v>
      </c>
      <c r="J675" t="s">
        <v>1176</v>
      </c>
      <c r="K675" t="s">
        <v>1171</v>
      </c>
      <c r="L675" s="9">
        <f>WEEKDAY(Table1_2[[#This Row],[Transaction date]])</f>
        <v>7</v>
      </c>
    </row>
    <row r="676" spans="1:12" x14ac:dyDescent="0.3">
      <c r="A676" t="str">
        <f t="shared" si="10"/>
        <v>28-Jan 2009</v>
      </c>
      <c r="B676" s="10">
        <v>39841</v>
      </c>
      <c r="C676">
        <v>2009</v>
      </c>
      <c r="D676" s="11">
        <v>0.41805555555555557</v>
      </c>
      <c r="E676" t="s">
        <v>1738</v>
      </c>
      <c r="F676" t="s">
        <v>11</v>
      </c>
      <c r="G676">
        <v>1200</v>
      </c>
      <c r="H676" t="s">
        <v>12</v>
      </c>
      <c r="I676" t="s">
        <v>801</v>
      </c>
      <c r="J676" t="s">
        <v>1177</v>
      </c>
      <c r="K676" t="s">
        <v>1171</v>
      </c>
      <c r="L676" s="9">
        <f>WEEKDAY(Table1_2[[#This Row],[Transaction date]])</f>
        <v>4</v>
      </c>
    </row>
    <row r="677" spans="1:12" x14ac:dyDescent="0.3">
      <c r="A677" t="str">
        <f t="shared" si="10"/>
        <v>05-Jan 2009</v>
      </c>
      <c r="B677" s="10">
        <v>39818</v>
      </c>
      <c r="C677">
        <v>2009</v>
      </c>
      <c r="D677" s="11">
        <v>0.23541666666666666</v>
      </c>
      <c r="E677" t="s">
        <v>1738</v>
      </c>
      <c r="F677" t="s">
        <v>11</v>
      </c>
      <c r="G677">
        <v>1200</v>
      </c>
      <c r="H677" t="s">
        <v>65</v>
      </c>
      <c r="I677" t="s">
        <v>347</v>
      </c>
      <c r="J677" t="s">
        <v>1178</v>
      </c>
      <c r="K677" t="s">
        <v>1180</v>
      </c>
      <c r="L677" s="9">
        <f>WEEKDAY(Table1_2[[#This Row],[Transaction date]])</f>
        <v>2</v>
      </c>
    </row>
    <row r="678" spans="1:12" x14ac:dyDescent="0.3">
      <c r="A678" t="str">
        <f t="shared" si="10"/>
        <v>05-Jan 2009</v>
      </c>
      <c r="B678" s="10">
        <v>39818</v>
      </c>
      <c r="C678">
        <v>2009</v>
      </c>
      <c r="D678" s="11">
        <v>5.347222222222222E-2</v>
      </c>
      <c r="E678" t="s">
        <v>1738</v>
      </c>
      <c r="F678" t="s">
        <v>11</v>
      </c>
      <c r="G678">
        <v>1200</v>
      </c>
      <c r="H678" t="s">
        <v>17</v>
      </c>
      <c r="I678" t="s">
        <v>541</v>
      </c>
      <c r="J678" t="s">
        <v>1181</v>
      </c>
      <c r="K678" t="s">
        <v>1180</v>
      </c>
      <c r="L678" s="9">
        <f>WEEKDAY(Table1_2[[#This Row],[Transaction date]])</f>
        <v>2</v>
      </c>
    </row>
    <row r="679" spans="1:12" x14ac:dyDescent="0.3">
      <c r="A679" t="str">
        <f t="shared" si="10"/>
        <v>01-Jan 2009</v>
      </c>
      <c r="B679" s="10">
        <v>39814</v>
      </c>
      <c r="C679">
        <v>2009</v>
      </c>
      <c r="D679" s="11">
        <v>0.21111111111111111</v>
      </c>
      <c r="E679" t="s">
        <v>1738</v>
      </c>
      <c r="F679" t="s">
        <v>11</v>
      </c>
      <c r="G679">
        <v>1200</v>
      </c>
      <c r="H679" t="s">
        <v>17</v>
      </c>
      <c r="I679" t="s">
        <v>1183</v>
      </c>
      <c r="J679" t="s">
        <v>1184</v>
      </c>
      <c r="K679" t="s">
        <v>1180</v>
      </c>
      <c r="L679" s="9">
        <f>WEEKDAY(Table1_2[[#This Row],[Transaction date]])</f>
        <v>5</v>
      </c>
    </row>
    <row r="680" spans="1:12" x14ac:dyDescent="0.3">
      <c r="A680" t="str">
        <f t="shared" si="10"/>
        <v>17-Jan 2009</v>
      </c>
      <c r="B680" s="10">
        <v>39830</v>
      </c>
      <c r="C680">
        <v>2009</v>
      </c>
      <c r="D680" s="11">
        <v>0.54097222222222219</v>
      </c>
      <c r="E680" t="s">
        <v>1739</v>
      </c>
      <c r="F680" t="s">
        <v>11</v>
      </c>
      <c r="G680">
        <v>1200</v>
      </c>
      <c r="H680" t="s">
        <v>65</v>
      </c>
      <c r="I680" t="s">
        <v>59</v>
      </c>
      <c r="J680" t="s">
        <v>1186</v>
      </c>
      <c r="K680" t="s">
        <v>1180</v>
      </c>
      <c r="L680" s="9">
        <f>WEEKDAY(Table1_2[[#This Row],[Transaction date]])</f>
        <v>7</v>
      </c>
    </row>
    <row r="681" spans="1:12" x14ac:dyDescent="0.3">
      <c r="A681" t="str">
        <f t="shared" si="10"/>
        <v>01-Jan 2009</v>
      </c>
      <c r="B681" s="10">
        <v>39814</v>
      </c>
      <c r="C681">
        <v>2009</v>
      </c>
      <c r="D681" s="11">
        <v>0.16041666666666668</v>
      </c>
      <c r="E681" t="s">
        <v>1738</v>
      </c>
      <c r="F681" t="s">
        <v>11</v>
      </c>
      <c r="G681">
        <v>1200</v>
      </c>
      <c r="H681" t="s">
        <v>17</v>
      </c>
      <c r="I681" t="s">
        <v>1188</v>
      </c>
      <c r="J681" t="s">
        <v>1189</v>
      </c>
      <c r="K681" t="s">
        <v>1180</v>
      </c>
      <c r="L681" s="9">
        <f>WEEKDAY(Table1_2[[#This Row],[Transaction date]])</f>
        <v>5</v>
      </c>
    </row>
    <row r="682" spans="1:12" x14ac:dyDescent="0.3">
      <c r="A682" t="str">
        <f t="shared" si="10"/>
        <v>06-Jan 2009</v>
      </c>
      <c r="B682" s="10">
        <v>39819</v>
      </c>
      <c r="C682">
        <v>2009</v>
      </c>
      <c r="D682" s="11">
        <v>0.51875000000000004</v>
      </c>
      <c r="E682" t="s">
        <v>1739</v>
      </c>
      <c r="F682" t="s">
        <v>11</v>
      </c>
      <c r="G682">
        <v>1200</v>
      </c>
      <c r="H682" t="s">
        <v>17</v>
      </c>
      <c r="I682" t="s">
        <v>1190</v>
      </c>
      <c r="J682" t="s">
        <v>1189</v>
      </c>
      <c r="K682" t="s">
        <v>1180</v>
      </c>
      <c r="L682" s="9">
        <f>WEEKDAY(Table1_2[[#This Row],[Transaction date]])</f>
        <v>3</v>
      </c>
    </row>
    <row r="683" spans="1:12" x14ac:dyDescent="0.3">
      <c r="A683" t="str">
        <f t="shared" si="10"/>
        <v>21-Jan 2009</v>
      </c>
      <c r="B683" s="10">
        <v>39834</v>
      </c>
      <c r="C683">
        <v>2009</v>
      </c>
      <c r="D683" s="11">
        <v>0.10069444444444445</v>
      </c>
      <c r="E683" t="s">
        <v>1738</v>
      </c>
      <c r="F683" t="s">
        <v>11</v>
      </c>
      <c r="G683">
        <v>1200</v>
      </c>
      <c r="H683" t="s">
        <v>12</v>
      </c>
      <c r="I683" t="s">
        <v>1191</v>
      </c>
      <c r="J683" t="s">
        <v>1192</v>
      </c>
      <c r="K683" t="s">
        <v>1180</v>
      </c>
      <c r="L683" s="9">
        <f>WEEKDAY(Table1_2[[#This Row],[Transaction date]])</f>
        <v>4</v>
      </c>
    </row>
    <row r="684" spans="1:12" x14ac:dyDescent="0.3">
      <c r="A684" t="str">
        <f t="shared" si="10"/>
        <v>23-Jan 2009</v>
      </c>
      <c r="B684" s="10">
        <v>39836</v>
      </c>
      <c r="C684">
        <v>2009</v>
      </c>
      <c r="D684" s="11">
        <v>0.14583333333333334</v>
      </c>
      <c r="E684" t="s">
        <v>1738</v>
      </c>
      <c r="F684" t="s">
        <v>11</v>
      </c>
      <c r="G684">
        <v>1200</v>
      </c>
      <c r="H684" t="s">
        <v>65</v>
      </c>
      <c r="I684" t="s">
        <v>1193</v>
      </c>
      <c r="J684" t="s">
        <v>1194</v>
      </c>
      <c r="K684" t="s">
        <v>1180</v>
      </c>
      <c r="L684" s="9">
        <f>WEEKDAY(Table1_2[[#This Row],[Transaction date]])</f>
        <v>6</v>
      </c>
    </row>
    <row r="685" spans="1:12" x14ac:dyDescent="0.3">
      <c r="A685" t="str">
        <f t="shared" si="10"/>
        <v>06-Jan 2009</v>
      </c>
      <c r="B685" s="10">
        <v>39819</v>
      </c>
      <c r="C685">
        <v>2009</v>
      </c>
      <c r="D685" s="11">
        <v>0.10972222222222222</v>
      </c>
      <c r="E685" t="s">
        <v>1738</v>
      </c>
      <c r="F685" t="s">
        <v>21</v>
      </c>
      <c r="G685">
        <v>100000</v>
      </c>
      <c r="H685" t="s">
        <v>17</v>
      </c>
      <c r="I685" t="s">
        <v>675</v>
      </c>
      <c r="J685" t="s">
        <v>1186</v>
      </c>
      <c r="K685" t="s">
        <v>1180</v>
      </c>
      <c r="L685" s="9">
        <f>WEEKDAY(Table1_2[[#This Row],[Transaction date]])</f>
        <v>3</v>
      </c>
    </row>
    <row r="686" spans="1:12" x14ac:dyDescent="0.3">
      <c r="A686" t="str">
        <f t="shared" si="10"/>
        <v>15-Jan 2009</v>
      </c>
      <c r="B686" s="10">
        <v>39828</v>
      </c>
      <c r="C686">
        <v>2009</v>
      </c>
      <c r="D686" s="11">
        <v>0.30972222222222223</v>
      </c>
      <c r="E686" t="s">
        <v>1738</v>
      </c>
      <c r="F686" t="s">
        <v>11</v>
      </c>
      <c r="G686">
        <v>1200</v>
      </c>
      <c r="H686" t="s">
        <v>17</v>
      </c>
      <c r="I686" t="s">
        <v>277</v>
      </c>
      <c r="J686" t="s">
        <v>1186</v>
      </c>
      <c r="K686" t="s">
        <v>1180</v>
      </c>
      <c r="L686" s="9">
        <f>WEEKDAY(Table1_2[[#This Row],[Transaction date]])</f>
        <v>5</v>
      </c>
    </row>
    <row r="687" spans="1:12" x14ac:dyDescent="0.3">
      <c r="A687" t="str">
        <f t="shared" si="10"/>
        <v>27-Jan 2009</v>
      </c>
      <c r="B687" s="10">
        <v>39840</v>
      </c>
      <c r="C687">
        <v>2009</v>
      </c>
      <c r="D687" s="11">
        <v>0.53263888888888888</v>
      </c>
      <c r="E687" t="s">
        <v>1739</v>
      </c>
      <c r="F687" t="s">
        <v>11</v>
      </c>
      <c r="G687">
        <v>1200</v>
      </c>
      <c r="H687" t="s">
        <v>12</v>
      </c>
      <c r="I687" t="s">
        <v>1195</v>
      </c>
      <c r="J687" t="s">
        <v>1189</v>
      </c>
      <c r="K687" t="s">
        <v>1180</v>
      </c>
      <c r="L687" s="9">
        <f>WEEKDAY(Table1_2[[#This Row],[Transaction date]])</f>
        <v>3</v>
      </c>
    </row>
    <row r="688" spans="1:12" x14ac:dyDescent="0.3">
      <c r="A688" t="str">
        <f t="shared" si="10"/>
        <v>16-Jan 2009</v>
      </c>
      <c r="B688" s="10">
        <v>39829</v>
      </c>
      <c r="C688">
        <v>2009</v>
      </c>
      <c r="D688" s="11">
        <v>0.33194444444444443</v>
      </c>
      <c r="E688" t="s">
        <v>1738</v>
      </c>
      <c r="F688" t="s">
        <v>11</v>
      </c>
      <c r="G688">
        <v>1200</v>
      </c>
      <c r="H688" t="s">
        <v>65</v>
      </c>
      <c r="I688" t="s">
        <v>1196</v>
      </c>
      <c r="J688" t="s">
        <v>1186</v>
      </c>
      <c r="K688" t="s">
        <v>1180</v>
      </c>
      <c r="L688" s="9">
        <f>WEEKDAY(Table1_2[[#This Row],[Transaction date]])</f>
        <v>6</v>
      </c>
    </row>
    <row r="689" spans="1:12" x14ac:dyDescent="0.3">
      <c r="A689" t="str">
        <f t="shared" si="10"/>
        <v>17-Jan 2009</v>
      </c>
      <c r="B689" s="10">
        <v>39830</v>
      </c>
      <c r="C689">
        <v>2009</v>
      </c>
      <c r="D689" s="11">
        <v>7.5694444444444439E-2</v>
      </c>
      <c r="E689" t="s">
        <v>1738</v>
      </c>
      <c r="F689" t="s">
        <v>11</v>
      </c>
      <c r="G689">
        <v>1200</v>
      </c>
      <c r="H689" t="s">
        <v>17</v>
      </c>
      <c r="I689" t="s">
        <v>1197</v>
      </c>
      <c r="J689" t="s">
        <v>1186</v>
      </c>
      <c r="K689" t="s">
        <v>1180</v>
      </c>
      <c r="L689" s="9">
        <f>WEEKDAY(Table1_2[[#This Row],[Transaction date]])</f>
        <v>7</v>
      </c>
    </row>
    <row r="690" spans="1:12" x14ac:dyDescent="0.3">
      <c r="A690" t="str">
        <f t="shared" si="10"/>
        <v>19-Jan 2009</v>
      </c>
      <c r="B690" s="10">
        <v>39832</v>
      </c>
      <c r="C690">
        <v>2009</v>
      </c>
      <c r="D690" s="11">
        <v>0.15277777777777779</v>
      </c>
      <c r="E690" t="s">
        <v>1738</v>
      </c>
      <c r="F690" t="s">
        <v>21</v>
      </c>
      <c r="G690">
        <v>100000</v>
      </c>
      <c r="H690" t="s">
        <v>12</v>
      </c>
      <c r="I690" t="s">
        <v>810</v>
      </c>
      <c r="J690" t="s">
        <v>1198</v>
      </c>
      <c r="K690" t="s">
        <v>1180</v>
      </c>
      <c r="L690" s="9">
        <f>WEEKDAY(Table1_2[[#This Row],[Transaction date]])</f>
        <v>2</v>
      </c>
    </row>
    <row r="691" spans="1:12" x14ac:dyDescent="0.3">
      <c r="A691" t="str">
        <f t="shared" si="10"/>
        <v>18-Jan 2009</v>
      </c>
      <c r="B691" s="10">
        <v>39831</v>
      </c>
      <c r="C691">
        <v>2009</v>
      </c>
      <c r="D691" s="11">
        <v>0.50972222222222219</v>
      </c>
      <c r="E691" t="s">
        <v>1739</v>
      </c>
      <c r="F691" t="s">
        <v>21</v>
      </c>
      <c r="G691">
        <v>100000</v>
      </c>
      <c r="H691" t="s">
        <v>17</v>
      </c>
      <c r="I691" t="s">
        <v>1200</v>
      </c>
      <c r="J691" t="s">
        <v>1201</v>
      </c>
      <c r="K691" t="s">
        <v>1180</v>
      </c>
      <c r="L691" s="9">
        <f>WEEKDAY(Table1_2[[#This Row],[Transaction date]])</f>
        <v>1</v>
      </c>
    </row>
    <row r="692" spans="1:12" x14ac:dyDescent="0.3">
      <c r="A692" t="str">
        <f t="shared" si="10"/>
        <v>23-Jan 2009</v>
      </c>
      <c r="B692" s="10">
        <v>39836</v>
      </c>
      <c r="C692">
        <v>2009</v>
      </c>
      <c r="D692" s="11">
        <v>0.51597222222222228</v>
      </c>
      <c r="E692" t="s">
        <v>1739</v>
      </c>
      <c r="F692" t="s">
        <v>11</v>
      </c>
      <c r="G692">
        <v>5000</v>
      </c>
      <c r="H692" t="s">
        <v>17</v>
      </c>
      <c r="I692" t="s">
        <v>1202</v>
      </c>
      <c r="J692" t="s">
        <v>1186</v>
      </c>
      <c r="K692" t="s">
        <v>1180</v>
      </c>
      <c r="L692" s="9">
        <f>WEEKDAY(Table1_2[[#This Row],[Transaction date]])</f>
        <v>6</v>
      </c>
    </row>
    <row r="693" spans="1:12" x14ac:dyDescent="0.3">
      <c r="A693" t="str">
        <f t="shared" si="10"/>
        <v>04-Jan 2009</v>
      </c>
      <c r="B693" s="10">
        <v>39817</v>
      </c>
      <c r="C693">
        <v>2009</v>
      </c>
      <c r="D693" s="11">
        <v>0.15347222222222223</v>
      </c>
      <c r="E693" t="s">
        <v>1738</v>
      </c>
      <c r="F693" t="s">
        <v>11</v>
      </c>
      <c r="G693">
        <v>1200</v>
      </c>
      <c r="H693" t="s">
        <v>17</v>
      </c>
      <c r="I693" t="s">
        <v>214</v>
      </c>
      <c r="J693" t="s">
        <v>1186</v>
      </c>
      <c r="K693" t="s">
        <v>1180</v>
      </c>
      <c r="L693" s="9">
        <f>WEEKDAY(Table1_2[[#This Row],[Transaction date]])</f>
        <v>1</v>
      </c>
    </row>
    <row r="694" spans="1:12" x14ac:dyDescent="0.3">
      <c r="A694" t="str">
        <f t="shared" si="10"/>
        <v>12-Jan 2009</v>
      </c>
      <c r="B694" s="10">
        <v>39825</v>
      </c>
      <c r="C694">
        <v>2009</v>
      </c>
      <c r="D694" s="11">
        <v>0.24305555555555555</v>
      </c>
      <c r="E694" t="s">
        <v>1738</v>
      </c>
      <c r="F694" t="s">
        <v>64</v>
      </c>
      <c r="G694">
        <v>100000</v>
      </c>
      <c r="H694" t="s">
        <v>17</v>
      </c>
      <c r="I694" t="s">
        <v>1203</v>
      </c>
      <c r="J694" t="s">
        <v>1186</v>
      </c>
      <c r="K694" t="s">
        <v>1180</v>
      </c>
      <c r="L694" s="9">
        <f>WEEKDAY(Table1_2[[#This Row],[Transaction date]])</f>
        <v>2</v>
      </c>
    </row>
    <row r="695" spans="1:12" x14ac:dyDescent="0.3">
      <c r="A695" t="str">
        <f t="shared" si="10"/>
        <v>30-Jan 2009</v>
      </c>
      <c r="B695" s="10">
        <v>39843</v>
      </c>
      <c r="C695">
        <v>2009</v>
      </c>
      <c r="D695" s="11">
        <v>0.49236111111111114</v>
      </c>
      <c r="E695" t="s">
        <v>1738</v>
      </c>
      <c r="F695" t="s">
        <v>21</v>
      </c>
      <c r="G695">
        <v>100000</v>
      </c>
      <c r="H695" t="s">
        <v>12</v>
      </c>
      <c r="I695" t="s">
        <v>541</v>
      </c>
      <c r="J695" t="s">
        <v>1204</v>
      </c>
      <c r="K695" t="s">
        <v>1180</v>
      </c>
      <c r="L695" s="9">
        <f>WEEKDAY(Table1_2[[#This Row],[Transaction date]])</f>
        <v>6</v>
      </c>
    </row>
    <row r="696" spans="1:12" x14ac:dyDescent="0.3">
      <c r="A696" t="str">
        <f t="shared" si="10"/>
        <v>25-Jan 2009</v>
      </c>
      <c r="B696" s="10">
        <v>39838</v>
      </c>
      <c r="C696">
        <v>2009</v>
      </c>
      <c r="D696" s="11">
        <v>0.19027777777777777</v>
      </c>
      <c r="E696" t="s">
        <v>1738</v>
      </c>
      <c r="F696" t="s">
        <v>11</v>
      </c>
      <c r="G696">
        <v>1200</v>
      </c>
      <c r="H696" t="s">
        <v>17</v>
      </c>
      <c r="I696" t="s">
        <v>310</v>
      </c>
      <c r="J696" t="s">
        <v>1185</v>
      </c>
      <c r="K696" t="s">
        <v>1180</v>
      </c>
      <c r="L696" s="9">
        <f>WEEKDAY(Table1_2[[#This Row],[Transaction date]])</f>
        <v>1</v>
      </c>
    </row>
    <row r="697" spans="1:12" x14ac:dyDescent="0.3">
      <c r="A697" t="str">
        <f t="shared" si="10"/>
        <v>11-Jan 2009</v>
      </c>
      <c r="B697" s="10">
        <v>39824</v>
      </c>
      <c r="C697">
        <v>2009</v>
      </c>
      <c r="D697" s="11">
        <v>0.51041666666666663</v>
      </c>
      <c r="E697" t="s">
        <v>1739</v>
      </c>
      <c r="F697" t="s">
        <v>11</v>
      </c>
      <c r="G697">
        <v>1200</v>
      </c>
      <c r="H697" t="s">
        <v>17</v>
      </c>
      <c r="I697" t="s">
        <v>1205</v>
      </c>
      <c r="J697" t="s">
        <v>1186</v>
      </c>
      <c r="K697" t="s">
        <v>1180</v>
      </c>
      <c r="L697" s="9">
        <f>WEEKDAY(Table1_2[[#This Row],[Transaction date]])</f>
        <v>1</v>
      </c>
    </row>
    <row r="698" spans="1:12" x14ac:dyDescent="0.3">
      <c r="A698" t="str">
        <f t="shared" si="10"/>
        <v>22-Jan 2009</v>
      </c>
      <c r="B698" s="10">
        <v>39835</v>
      </c>
      <c r="C698">
        <v>2009</v>
      </c>
      <c r="D698" s="11">
        <v>0.16458333333333333</v>
      </c>
      <c r="E698" t="s">
        <v>1738</v>
      </c>
      <c r="F698" t="s">
        <v>21</v>
      </c>
      <c r="G698">
        <v>100000</v>
      </c>
      <c r="H698" t="s">
        <v>17</v>
      </c>
      <c r="I698" t="s">
        <v>1206</v>
      </c>
      <c r="J698" t="s">
        <v>1207</v>
      </c>
      <c r="K698" t="s">
        <v>1180</v>
      </c>
      <c r="L698" s="9">
        <f>WEEKDAY(Table1_2[[#This Row],[Transaction date]])</f>
        <v>5</v>
      </c>
    </row>
    <row r="699" spans="1:12" x14ac:dyDescent="0.3">
      <c r="A699" t="str">
        <f t="shared" si="10"/>
        <v>08-Jan 2009</v>
      </c>
      <c r="B699" s="10">
        <v>39821</v>
      </c>
      <c r="C699">
        <v>2009</v>
      </c>
      <c r="D699" s="11">
        <v>6.458333333333334E-2</v>
      </c>
      <c r="E699" t="s">
        <v>1738</v>
      </c>
      <c r="F699" t="s">
        <v>11</v>
      </c>
      <c r="G699">
        <v>1200</v>
      </c>
      <c r="H699" t="s">
        <v>12</v>
      </c>
      <c r="I699" t="s">
        <v>1208</v>
      </c>
      <c r="J699" t="s">
        <v>1209</v>
      </c>
      <c r="K699" t="s">
        <v>1210</v>
      </c>
      <c r="L699" s="9">
        <f>WEEKDAY(Table1_2[[#This Row],[Transaction date]])</f>
        <v>5</v>
      </c>
    </row>
    <row r="700" spans="1:12" x14ac:dyDescent="0.3">
      <c r="A700" t="str">
        <f t="shared" si="10"/>
        <v>22-Jan 2009</v>
      </c>
      <c r="B700" s="10">
        <v>39835</v>
      </c>
      <c r="C700">
        <v>2009</v>
      </c>
      <c r="D700" s="11">
        <v>0.50624999999999998</v>
      </c>
      <c r="E700" t="s">
        <v>1739</v>
      </c>
      <c r="F700" t="s">
        <v>11</v>
      </c>
      <c r="G700">
        <v>1200</v>
      </c>
      <c r="H700" t="s">
        <v>12</v>
      </c>
      <c r="I700" t="s">
        <v>1211</v>
      </c>
      <c r="J700" t="s">
        <v>1210</v>
      </c>
      <c r="K700" t="s">
        <v>1210</v>
      </c>
      <c r="L700" s="9">
        <f>WEEKDAY(Table1_2[[#This Row],[Transaction date]])</f>
        <v>5</v>
      </c>
    </row>
    <row r="701" spans="1:12" x14ac:dyDescent="0.3">
      <c r="A701" t="str">
        <f t="shared" si="10"/>
        <v>06-Jan 2009</v>
      </c>
      <c r="B701" s="10">
        <v>39819</v>
      </c>
      <c r="C701">
        <v>2009</v>
      </c>
      <c r="D701" s="11">
        <v>0.21875</v>
      </c>
      <c r="E701" t="s">
        <v>1738</v>
      </c>
      <c r="F701" t="s">
        <v>11</v>
      </c>
      <c r="G701">
        <v>1200</v>
      </c>
      <c r="H701" t="s">
        <v>12</v>
      </c>
      <c r="I701" t="s">
        <v>235</v>
      </c>
      <c r="J701" t="s">
        <v>1212</v>
      </c>
      <c r="K701" t="s">
        <v>1214</v>
      </c>
      <c r="L701" s="9">
        <f>WEEKDAY(Table1_2[[#This Row],[Transaction date]])</f>
        <v>3</v>
      </c>
    </row>
    <row r="702" spans="1:12" x14ac:dyDescent="0.3">
      <c r="A702" t="str">
        <f t="shared" si="10"/>
        <v>28-Jan 2009</v>
      </c>
      <c r="B702" s="10">
        <v>39841</v>
      </c>
      <c r="C702">
        <v>2009</v>
      </c>
      <c r="D702" s="11">
        <v>0.23333333333333334</v>
      </c>
      <c r="E702" t="s">
        <v>1738</v>
      </c>
      <c r="F702" t="s">
        <v>21</v>
      </c>
      <c r="G702">
        <v>100000</v>
      </c>
      <c r="H702" t="s">
        <v>12</v>
      </c>
      <c r="I702" t="s">
        <v>84</v>
      </c>
      <c r="J702" t="s">
        <v>1215</v>
      </c>
      <c r="K702" t="s">
        <v>1216</v>
      </c>
      <c r="L702" s="9">
        <f>WEEKDAY(Table1_2[[#This Row],[Transaction date]])</f>
        <v>4</v>
      </c>
    </row>
    <row r="703" spans="1:12" x14ac:dyDescent="0.3">
      <c r="A703" t="str">
        <f t="shared" si="10"/>
        <v>01-Jan 2009</v>
      </c>
      <c r="B703" s="10">
        <v>39814</v>
      </c>
      <c r="C703">
        <v>2009</v>
      </c>
      <c r="D703" s="11">
        <v>0.51388888888888884</v>
      </c>
      <c r="E703" t="s">
        <v>1739</v>
      </c>
      <c r="F703" t="s">
        <v>21</v>
      </c>
      <c r="G703">
        <v>100000</v>
      </c>
      <c r="H703" t="s">
        <v>12</v>
      </c>
      <c r="I703" t="s">
        <v>1217</v>
      </c>
      <c r="J703" t="s">
        <v>1218</v>
      </c>
      <c r="K703" t="s">
        <v>1219</v>
      </c>
      <c r="L703" s="9">
        <f>WEEKDAY(Table1_2[[#This Row],[Transaction date]])</f>
        <v>5</v>
      </c>
    </row>
    <row r="704" spans="1:12" x14ac:dyDescent="0.3">
      <c r="A704" t="str">
        <f t="shared" si="10"/>
        <v>07-Jan 2009</v>
      </c>
      <c r="B704" s="10">
        <v>39820</v>
      </c>
      <c r="C704">
        <v>2009</v>
      </c>
      <c r="D704" s="11">
        <v>0.50416666666666665</v>
      </c>
      <c r="E704" t="s">
        <v>1739</v>
      </c>
      <c r="F704" t="s">
        <v>11</v>
      </c>
      <c r="G704">
        <v>1200</v>
      </c>
      <c r="H704" t="s">
        <v>12</v>
      </c>
      <c r="I704" t="s">
        <v>358</v>
      </c>
      <c r="J704" t="s">
        <v>1220</v>
      </c>
      <c r="K704" t="s">
        <v>1219</v>
      </c>
      <c r="L704" s="9">
        <f>WEEKDAY(Table1_2[[#This Row],[Transaction date]])</f>
        <v>4</v>
      </c>
    </row>
    <row r="705" spans="1:12" x14ac:dyDescent="0.3">
      <c r="A705" t="str">
        <f t="shared" si="10"/>
        <v>23-Jan 2009</v>
      </c>
      <c r="B705" s="10">
        <v>39836</v>
      </c>
      <c r="C705">
        <v>2009</v>
      </c>
      <c r="D705" s="11">
        <v>0.42986111111111114</v>
      </c>
      <c r="E705" t="s">
        <v>1738</v>
      </c>
      <c r="F705" t="s">
        <v>11</v>
      </c>
      <c r="G705">
        <v>1200</v>
      </c>
      <c r="H705" t="s">
        <v>17</v>
      </c>
      <c r="I705" t="s">
        <v>1221</v>
      </c>
      <c r="J705" t="s">
        <v>1222</v>
      </c>
      <c r="K705" t="s">
        <v>1223</v>
      </c>
      <c r="L705" s="9">
        <f>WEEKDAY(Table1_2[[#This Row],[Transaction date]])</f>
        <v>6</v>
      </c>
    </row>
    <row r="706" spans="1:12" x14ac:dyDescent="0.3">
      <c r="A706" t="str">
        <f t="shared" ref="A706:A769" si="11">TEXT(B706, "dd-mmm") &amp; " " &amp; C706</f>
        <v>12-Jan 2009</v>
      </c>
      <c r="B706" s="10">
        <v>39825</v>
      </c>
      <c r="C706">
        <v>2009</v>
      </c>
      <c r="D706" s="11">
        <v>7.013888888888889E-2</v>
      </c>
      <c r="E706" t="s">
        <v>1738</v>
      </c>
      <c r="F706" t="s">
        <v>11</v>
      </c>
      <c r="G706">
        <v>1200</v>
      </c>
      <c r="H706" t="s">
        <v>12</v>
      </c>
      <c r="I706" t="s">
        <v>291</v>
      </c>
      <c r="J706" t="s">
        <v>1224</v>
      </c>
      <c r="K706" t="s">
        <v>1225</v>
      </c>
      <c r="L706" s="9">
        <f>WEEKDAY(Table1_2[[#This Row],[Transaction date]])</f>
        <v>2</v>
      </c>
    </row>
    <row r="707" spans="1:12" x14ac:dyDescent="0.3">
      <c r="A707" t="str">
        <f t="shared" si="11"/>
        <v>07-Jan 2009</v>
      </c>
      <c r="B707" s="10">
        <v>39820</v>
      </c>
      <c r="C707">
        <v>2009</v>
      </c>
      <c r="D707" s="11">
        <v>7.0833333333333331E-2</v>
      </c>
      <c r="E707" t="s">
        <v>1738</v>
      </c>
      <c r="F707" t="s">
        <v>11</v>
      </c>
      <c r="G707">
        <v>1200</v>
      </c>
      <c r="H707" t="s">
        <v>17</v>
      </c>
      <c r="I707" t="s">
        <v>978</v>
      </c>
      <c r="J707" t="s">
        <v>1226</v>
      </c>
      <c r="K707" t="s">
        <v>1228</v>
      </c>
      <c r="L707" s="9">
        <f>WEEKDAY(Table1_2[[#This Row],[Transaction date]])</f>
        <v>4</v>
      </c>
    </row>
    <row r="708" spans="1:12" x14ac:dyDescent="0.3">
      <c r="A708" t="str">
        <f t="shared" si="11"/>
        <v>17-Jan 2009</v>
      </c>
      <c r="B708" s="10">
        <v>39830</v>
      </c>
      <c r="C708">
        <v>2009</v>
      </c>
      <c r="D708" s="11">
        <v>5.7638888888888892E-2</v>
      </c>
      <c r="E708" t="s">
        <v>1738</v>
      </c>
      <c r="F708" t="s">
        <v>11</v>
      </c>
      <c r="G708">
        <v>1200</v>
      </c>
      <c r="H708" t="s">
        <v>65</v>
      </c>
      <c r="I708" t="s">
        <v>1229</v>
      </c>
      <c r="J708" t="s">
        <v>1230</v>
      </c>
      <c r="K708" t="s">
        <v>1231</v>
      </c>
      <c r="L708" s="9">
        <f>WEEKDAY(Table1_2[[#This Row],[Transaction date]])</f>
        <v>7</v>
      </c>
    </row>
    <row r="709" spans="1:12" x14ac:dyDescent="0.3">
      <c r="A709" t="str">
        <f t="shared" si="11"/>
        <v>10-Jan 2009</v>
      </c>
      <c r="B709" s="10">
        <v>39823</v>
      </c>
      <c r="C709">
        <v>2009</v>
      </c>
      <c r="D709" s="11">
        <v>0.38750000000000001</v>
      </c>
      <c r="E709" t="s">
        <v>1738</v>
      </c>
      <c r="F709" t="s">
        <v>11</v>
      </c>
      <c r="G709">
        <v>1200</v>
      </c>
      <c r="H709" t="s">
        <v>65</v>
      </c>
      <c r="I709" t="s">
        <v>1232</v>
      </c>
      <c r="J709" t="s">
        <v>1233</v>
      </c>
      <c r="K709" t="s">
        <v>1234</v>
      </c>
      <c r="L709" s="9">
        <f>WEEKDAY(Table1_2[[#This Row],[Transaction date]])</f>
        <v>7</v>
      </c>
    </row>
    <row r="710" spans="1:12" x14ac:dyDescent="0.3">
      <c r="A710" t="str">
        <f t="shared" si="11"/>
        <v>19-Jan 2009</v>
      </c>
      <c r="B710" s="10">
        <v>39832</v>
      </c>
      <c r="C710">
        <v>2009</v>
      </c>
      <c r="D710" s="11">
        <v>0.1423611111111111</v>
      </c>
      <c r="E710" t="s">
        <v>1738</v>
      </c>
      <c r="F710" t="s">
        <v>11</v>
      </c>
      <c r="G710">
        <v>70000</v>
      </c>
      <c r="H710" t="s">
        <v>12</v>
      </c>
      <c r="I710" t="s">
        <v>1235</v>
      </c>
      <c r="J710" t="s">
        <v>1236</v>
      </c>
      <c r="K710" t="s">
        <v>1238</v>
      </c>
      <c r="L710" s="9">
        <f>WEEKDAY(Table1_2[[#This Row],[Transaction date]])</f>
        <v>2</v>
      </c>
    </row>
    <row r="711" spans="1:12" x14ac:dyDescent="0.3">
      <c r="A711" t="str">
        <f t="shared" si="11"/>
        <v>26-Jan 2009</v>
      </c>
      <c r="B711" s="10">
        <v>39839</v>
      </c>
      <c r="C711">
        <v>2009</v>
      </c>
      <c r="D711" s="11">
        <v>0.44791666666666669</v>
      </c>
      <c r="E711" t="s">
        <v>1738</v>
      </c>
      <c r="F711" t="s">
        <v>11</v>
      </c>
      <c r="G711">
        <v>1200</v>
      </c>
      <c r="H711" t="s">
        <v>65</v>
      </c>
      <c r="I711" t="s">
        <v>1239</v>
      </c>
      <c r="J711" t="s">
        <v>1237</v>
      </c>
      <c r="K711" t="s">
        <v>1238</v>
      </c>
      <c r="L711" s="9">
        <f>WEEKDAY(Table1_2[[#This Row],[Transaction date]])</f>
        <v>2</v>
      </c>
    </row>
    <row r="712" spans="1:12" x14ac:dyDescent="0.3">
      <c r="A712" t="str">
        <f t="shared" si="11"/>
        <v>13-Jan 2009</v>
      </c>
      <c r="B712" s="10">
        <v>39826</v>
      </c>
      <c r="C712">
        <v>2009</v>
      </c>
      <c r="D712" s="11">
        <v>0.24791666666666667</v>
      </c>
      <c r="E712" t="s">
        <v>1738</v>
      </c>
      <c r="F712" t="s">
        <v>11</v>
      </c>
      <c r="G712">
        <v>1200</v>
      </c>
      <c r="H712" t="s">
        <v>12</v>
      </c>
      <c r="I712" t="s">
        <v>1240</v>
      </c>
      <c r="J712" t="s">
        <v>1241</v>
      </c>
      <c r="K712" t="s">
        <v>1243</v>
      </c>
      <c r="L712" s="9">
        <f>WEEKDAY(Table1_2[[#This Row],[Transaction date]])</f>
        <v>3</v>
      </c>
    </row>
    <row r="713" spans="1:12" x14ac:dyDescent="0.3">
      <c r="A713" t="str">
        <f t="shared" si="11"/>
        <v>01-Jan 2009</v>
      </c>
      <c r="B713" s="10">
        <v>39814</v>
      </c>
      <c r="C713">
        <v>2009</v>
      </c>
      <c r="D713" s="11">
        <v>0.27013888888888887</v>
      </c>
      <c r="E713" t="s">
        <v>1738</v>
      </c>
      <c r="F713" t="s">
        <v>11</v>
      </c>
      <c r="G713">
        <v>1200</v>
      </c>
      <c r="H713" t="s">
        <v>17</v>
      </c>
      <c r="I713" t="s">
        <v>456</v>
      </c>
      <c r="J713" t="s">
        <v>1244</v>
      </c>
      <c r="K713" t="s">
        <v>1243</v>
      </c>
      <c r="L713" s="9">
        <f>WEEKDAY(Table1_2[[#This Row],[Transaction date]])</f>
        <v>5</v>
      </c>
    </row>
    <row r="714" spans="1:12" x14ac:dyDescent="0.3">
      <c r="A714" t="str">
        <f t="shared" si="11"/>
        <v>12-Jan 2009</v>
      </c>
      <c r="B714" s="10">
        <v>39825</v>
      </c>
      <c r="C714">
        <v>2009</v>
      </c>
      <c r="D714" s="11">
        <v>5.7638888888888892E-2</v>
      </c>
      <c r="E714" t="s">
        <v>1738</v>
      </c>
      <c r="F714" t="s">
        <v>21</v>
      </c>
      <c r="G714">
        <v>100000</v>
      </c>
      <c r="H714" t="s">
        <v>65</v>
      </c>
      <c r="I714" t="s">
        <v>1246</v>
      </c>
      <c r="J714" t="s">
        <v>1247</v>
      </c>
      <c r="K714" t="s">
        <v>1243</v>
      </c>
      <c r="L714" s="9">
        <f>WEEKDAY(Table1_2[[#This Row],[Transaction date]])</f>
        <v>2</v>
      </c>
    </row>
    <row r="715" spans="1:12" x14ac:dyDescent="0.3">
      <c r="A715" t="str">
        <f t="shared" si="11"/>
        <v>07-Jan 2009</v>
      </c>
      <c r="B715" s="10">
        <v>39820</v>
      </c>
      <c r="C715">
        <v>2009</v>
      </c>
      <c r="D715" s="11">
        <v>0.52708333333333335</v>
      </c>
      <c r="E715" t="s">
        <v>1739</v>
      </c>
      <c r="F715" t="s">
        <v>21</v>
      </c>
      <c r="G715">
        <v>100000</v>
      </c>
      <c r="H715" t="s">
        <v>12</v>
      </c>
      <c r="I715" t="s">
        <v>502</v>
      </c>
      <c r="J715" t="s">
        <v>1248</v>
      </c>
      <c r="K715" t="s">
        <v>1243</v>
      </c>
      <c r="L715" s="9">
        <f>WEEKDAY(Table1_2[[#This Row],[Transaction date]])</f>
        <v>4</v>
      </c>
    </row>
    <row r="716" spans="1:12" x14ac:dyDescent="0.3">
      <c r="A716" t="str">
        <f t="shared" si="11"/>
        <v>25-Jan 2009</v>
      </c>
      <c r="B716" s="10">
        <v>39838</v>
      </c>
      <c r="C716">
        <v>2009</v>
      </c>
      <c r="D716" s="11">
        <v>0.43888888888888888</v>
      </c>
      <c r="E716" t="s">
        <v>1738</v>
      </c>
      <c r="F716" t="s">
        <v>11</v>
      </c>
      <c r="G716">
        <v>1200</v>
      </c>
      <c r="H716" t="s">
        <v>17</v>
      </c>
      <c r="I716" t="s">
        <v>1249</v>
      </c>
      <c r="J716" t="s">
        <v>1250</v>
      </c>
      <c r="K716" t="s">
        <v>1243</v>
      </c>
      <c r="L716" s="9">
        <f>WEEKDAY(Table1_2[[#This Row],[Transaction date]])</f>
        <v>1</v>
      </c>
    </row>
    <row r="717" spans="1:12" x14ac:dyDescent="0.3">
      <c r="A717" t="str">
        <f t="shared" si="11"/>
        <v>19-Jan 2009</v>
      </c>
      <c r="B717" s="10">
        <v>39832</v>
      </c>
      <c r="C717">
        <v>2009</v>
      </c>
      <c r="D717" s="11">
        <v>0.18263888888888888</v>
      </c>
      <c r="E717" t="s">
        <v>1738</v>
      </c>
      <c r="F717" t="s">
        <v>21</v>
      </c>
      <c r="G717">
        <v>100000</v>
      </c>
      <c r="H717" t="s">
        <v>17</v>
      </c>
      <c r="I717" t="s">
        <v>1252</v>
      </c>
      <c r="J717" t="s">
        <v>1253</v>
      </c>
      <c r="K717" t="s">
        <v>1243</v>
      </c>
      <c r="L717" s="9">
        <f>WEEKDAY(Table1_2[[#This Row],[Transaction date]])</f>
        <v>2</v>
      </c>
    </row>
    <row r="718" spans="1:12" x14ac:dyDescent="0.3">
      <c r="A718" t="str">
        <f t="shared" si="11"/>
        <v>21-Jan 2009</v>
      </c>
      <c r="B718" s="10">
        <v>39834</v>
      </c>
      <c r="C718">
        <v>2009</v>
      </c>
      <c r="D718" s="11">
        <v>0.19027777777777777</v>
      </c>
      <c r="E718" t="s">
        <v>1738</v>
      </c>
      <c r="F718" t="s">
        <v>11</v>
      </c>
      <c r="G718">
        <v>1200</v>
      </c>
      <c r="H718" t="s">
        <v>12</v>
      </c>
      <c r="I718" t="s">
        <v>1255</v>
      </c>
      <c r="J718" t="s">
        <v>1256</v>
      </c>
      <c r="K718" t="s">
        <v>1243</v>
      </c>
      <c r="L718" s="9">
        <f>WEEKDAY(Table1_2[[#This Row],[Transaction date]])</f>
        <v>4</v>
      </c>
    </row>
    <row r="719" spans="1:12" x14ac:dyDescent="0.3">
      <c r="A719" t="str">
        <f t="shared" si="11"/>
        <v>17-Jan 2009</v>
      </c>
      <c r="B719" s="10">
        <v>39830</v>
      </c>
      <c r="C719">
        <v>2009</v>
      </c>
      <c r="D719" s="11">
        <v>0.26597222222222222</v>
      </c>
      <c r="E719" t="s">
        <v>1738</v>
      </c>
      <c r="F719" t="s">
        <v>11</v>
      </c>
      <c r="G719">
        <v>1200</v>
      </c>
      <c r="H719" t="s">
        <v>12</v>
      </c>
      <c r="I719" t="s">
        <v>1257</v>
      </c>
      <c r="J719" t="s">
        <v>1258</v>
      </c>
      <c r="K719" t="s">
        <v>1243</v>
      </c>
      <c r="L719" s="9">
        <f>WEEKDAY(Table1_2[[#This Row],[Transaction date]])</f>
        <v>7</v>
      </c>
    </row>
    <row r="720" spans="1:12" x14ac:dyDescent="0.3">
      <c r="A720" t="str">
        <f t="shared" si="11"/>
        <v>31-Jan 2009</v>
      </c>
      <c r="B720" s="10">
        <v>39844</v>
      </c>
      <c r="C720">
        <v>2009</v>
      </c>
      <c r="D720" s="11">
        <v>8.2638888888888887E-2</v>
      </c>
      <c r="E720" t="s">
        <v>1738</v>
      </c>
      <c r="F720" t="s">
        <v>11</v>
      </c>
      <c r="G720">
        <v>1200</v>
      </c>
      <c r="H720" t="s">
        <v>12</v>
      </c>
      <c r="I720" t="s">
        <v>1259</v>
      </c>
      <c r="J720" t="s">
        <v>1241</v>
      </c>
      <c r="K720" t="s">
        <v>1243</v>
      </c>
      <c r="L720" s="9">
        <f>WEEKDAY(Table1_2[[#This Row],[Transaction date]])</f>
        <v>7</v>
      </c>
    </row>
    <row r="721" spans="1:12" x14ac:dyDescent="0.3">
      <c r="A721" t="str">
        <f t="shared" si="11"/>
        <v>24-Jan 2009</v>
      </c>
      <c r="B721" s="10">
        <v>39837</v>
      </c>
      <c r="C721">
        <v>2009</v>
      </c>
      <c r="D721" s="11">
        <v>5.6944444444444443E-2</v>
      </c>
      <c r="E721" t="s">
        <v>1738</v>
      </c>
      <c r="F721" t="s">
        <v>11</v>
      </c>
      <c r="G721">
        <v>1200</v>
      </c>
      <c r="H721" t="s">
        <v>12</v>
      </c>
      <c r="I721" t="s">
        <v>1260</v>
      </c>
      <c r="J721" t="s">
        <v>1261</v>
      </c>
      <c r="K721" t="s">
        <v>1243</v>
      </c>
      <c r="L721" s="9">
        <f>WEEKDAY(Table1_2[[#This Row],[Transaction date]])</f>
        <v>7</v>
      </c>
    </row>
    <row r="722" spans="1:12" x14ac:dyDescent="0.3">
      <c r="A722" t="str">
        <f t="shared" si="11"/>
        <v>05-Jan 2009</v>
      </c>
      <c r="B722" s="10">
        <v>39818</v>
      </c>
      <c r="C722">
        <v>2009</v>
      </c>
      <c r="D722" s="11">
        <v>0.25833333333333336</v>
      </c>
      <c r="E722" t="s">
        <v>1738</v>
      </c>
      <c r="F722" t="s">
        <v>11</v>
      </c>
      <c r="G722">
        <v>1200</v>
      </c>
      <c r="H722" t="s">
        <v>65</v>
      </c>
      <c r="I722" t="s">
        <v>187</v>
      </c>
      <c r="J722" t="s">
        <v>1263</v>
      </c>
      <c r="K722" t="s">
        <v>1243</v>
      </c>
      <c r="L722" s="9">
        <f>WEEKDAY(Table1_2[[#This Row],[Transaction date]])</f>
        <v>2</v>
      </c>
    </row>
    <row r="723" spans="1:12" x14ac:dyDescent="0.3">
      <c r="A723" t="str">
        <f t="shared" si="11"/>
        <v>16-Jan 2009</v>
      </c>
      <c r="B723" s="10">
        <v>39829</v>
      </c>
      <c r="C723">
        <v>2009</v>
      </c>
      <c r="D723" s="11">
        <v>6.5972222222222224E-2</v>
      </c>
      <c r="E723" t="s">
        <v>1738</v>
      </c>
      <c r="F723" t="s">
        <v>11</v>
      </c>
      <c r="G723">
        <v>1200</v>
      </c>
      <c r="H723" t="s">
        <v>12</v>
      </c>
      <c r="I723" t="s">
        <v>601</v>
      </c>
      <c r="J723" t="s">
        <v>1248</v>
      </c>
      <c r="K723" t="s">
        <v>1243</v>
      </c>
      <c r="L723" s="9">
        <f>WEEKDAY(Table1_2[[#This Row],[Transaction date]])</f>
        <v>6</v>
      </c>
    </row>
    <row r="724" spans="1:12" x14ac:dyDescent="0.3">
      <c r="A724" t="str">
        <f t="shared" si="11"/>
        <v>17-Jan 2009</v>
      </c>
      <c r="B724" s="10">
        <v>39830</v>
      </c>
      <c r="C724">
        <v>2009</v>
      </c>
      <c r="D724" s="11">
        <v>0.33055555555555555</v>
      </c>
      <c r="E724" t="s">
        <v>1738</v>
      </c>
      <c r="F724" t="s">
        <v>64</v>
      </c>
      <c r="G724">
        <v>100000</v>
      </c>
      <c r="H724" t="s">
        <v>65</v>
      </c>
      <c r="I724" t="s">
        <v>1264</v>
      </c>
      <c r="J724" t="s">
        <v>1265</v>
      </c>
      <c r="K724" t="s">
        <v>1243</v>
      </c>
      <c r="L724" s="9">
        <f>WEEKDAY(Table1_2[[#This Row],[Transaction date]])</f>
        <v>7</v>
      </c>
    </row>
    <row r="725" spans="1:12" x14ac:dyDescent="0.3">
      <c r="A725" t="str">
        <f t="shared" si="11"/>
        <v>17-Jan 2009</v>
      </c>
      <c r="B725" s="10">
        <v>39830</v>
      </c>
      <c r="C725">
        <v>2009</v>
      </c>
      <c r="D725" s="11">
        <v>0.33194444444444443</v>
      </c>
      <c r="E725" t="s">
        <v>1738</v>
      </c>
      <c r="F725" t="s">
        <v>64</v>
      </c>
      <c r="G725">
        <v>100000</v>
      </c>
      <c r="H725" t="s">
        <v>65</v>
      </c>
      <c r="I725" t="s">
        <v>1267</v>
      </c>
      <c r="J725" t="s">
        <v>1265</v>
      </c>
      <c r="K725" t="s">
        <v>1243</v>
      </c>
      <c r="L725" s="9">
        <f>WEEKDAY(Table1_2[[#This Row],[Transaction date]])</f>
        <v>7</v>
      </c>
    </row>
    <row r="726" spans="1:12" x14ac:dyDescent="0.3">
      <c r="A726" t="str">
        <f t="shared" si="11"/>
        <v>18-Jan 2009</v>
      </c>
      <c r="B726" s="10">
        <v>39831</v>
      </c>
      <c r="C726">
        <v>2009</v>
      </c>
      <c r="D726" s="11">
        <v>0.18888888888888888</v>
      </c>
      <c r="E726" t="s">
        <v>1738</v>
      </c>
      <c r="F726" t="s">
        <v>11</v>
      </c>
      <c r="G726">
        <v>1200</v>
      </c>
      <c r="H726" t="s">
        <v>65</v>
      </c>
      <c r="I726" t="s">
        <v>1268</v>
      </c>
      <c r="J726" t="s">
        <v>1265</v>
      </c>
      <c r="K726" t="s">
        <v>1243</v>
      </c>
      <c r="L726" s="9">
        <f>WEEKDAY(Table1_2[[#This Row],[Transaction date]])</f>
        <v>1</v>
      </c>
    </row>
    <row r="727" spans="1:12" x14ac:dyDescent="0.3">
      <c r="A727" t="str">
        <f t="shared" si="11"/>
        <v>04-Jan 2009</v>
      </c>
      <c r="B727" s="10">
        <v>39817</v>
      </c>
      <c r="C727">
        <v>2009</v>
      </c>
      <c r="D727" s="11">
        <v>5.347222222222222E-2</v>
      </c>
      <c r="E727" t="s">
        <v>1738</v>
      </c>
      <c r="F727" t="s">
        <v>11</v>
      </c>
      <c r="G727">
        <v>1200</v>
      </c>
      <c r="H727" t="s">
        <v>17</v>
      </c>
      <c r="I727" t="s">
        <v>1269</v>
      </c>
      <c r="J727" t="s">
        <v>1270</v>
      </c>
      <c r="K727" t="s">
        <v>1271</v>
      </c>
      <c r="L727" s="9">
        <f>WEEKDAY(Table1_2[[#This Row],[Transaction date]])</f>
        <v>1</v>
      </c>
    </row>
    <row r="728" spans="1:12" x14ac:dyDescent="0.3">
      <c r="A728" t="str">
        <f t="shared" si="11"/>
        <v>04-Jan 2009</v>
      </c>
      <c r="B728" s="10">
        <v>39817</v>
      </c>
      <c r="C728">
        <v>2009</v>
      </c>
      <c r="D728" s="11">
        <v>4.5138888888888888E-2</v>
      </c>
      <c r="E728" t="s">
        <v>1738</v>
      </c>
      <c r="F728" t="s">
        <v>11</v>
      </c>
      <c r="G728">
        <v>1200</v>
      </c>
      <c r="H728" t="s">
        <v>65</v>
      </c>
      <c r="I728" t="s">
        <v>1272</v>
      </c>
      <c r="J728" t="s">
        <v>1273</v>
      </c>
      <c r="K728" t="s">
        <v>1275</v>
      </c>
      <c r="L728" s="9">
        <f>WEEKDAY(Table1_2[[#This Row],[Transaction date]])</f>
        <v>1</v>
      </c>
    </row>
    <row r="729" spans="1:12" x14ac:dyDescent="0.3">
      <c r="A729" t="str">
        <f t="shared" si="11"/>
        <v>01-Jan 2009</v>
      </c>
      <c r="B729" s="10">
        <v>39814</v>
      </c>
      <c r="C729">
        <v>2009</v>
      </c>
      <c r="D729" s="11">
        <v>0.46180555555555558</v>
      </c>
      <c r="E729" t="s">
        <v>1738</v>
      </c>
      <c r="F729" t="s">
        <v>11</v>
      </c>
      <c r="G729">
        <v>1200</v>
      </c>
      <c r="H729" t="s">
        <v>65</v>
      </c>
      <c r="I729" t="s">
        <v>1276</v>
      </c>
      <c r="J729" t="s">
        <v>1277</v>
      </c>
      <c r="K729" t="s">
        <v>1275</v>
      </c>
      <c r="L729" s="9">
        <f>WEEKDAY(Table1_2[[#This Row],[Transaction date]])</f>
        <v>5</v>
      </c>
    </row>
    <row r="730" spans="1:12" x14ac:dyDescent="0.3">
      <c r="A730" t="str">
        <f t="shared" si="11"/>
        <v>10-Jan 2009</v>
      </c>
      <c r="B730" s="10">
        <v>39823</v>
      </c>
      <c r="C730">
        <v>2009</v>
      </c>
      <c r="D730" s="11">
        <v>0.11319444444444444</v>
      </c>
      <c r="E730" t="s">
        <v>1738</v>
      </c>
      <c r="F730" t="s">
        <v>11</v>
      </c>
      <c r="G730">
        <v>1200</v>
      </c>
      <c r="H730" t="s">
        <v>65</v>
      </c>
      <c r="I730" t="s">
        <v>1279</v>
      </c>
      <c r="J730" t="s">
        <v>1280</v>
      </c>
      <c r="K730" t="s">
        <v>1275</v>
      </c>
      <c r="L730" s="9">
        <f>WEEKDAY(Table1_2[[#This Row],[Transaction date]])</f>
        <v>7</v>
      </c>
    </row>
    <row r="731" spans="1:12" x14ac:dyDescent="0.3">
      <c r="A731" t="str">
        <f t="shared" si="11"/>
        <v>06-Jan 2009</v>
      </c>
      <c r="B731" s="10">
        <v>39819</v>
      </c>
      <c r="C731">
        <v>2009</v>
      </c>
      <c r="D731" s="11">
        <v>0.13541666666666666</v>
      </c>
      <c r="E731" t="s">
        <v>1738</v>
      </c>
      <c r="F731" t="s">
        <v>11</v>
      </c>
      <c r="G731">
        <v>1200</v>
      </c>
      <c r="H731" t="s">
        <v>17</v>
      </c>
      <c r="I731" t="s">
        <v>1282</v>
      </c>
      <c r="J731" t="s">
        <v>1283</v>
      </c>
      <c r="K731" t="s">
        <v>1275</v>
      </c>
      <c r="L731" s="9">
        <f>WEEKDAY(Table1_2[[#This Row],[Transaction date]])</f>
        <v>3</v>
      </c>
    </row>
    <row r="732" spans="1:12" x14ac:dyDescent="0.3">
      <c r="A732" t="str">
        <f t="shared" si="11"/>
        <v>18-Jan 2009</v>
      </c>
      <c r="B732" s="10">
        <v>39831</v>
      </c>
      <c r="C732">
        <v>2009</v>
      </c>
      <c r="D732" s="11">
        <v>0.21875</v>
      </c>
      <c r="E732" t="s">
        <v>1738</v>
      </c>
      <c r="F732" t="s">
        <v>11</v>
      </c>
      <c r="G732">
        <v>1200</v>
      </c>
      <c r="H732" t="s">
        <v>65</v>
      </c>
      <c r="I732" t="s">
        <v>1284</v>
      </c>
      <c r="J732" t="s">
        <v>1285</v>
      </c>
      <c r="K732" t="s">
        <v>1275</v>
      </c>
      <c r="L732" s="9">
        <f>WEEKDAY(Table1_2[[#This Row],[Transaction date]])</f>
        <v>1</v>
      </c>
    </row>
    <row r="733" spans="1:12" x14ac:dyDescent="0.3">
      <c r="A733" t="str">
        <f t="shared" si="11"/>
        <v>18-Jan 2009</v>
      </c>
      <c r="B733" s="10">
        <v>39831</v>
      </c>
      <c r="C733">
        <v>2009</v>
      </c>
      <c r="D733" s="11">
        <v>5.9722222222222225E-2</v>
      </c>
      <c r="E733" t="s">
        <v>1738</v>
      </c>
      <c r="F733" t="s">
        <v>64</v>
      </c>
      <c r="G733">
        <v>100000</v>
      </c>
      <c r="H733" t="s">
        <v>17</v>
      </c>
      <c r="I733" t="s">
        <v>1287</v>
      </c>
      <c r="J733" t="s">
        <v>1288</v>
      </c>
      <c r="K733" t="s">
        <v>1275</v>
      </c>
      <c r="L733" s="9">
        <f>WEEKDAY(Table1_2[[#This Row],[Transaction date]])</f>
        <v>1</v>
      </c>
    </row>
    <row r="734" spans="1:12" x14ac:dyDescent="0.3">
      <c r="A734" t="str">
        <f t="shared" si="11"/>
        <v>16-Jan 2009</v>
      </c>
      <c r="B734" s="10">
        <v>39829</v>
      </c>
      <c r="C734">
        <v>2009</v>
      </c>
      <c r="D734" s="11">
        <v>4.6527777777777779E-2</v>
      </c>
      <c r="E734" t="s">
        <v>1738</v>
      </c>
      <c r="F734" t="s">
        <v>21</v>
      </c>
      <c r="G734">
        <v>100000</v>
      </c>
      <c r="H734" t="s">
        <v>65</v>
      </c>
      <c r="I734" t="s">
        <v>1289</v>
      </c>
      <c r="J734" t="s">
        <v>1278</v>
      </c>
      <c r="K734" t="s">
        <v>1275</v>
      </c>
      <c r="L734" s="9">
        <f>WEEKDAY(Table1_2[[#This Row],[Transaction date]])</f>
        <v>6</v>
      </c>
    </row>
    <row r="735" spans="1:12" x14ac:dyDescent="0.3">
      <c r="A735" t="str">
        <f t="shared" si="11"/>
        <v>08-Jan 2009</v>
      </c>
      <c r="B735" s="10">
        <v>39821</v>
      </c>
      <c r="C735">
        <v>2009</v>
      </c>
      <c r="D735" s="11">
        <v>0.17777777777777778</v>
      </c>
      <c r="E735" t="s">
        <v>1738</v>
      </c>
      <c r="F735" t="s">
        <v>11</v>
      </c>
      <c r="G735">
        <v>1200</v>
      </c>
      <c r="H735" t="s">
        <v>12</v>
      </c>
      <c r="I735" t="s">
        <v>1290</v>
      </c>
      <c r="J735" t="s">
        <v>1291</v>
      </c>
      <c r="K735" t="s">
        <v>1275</v>
      </c>
      <c r="L735" s="9">
        <f>WEEKDAY(Table1_2[[#This Row],[Transaction date]])</f>
        <v>5</v>
      </c>
    </row>
    <row r="736" spans="1:12" x14ac:dyDescent="0.3">
      <c r="A736" t="str">
        <f t="shared" si="11"/>
        <v>09-Jan 2009</v>
      </c>
      <c r="B736" s="10">
        <v>39822</v>
      </c>
      <c r="C736">
        <v>2009</v>
      </c>
      <c r="D736" s="11">
        <v>0.10208333333333333</v>
      </c>
      <c r="E736" t="s">
        <v>1738</v>
      </c>
      <c r="F736" t="s">
        <v>11</v>
      </c>
      <c r="G736">
        <v>1200</v>
      </c>
      <c r="H736" t="s">
        <v>12</v>
      </c>
      <c r="I736" t="s">
        <v>1292</v>
      </c>
      <c r="J736" t="s">
        <v>1293</v>
      </c>
      <c r="K736" t="s">
        <v>1275</v>
      </c>
      <c r="L736" s="9">
        <f>WEEKDAY(Table1_2[[#This Row],[Transaction date]])</f>
        <v>6</v>
      </c>
    </row>
    <row r="737" spans="1:12" x14ac:dyDescent="0.3">
      <c r="A737" t="str">
        <f t="shared" si="11"/>
        <v>09-Jan 2009</v>
      </c>
      <c r="B737" s="10">
        <v>39822</v>
      </c>
      <c r="C737">
        <v>2009</v>
      </c>
      <c r="D737" s="11">
        <v>0.10555555555555556</v>
      </c>
      <c r="E737" t="s">
        <v>1738</v>
      </c>
      <c r="F737" t="s">
        <v>11</v>
      </c>
      <c r="G737">
        <v>1200</v>
      </c>
      <c r="H737" t="s">
        <v>12</v>
      </c>
      <c r="I737" t="s">
        <v>1294</v>
      </c>
      <c r="J737" t="s">
        <v>1293</v>
      </c>
      <c r="K737" t="s">
        <v>1275</v>
      </c>
      <c r="L737" s="9">
        <f>WEEKDAY(Table1_2[[#This Row],[Transaction date]])</f>
        <v>6</v>
      </c>
    </row>
    <row r="738" spans="1:12" x14ac:dyDescent="0.3">
      <c r="A738" t="str">
        <f t="shared" si="11"/>
        <v>22-Jan 2009</v>
      </c>
      <c r="B738" s="10">
        <v>39835</v>
      </c>
      <c r="C738">
        <v>2009</v>
      </c>
      <c r="D738" s="11">
        <v>0.14722222222222223</v>
      </c>
      <c r="E738" t="s">
        <v>1738</v>
      </c>
      <c r="F738" t="s">
        <v>11</v>
      </c>
      <c r="G738">
        <v>1200</v>
      </c>
      <c r="H738" t="s">
        <v>17</v>
      </c>
      <c r="I738" t="s">
        <v>1295</v>
      </c>
      <c r="J738" t="s">
        <v>1296</v>
      </c>
      <c r="K738" t="s">
        <v>1275</v>
      </c>
      <c r="L738" s="9">
        <f>WEEKDAY(Table1_2[[#This Row],[Transaction date]])</f>
        <v>5</v>
      </c>
    </row>
    <row r="739" spans="1:12" x14ac:dyDescent="0.3">
      <c r="A739" t="str">
        <f t="shared" si="11"/>
        <v>11-Jan 2009</v>
      </c>
      <c r="B739" s="10">
        <v>39824</v>
      </c>
      <c r="C739">
        <v>2009</v>
      </c>
      <c r="D739" s="11">
        <v>0.5083333333333333</v>
      </c>
      <c r="E739" t="s">
        <v>1739</v>
      </c>
      <c r="F739" t="s">
        <v>11</v>
      </c>
      <c r="G739">
        <v>1200</v>
      </c>
      <c r="H739" t="s">
        <v>12</v>
      </c>
      <c r="I739" t="s">
        <v>1297</v>
      </c>
      <c r="J739" t="s">
        <v>1298</v>
      </c>
      <c r="K739" t="s">
        <v>1275</v>
      </c>
      <c r="L739" s="9">
        <f>WEEKDAY(Table1_2[[#This Row],[Transaction date]])</f>
        <v>1</v>
      </c>
    </row>
    <row r="740" spans="1:12" x14ac:dyDescent="0.3">
      <c r="A740" t="str">
        <f t="shared" si="11"/>
        <v>02-Jan 2009</v>
      </c>
      <c r="B740" s="10">
        <v>39815</v>
      </c>
      <c r="C740">
        <v>2009</v>
      </c>
      <c r="D740" s="11">
        <v>0.27986111111111112</v>
      </c>
      <c r="E740" t="s">
        <v>1738</v>
      </c>
      <c r="F740" t="s">
        <v>11</v>
      </c>
      <c r="G740">
        <v>1200</v>
      </c>
      <c r="H740" t="s">
        <v>12</v>
      </c>
      <c r="I740" t="s">
        <v>451</v>
      </c>
      <c r="J740" t="s">
        <v>1278</v>
      </c>
      <c r="K740" t="s">
        <v>1275</v>
      </c>
      <c r="L740" s="9">
        <f>WEEKDAY(Table1_2[[#This Row],[Transaction date]])</f>
        <v>6</v>
      </c>
    </row>
    <row r="741" spans="1:12" x14ac:dyDescent="0.3">
      <c r="A741" t="str">
        <f t="shared" si="11"/>
        <v>18-Jan 2009</v>
      </c>
      <c r="B741" s="10">
        <v>39831</v>
      </c>
      <c r="C741">
        <v>2009</v>
      </c>
      <c r="D741" s="11">
        <v>8.2638888888888887E-2</v>
      </c>
      <c r="E741" t="s">
        <v>1738</v>
      </c>
      <c r="F741" t="s">
        <v>11</v>
      </c>
      <c r="G741">
        <v>130000</v>
      </c>
      <c r="H741" t="s">
        <v>65</v>
      </c>
      <c r="I741" t="s">
        <v>1299</v>
      </c>
      <c r="J741" t="s">
        <v>1300</v>
      </c>
      <c r="K741" t="s">
        <v>1275</v>
      </c>
      <c r="L741" s="9">
        <f>WEEKDAY(Table1_2[[#This Row],[Transaction date]])</f>
        <v>1</v>
      </c>
    </row>
    <row r="742" spans="1:12" x14ac:dyDescent="0.3">
      <c r="A742" t="str">
        <f t="shared" si="11"/>
        <v>18-Jan 2009</v>
      </c>
      <c r="B742" s="10">
        <v>39831</v>
      </c>
      <c r="C742">
        <v>2009</v>
      </c>
      <c r="D742" s="11">
        <v>0.52222222222222225</v>
      </c>
      <c r="E742" t="s">
        <v>1739</v>
      </c>
      <c r="F742" t="s">
        <v>11</v>
      </c>
      <c r="G742">
        <v>130000</v>
      </c>
      <c r="H742" t="s">
        <v>12</v>
      </c>
      <c r="I742" t="s">
        <v>259</v>
      </c>
      <c r="J742" t="s">
        <v>1301</v>
      </c>
      <c r="K742" t="s">
        <v>1275</v>
      </c>
      <c r="L742" s="9">
        <f>WEEKDAY(Table1_2[[#This Row],[Transaction date]])</f>
        <v>1</v>
      </c>
    </row>
    <row r="743" spans="1:12" x14ac:dyDescent="0.3">
      <c r="A743" t="str">
        <f t="shared" si="11"/>
        <v>19-Jan 2009</v>
      </c>
      <c r="B743" s="10">
        <v>39832</v>
      </c>
      <c r="C743">
        <v>2009</v>
      </c>
      <c r="D743" s="11">
        <v>0.50972222222222219</v>
      </c>
      <c r="E743" t="s">
        <v>1739</v>
      </c>
      <c r="F743" t="s">
        <v>11</v>
      </c>
      <c r="G743">
        <v>130000</v>
      </c>
      <c r="H743" t="s">
        <v>17</v>
      </c>
      <c r="I743" t="s">
        <v>1302</v>
      </c>
      <c r="J743" t="s">
        <v>1303</v>
      </c>
      <c r="K743" t="s">
        <v>1275</v>
      </c>
      <c r="L743" s="9">
        <f>WEEKDAY(Table1_2[[#This Row],[Transaction date]])</f>
        <v>2</v>
      </c>
    </row>
    <row r="744" spans="1:12" x14ac:dyDescent="0.3">
      <c r="A744" t="str">
        <f t="shared" si="11"/>
        <v>23-Jan 2009</v>
      </c>
      <c r="B744" s="10">
        <v>39836</v>
      </c>
      <c r="C744">
        <v>2009</v>
      </c>
      <c r="D744" s="11">
        <v>0.19930555555555557</v>
      </c>
      <c r="E744" t="s">
        <v>1738</v>
      </c>
      <c r="F744" t="s">
        <v>11</v>
      </c>
      <c r="G744">
        <v>130000</v>
      </c>
      <c r="H744" t="s">
        <v>17</v>
      </c>
      <c r="I744" t="s">
        <v>420</v>
      </c>
      <c r="J744" t="s">
        <v>1304</v>
      </c>
      <c r="K744" t="s">
        <v>1275</v>
      </c>
      <c r="L744" s="9">
        <f>WEEKDAY(Table1_2[[#This Row],[Transaction date]])</f>
        <v>6</v>
      </c>
    </row>
    <row r="745" spans="1:12" x14ac:dyDescent="0.3">
      <c r="A745" t="str">
        <f t="shared" si="11"/>
        <v>21-Jan 2009</v>
      </c>
      <c r="B745" s="10">
        <v>39834</v>
      </c>
      <c r="C745">
        <v>2009</v>
      </c>
      <c r="D745" s="11">
        <v>0.45833333333333331</v>
      </c>
      <c r="E745" t="s">
        <v>1738</v>
      </c>
      <c r="F745" t="s">
        <v>11</v>
      </c>
      <c r="G745">
        <v>130000</v>
      </c>
      <c r="H745" t="s">
        <v>12</v>
      </c>
      <c r="I745" t="s">
        <v>973</v>
      </c>
      <c r="J745" t="s">
        <v>1305</v>
      </c>
      <c r="K745" t="s">
        <v>1275</v>
      </c>
      <c r="L745" s="9">
        <f>WEEKDAY(Table1_2[[#This Row],[Transaction date]])</f>
        <v>4</v>
      </c>
    </row>
    <row r="746" spans="1:12" x14ac:dyDescent="0.3">
      <c r="A746" t="str">
        <f t="shared" si="11"/>
        <v>07-Jan 2009</v>
      </c>
      <c r="B746" s="10">
        <v>39820</v>
      </c>
      <c r="C746">
        <v>2009</v>
      </c>
      <c r="D746" s="11">
        <v>0.27291666666666664</v>
      </c>
      <c r="E746" t="s">
        <v>1738</v>
      </c>
      <c r="F746" t="s">
        <v>11</v>
      </c>
      <c r="G746">
        <v>130000</v>
      </c>
      <c r="H746" t="s">
        <v>65</v>
      </c>
      <c r="I746" t="s">
        <v>191</v>
      </c>
      <c r="J746" t="s">
        <v>1298</v>
      </c>
      <c r="K746" t="s">
        <v>1275</v>
      </c>
      <c r="L746" s="9">
        <f>WEEKDAY(Table1_2[[#This Row],[Transaction date]])</f>
        <v>4</v>
      </c>
    </row>
    <row r="747" spans="1:12" x14ac:dyDescent="0.3">
      <c r="A747" t="str">
        <f t="shared" si="11"/>
        <v>05-Jan 2009</v>
      </c>
      <c r="B747" s="10">
        <v>39818</v>
      </c>
      <c r="C747">
        <v>2009</v>
      </c>
      <c r="D747" s="11">
        <v>0.42222222222222222</v>
      </c>
      <c r="E747" t="s">
        <v>1738</v>
      </c>
      <c r="F747" t="s">
        <v>11</v>
      </c>
      <c r="G747">
        <v>130000</v>
      </c>
      <c r="H747" t="s">
        <v>12</v>
      </c>
      <c r="I747" t="s">
        <v>1306</v>
      </c>
      <c r="J747" t="s">
        <v>1307</v>
      </c>
      <c r="K747" t="s">
        <v>1275</v>
      </c>
      <c r="L747" s="9">
        <f>WEEKDAY(Table1_2[[#This Row],[Transaction date]])</f>
        <v>2</v>
      </c>
    </row>
    <row r="748" spans="1:12" x14ac:dyDescent="0.3">
      <c r="A748" t="str">
        <f t="shared" si="11"/>
        <v>07-Jan 2009</v>
      </c>
      <c r="B748" s="10">
        <v>39820</v>
      </c>
      <c r="C748">
        <v>2009</v>
      </c>
      <c r="D748" s="11">
        <v>0.12152777777777778</v>
      </c>
      <c r="E748" t="s">
        <v>1738</v>
      </c>
      <c r="F748" t="s">
        <v>11</v>
      </c>
      <c r="G748">
        <v>130000</v>
      </c>
      <c r="H748" t="s">
        <v>12</v>
      </c>
      <c r="I748" t="s">
        <v>261</v>
      </c>
      <c r="J748" t="s">
        <v>1309</v>
      </c>
      <c r="K748" t="s">
        <v>1275</v>
      </c>
      <c r="L748" s="9">
        <f>WEEKDAY(Table1_2[[#This Row],[Transaction date]])</f>
        <v>4</v>
      </c>
    </row>
    <row r="749" spans="1:12" x14ac:dyDescent="0.3">
      <c r="A749" t="str">
        <f t="shared" si="11"/>
        <v>02-Jan 2009</v>
      </c>
      <c r="B749" s="10">
        <v>39815</v>
      </c>
      <c r="C749">
        <v>2009</v>
      </c>
      <c r="D749" s="11">
        <v>0.11805555555555555</v>
      </c>
      <c r="E749" t="s">
        <v>1738</v>
      </c>
      <c r="F749" t="s">
        <v>11</v>
      </c>
      <c r="G749">
        <v>130000</v>
      </c>
      <c r="H749" t="s">
        <v>12</v>
      </c>
      <c r="I749" t="s">
        <v>455</v>
      </c>
      <c r="J749" t="s">
        <v>1311</v>
      </c>
      <c r="K749" t="s">
        <v>1275</v>
      </c>
      <c r="L749" s="9">
        <f>WEEKDAY(Table1_2[[#This Row],[Transaction date]])</f>
        <v>6</v>
      </c>
    </row>
    <row r="750" spans="1:12" x14ac:dyDescent="0.3">
      <c r="A750" t="str">
        <f t="shared" si="11"/>
        <v>26-Jan 2009</v>
      </c>
      <c r="B750" s="10">
        <v>39839</v>
      </c>
      <c r="C750">
        <v>2009</v>
      </c>
      <c r="D750" s="11">
        <v>0.48333333333333334</v>
      </c>
      <c r="E750" t="s">
        <v>1738</v>
      </c>
      <c r="F750" t="s">
        <v>11</v>
      </c>
      <c r="G750">
        <v>130000</v>
      </c>
      <c r="H750" t="s">
        <v>12</v>
      </c>
      <c r="I750" t="s">
        <v>731</v>
      </c>
      <c r="J750" t="s">
        <v>1313</v>
      </c>
      <c r="K750" t="s">
        <v>1275</v>
      </c>
      <c r="L750" s="9">
        <f>WEEKDAY(Table1_2[[#This Row],[Transaction date]])</f>
        <v>2</v>
      </c>
    </row>
    <row r="751" spans="1:12" x14ac:dyDescent="0.3">
      <c r="A751" t="str">
        <f t="shared" si="11"/>
        <v>14-Jan 2009</v>
      </c>
      <c r="B751" s="10">
        <v>39827</v>
      </c>
      <c r="C751">
        <v>2009</v>
      </c>
      <c r="D751" s="11">
        <v>0.15208333333333332</v>
      </c>
      <c r="E751" t="s">
        <v>1738</v>
      </c>
      <c r="F751" t="s">
        <v>11</v>
      </c>
      <c r="G751">
        <v>130000</v>
      </c>
      <c r="H751" t="s">
        <v>12</v>
      </c>
      <c r="I751" t="s">
        <v>1314</v>
      </c>
      <c r="J751" t="s">
        <v>1315</v>
      </c>
      <c r="K751" t="s">
        <v>1275</v>
      </c>
      <c r="L751" s="9">
        <f>WEEKDAY(Table1_2[[#This Row],[Transaction date]])</f>
        <v>4</v>
      </c>
    </row>
    <row r="752" spans="1:12" x14ac:dyDescent="0.3">
      <c r="A752" t="str">
        <f t="shared" si="11"/>
        <v>14-Jan 2009</v>
      </c>
      <c r="B752" s="10">
        <v>39827</v>
      </c>
      <c r="C752">
        <v>2009</v>
      </c>
      <c r="D752" s="11">
        <v>0.15763888888888888</v>
      </c>
      <c r="E752" t="s">
        <v>1738</v>
      </c>
      <c r="F752" t="s">
        <v>11</v>
      </c>
      <c r="G752">
        <v>130000</v>
      </c>
      <c r="H752" t="s">
        <v>12</v>
      </c>
      <c r="I752" t="s">
        <v>960</v>
      </c>
      <c r="J752" t="s">
        <v>1315</v>
      </c>
      <c r="K752" t="s">
        <v>1275</v>
      </c>
      <c r="L752" s="9">
        <f>WEEKDAY(Table1_2[[#This Row],[Transaction date]])</f>
        <v>4</v>
      </c>
    </row>
    <row r="753" spans="1:12" x14ac:dyDescent="0.3">
      <c r="A753" t="str">
        <f t="shared" si="11"/>
        <v>13-Jan 2009</v>
      </c>
      <c r="B753" s="10">
        <v>39826</v>
      </c>
      <c r="C753">
        <v>2009</v>
      </c>
      <c r="D753" s="11">
        <v>7.5694444444444439E-2</v>
      </c>
      <c r="E753" t="s">
        <v>1738</v>
      </c>
      <c r="F753" t="s">
        <v>11</v>
      </c>
      <c r="G753">
        <v>130000</v>
      </c>
      <c r="H753" t="s">
        <v>12</v>
      </c>
      <c r="I753" t="s">
        <v>441</v>
      </c>
      <c r="J753" t="s">
        <v>1316</v>
      </c>
      <c r="K753" t="s">
        <v>1275</v>
      </c>
      <c r="L753" s="9">
        <f>WEEKDAY(Table1_2[[#This Row],[Transaction date]])</f>
        <v>3</v>
      </c>
    </row>
    <row r="754" spans="1:12" x14ac:dyDescent="0.3">
      <c r="A754" t="str">
        <f t="shared" si="11"/>
        <v>11-Jan 2009</v>
      </c>
      <c r="B754" s="10">
        <v>39824</v>
      </c>
      <c r="C754">
        <v>2009</v>
      </c>
      <c r="D754" s="11">
        <v>0.29791666666666666</v>
      </c>
      <c r="E754" t="s">
        <v>1738</v>
      </c>
      <c r="F754" t="s">
        <v>11</v>
      </c>
      <c r="G754">
        <v>130000</v>
      </c>
      <c r="H754" t="s">
        <v>12</v>
      </c>
      <c r="I754" t="s">
        <v>1318</v>
      </c>
      <c r="J754" t="s">
        <v>1319</v>
      </c>
      <c r="K754" t="s">
        <v>1275</v>
      </c>
      <c r="L754" s="9">
        <f>WEEKDAY(Table1_2[[#This Row],[Transaction date]])</f>
        <v>1</v>
      </c>
    </row>
    <row r="755" spans="1:12" x14ac:dyDescent="0.3">
      <c r="A755" t="str">
        <f t="shared" si="11"/>
        <v>22-Jan 2009</v>
      </c>
      <c r="B755" s="10">
        <v>39835</v>
      </c>
      <c r="C755">
        <v>2009</v>
      </c>
      <c r="D755" s="11">
        <v>0.44930555555555557</v>
      </c>
      <c r="E755" t="s">
        <v>1738</v>
      </c>
      <c r="F755" t="s">
        <v>11</v>
      </c>
      <c r="G755">
        <v>130000</v>
      </c>
      <c r="H755" t="s">
        <v>12</v>
      </c>
      <c r="I755" t="s">
        <v>1321</v>
      </c>
      <c r="J755" t="s">
        <v>1322</v>
      </c>
      <c r="K755" t="s">
        <v>1275</v>
      </c>
      <c r="L755" s="9">
        <f>WEEKDAY(Table1_2[[#This Row],[Transaction date]])</f>
        <v>5</v>
      </c>
    </row>
    <row r="756" spans="1:12" x14ac:dyDescent="0.3">
      <c r="A756" t="str">
        <f t="shared" si="11"/>
        <v>18-Jan 2009</v>
      </c>
      <c r="B756" s="10">
        <v>39831</v>
      </c>
      <c r="C756">
        <v>2009</v>
      </c>
      <c r="D756" s="11">
        <v>0.28194444444444444</v>
      </c>
      <c r="E756" t="s">
        <v>1738</v>
      </c>
      <c r="F756" t="s">
        <v>11</v>
      </c>
      <c r="G756">
        <v>130000</v>
      </c>
      <c r="H756" t="s">
        <v>12</v>
      </c>
      <c r="I756" t="s">
        <v>1323</v>
      </c>
      <c r="J756" t="s">
        <v>1324</v>
      </c>
      <c r="K756" t="s">
        <v>1275</v>
      </c>
      <c r="L756" s="9">
        <f>WEEKDAY(Table1_2[[#This Row],[Transaction date]])</f>
        <v>1</v>
      </c>
    </row>
    <row r="757" spans="1:12" x14ac:dyDescent="0.3">
      <c r="A757" t="str">
        <f t="shared" si="11"/>
        <v>04-Jan 2009</v>
      </c>
      <c r="B757" s="10">
        <v>39817</v>
      </c>
      <c r="C757">
        <v>2009</v>
      </c>
      <c r="D757" s="11">
        <v>0.28541666666666665</v>
      </c>
      <c r="E757" t="s">
        <v>1738</v>
      </c>
      <c r="F757" t="s">
        <v>11</v>
      </c>
      <c r="G757">
        <v>130000</v>
      </c>
      <c r="H757" t="s">
        <v>12</v>
      </c>
      <c r="I757" t="s">
        <v>1325</v>
      </c>
      <c r="J757" t="s">
        <v>1326</v>
      </c>
      <c r="K757" t="s">
        <v>1275</v>
      </c>
      <c r="L757" s="9">
        <f>WEEKDAY(Table1_2[[#This Row],[Transaction date]])</f>
        <v>1</v>
      </c>
    </row>
    <row r="758" spans="1:12" x14ac:dyDescent="0.3">
      <c r="A758" t="str">
        <f t="shared" si="11"/>
        <v>10-Jan 2009</v>
      </c>
      <c r="B758" s="10">
        <v>39823</v>
      </c>
      <c r="C758">
        <v>2009</v>
      </c>
      <c r="D758" s="11">
        <v>0.31736111111111109</v>
      </c>
      <c r="E758" t="s">
        <v>1738</v>
      </c>
      <c r="F758" t="s">
        <v>11</v>
      </c>
      <c r="G758">
        <v>130000</v>
      </c>
      <c r="H758" t="s">
        <v>12</v>
      </c>
      <c r="I758" t="s">
        <v>1328</v>
      </c>
      <c r="J758" t="s">
        <v>1329</v>
      </c>
      <c r="K758" t="s">
        <v>1275</v>
      </c>
      <c r="L758" s="9">
        <f>WEEKDAY(Table1_2[[#This Row],[Transaction date]])</f>
        <v>7</v>
      </c>
    </row>
    <row r="759" spans="1:12" x14ac:dyDescent="0.3">
      <c r="A759" t="str">
        <f t="shared" si="11"/>
        <v>27-Jan 2009</v>
      </c>
      <c r="B759" s="10">
        <v>39840</v>
      </c>
      <c r="C759">
        <v>2009</v>
      </c>
      <c r="D759" s="11">
        <v>0.10972222222222222</v>
      </c>
      <c r="E759" t="s">
        <v>1738</v>
      </c>
      <c r="F759" t="s">
        <v>11</v>
      </c>
      <c r="G759">
        <v>60000</v>
      </c>
      <c r="H759" t="s">
        <v>12</v>
      </c>
      <c r="I759" t="s">
        <v>1330</v>
      </c>
      <c r="J759" t="s">
        <v>1331</v>
      </c>
      <c r="K759" t="s">
        <v>1275</v>
      </c>
      <c r="L759" s="9">
        <f>WEEKDAY(Table1_2[[#This Row],[Transaction date]])</f>
        <v>3</v>
      </c>
    </row>
    <row r="760" spans="1:12" x14ac:dyDescent="0.3">
      <c r="A760" t="str">
        <f t="shared" si="11"/>
        <v>13-Jan 2009</v>
      </c>
      <c r="B760" s="10">
        <v>39826</v>
      </c>
      <c r="C760">
        <v>2009</v>
      </c>
      <c r="D760" s="11">
        <v>0.11597222222222223</v>
      </c>
      <c r="E760" t="s">
        <v>1738</v>
      </c>
      <c r="F760" t="s">
        <v>11</v>
      </c>
      <c r="G760">
        <v>1200</v>
      </c>
      <c r="H760" t="s">
        <v>12</v>
      </c>
      <c r="I760" t="s">
        <v>1332</v>
      </c>
      <c r="J760" t="s">
        <v>1303</v>
      </c>
      <c r="K760" t="s">
        <v>1275</v>
      </c>
      <c r="L760" s="9">
        <f>WEEKDAY(Table1_2[[#This Row],[Transaction date]])</f>
        <v>3</v>
      </c>
    </row>
    <row r="761" spans="1:12" x14ac:dyDescent="0.3">
      <c r="A761" t="str">
        <f t="shared" si="11"/>
        <v>07-Jan 2009</v>
      </c>
      <c r="B761" s="10">
        <v>39820</v>
      </c>
      <c r="C761">
        <v>2009</v>
      </c>
      <c r="D761" s="11">
        <v>6.1111111111111109E-2</v>
      </c>
      <c r="E761" t="s">
        <v>1738</v>
      </c>
      <c r="F761" t="s">
        <v>11</v>
      </c>
      <c r="G761">
        <v>1200</v>
      </c>
      <c r="H761" t="s">
        <v>17</v>
      </c>
      <c r="I761" t="s">
        <v>713</v>
      </c>
      <c r="J761" t="s">
        <v>1333</v>
      </c>
      <c r="K761" t="s">
        <v>1275</v>
      </c>
      <c r="L761" s="9">
        <f>WEEKDAY(Table1_2[[#This Row],[Transaction date]])</f>
        <v>4</v>
      </c>
    </row>
    <row r="762" spans="1:12" x14ac:dyDescent="0.3">
      <c r="A762" t="str">
        <f t="shared" si="11"/>
        <v>17-Jan 2009</v>
      </c>
      <c r="B762" s="10">
        <v>39830</v>
      </c>
      <c r="C762">
        <v>2009</v>
      </c>
      <c r="D762" s="11">
        <v>0.13819444444444445</v>
      </c>
      <c r="E762" t="s">
        <v>1738</v>
      </c>
      <c r="F762" t="s">
        <v>11</v>
      </c>
      <c r="G762">
        <v>1200</v>
      </c>
      <c r="H762" t="s">
        <v>12</v>
      </c>
      <c r="I762" t="s">
        <v>1334</v>
      </c>
      <c r="J762" t="s">
        <v>1335</v>
      </c>
      <c r="K762" t="s">
        <v>1275</v>
      </c>
      <c r="L762" s="9">
        <f>WEEKDAY(Table1_2[[#This Row],[Transaction date]])</f>
        <v>7</v>
      </c>
    </row>
    <row r="763" spans="1:12" x14ac:dyDescent="0.3">
      <c r="A763" t="str">
        <f t="shared" si="11"/>
        <v>02-Jan 2009</v>
      </c>
      <c r="B763" s="10">
        <v>39815</v>
      </c>
      <c r="C763">
        <v>2009</v>
      </c>
      <c r="D763" s="11">
        <v>0.13402777777777777</v>
      </c>
      <c r="E763" t="s">
        <v>1738</v>
      </c>
      <c r="F763" t="s">
        <v>11</v>
      </c>
      <c r="G763">
        <v>1200</v>
      </c>
      <c r="H763" t="s">
        <v>12</v>
      </c>
      <c r="I763" t="s">
        <v>1336</v>
      </c>
      <c r="J763" t="s">
        <v>1278</v>
      </c>
      <c r="K763" t="s">
        <v>1275</v>
      </c>
      <c r="L763" s="9">
        <f>WEEKDAY(Table1_2[[#This Row],[Transaction date]])</f>
        <v>6</v>
      </c>
    </row>
    <row r="764" spans="1:12" x14ac:dyDescent="0.3">
      <c r="A764" t="str">
        <f t="shared" si="11"/>
        <v>26-Jan 2009</v>
      </c>
      <c r="B764" s="10">
        <v>39839</v>
      </c>
      <c r="C764">
        <v>2009</v>
      </c>
      <c r="D764" s="11">
        <v>0.11319444444444444</v>
      </c>
      <c r="E764" t="s">
        <v>1738</v>
      </c>
      <c r="F764" t="s">
        <v>11</v>
      </c>
      <c r="G764">
        <v>1200</v>
      </c>
      <c r="H764" t="s">
        <v>12</v>
      </c>
      <c r="I764" t="s">
        <v>534</v>
      </c>
      <c r="J764" t="s">
        <v>1337</v>
      </c>
      <c r="K764" t="s">
        <v>1275</v>
      </c>
      <c r="L764" s="9">
        <f>WEEKDAY(Table1_2[[#This Row],[Transaction date]])</f>
        <v>2</v>
      </c>
    </row>
    <row r="765" spans="1:12" x14ac:dyDescent="0.3">
      <c r="A765" t="str">
        <f t="shared" si="11"/>
        <v>29-Jan 2009</v>
      </c>
      <c r="B765" s="10">
        <v>39842</v>
      </c>
      <c r="C765">
        <v>2009</v>
      </c>
      <c r="D765" s="11">
        <v>0.53194444444444444</v>
      </c>
      <c r="E765" t="s">
        <v>1739</v>
      </c>
      <c r="F765" t="s">
        <v>11</v>
      </c>
      <c r="G765">
        <v>1200</v>
      </c>
      <c r="H765" t="s">
        <v>12</v>
      </c>
      <c r="I765" t="s">
        <v>1338</v>
      </c>
      <c r="J765" t="s">
        <v>1293</v>
      </c>
      <c r="K765" t="s">
        <v>1275</v>
      </c>
      <c r="L765" s="9">
        <f>WEEKDAY(Table1_2[[#This Row],[Transaction date]])</f>
        <v>5</v>
      </c>
    </row>
    <row r="766" spans="1:12" x14ac:dyDescent="0.3">
      <c r="A766" t="str">
        <f t="shared" si="11"/>
        <v>30-Jan 2009</v>
      </c>
      <c r="B766" s="10">
        <v>39843</v>
      </c>
      <c r="C766">
        <v>2009</v>
      </c>
      <c r="D766" s="11">
        <v>0.22222222222222221</v>
      </c>
      <c r="E766" t="s">
        <v>1738</v>
      </c>
      <c r="F766" t="s">
        <v>11</v>
      </c>
      <c r="G766">
        <v>1200</v>
      </c>
      <c r="H766" t="s">
        <v>12</v>
      </c>
      <c r="I766" t="s">
        <v>309</v>
      </c>
      <c r="J766" t="s">
        <v>1339</v>
      </c>
      <c r="K766" t="s">
        <v>1275</v>
      </c>
      <c r="L766" s="9">
        <f>WEEKDAY(Table1_2[[#This Row],[Transaction date]])</f>
        <v>6</v>
      </c>
    </row>
    <row r="767" spans="1:12" x14ac:dyDescent="0.3">
      <c r="A767" t="str">
        <f t="shared" si="11"/>
        <v>30-Jan 2009</v>
      </c>
      <c r="B767" s="10">
        <v>39843</v>
      </c>
      <c r="C767">
        <v>2009</v>
      </c>
      <c r="D767" s="11">
        <v>0.26180555555555557</v>
      </c>
      <c r="E767" t="s">
        <v>1738</v>
      </c>
      <c r="F767" t="s">
        <v>11</v>
      </c>
      <c r="G767">
        <v>1200</v>
      </c>
      <c r="H767" t="s">
        <v>12</v>
      </c>
      <c r="I767" t="s">
        <v>511</v>
      </c>
      <c r="J767" t="s">
        <v>1341</v>
      </c>
      <c r="K767" t="s">
        <v>1275</v>
      </c>
      <c r="L767" s="9">
        <f>WEEKDAY(Table1_2[[#This Row],[Transaction date]])</f>
        <v>6</v>
      </c>
    </row>
    <row r="768" spans="1:12" x14ac:dyDescent="0.3">
      <c r="A768" t="str">
        <f t="shared" si="11"/>
        <v>07-Jan 2009</v>
      </c>
      <c r="B768" s="10">
        <v>39820</v>
      </c>
      <c r="C768">
        <v>2009</v>
      </c>
      <c r="D768" s="11">
        <v>0.45277777777777778</v>
      </c>
      <c r="E768" t="s">
        <v>1738</v>
      </c>
      <c r="F768" t="s">
        <v>11</v>
      </c>
      <c r="G768">
        <v>1200</v>
      </c>
      <c r="H768" t="s">
        <v>12</v>
      </c>
      <c r="I768" t="s">
        <v>1342</v>
      </c>
      <c r="J768" t="s">
        <v>1343</v>
      </c>
      <c r="K768" t="s">
        <v>1275</v>
      </c>
      <c r="L768" s="9">
        <f>WEEKDAY(Table1_2[[#This Row],[Transaction date]])</f>
        <v>4</v>
      </c>
    </row>
    <row r="769" spans="1:12" x14ac:dyDescent="0.3">
      <c r="A769" t="str">
        <f t="shared" si="11"/>
        <v>03-Jan 2009</v>
      </c>
      <c r="B769" s="10">
        <v>39816</v>
      </c>
      <c r="C769">
        <v>2009</v>
      </c>
      <c r="D769" s="11">
        <v>7.1527777777777773E-2</v>
      </c>
      <c r="E769" t="s">
        <v>1738</v>
      </c>
      <c r="F769" t="s">
        <v>11</v>
      </c>
      <c r="G769">
        <v>1200</v>
      </c>
      <c r="H769" t="s">
        <v>17</v>
      </c>
      <c r="I769" t="s">
        <v>1344</v>
      </c>
      <c r="J769" t="s">
        <v>1345</v>
      </c>
      <c r="K769" t="s">
        <v>1275</v>
      </c>
      <c r="L769" s="9">
        <f>WEEKDAY(Table1_2[[#This Row],[Transaction date]])</f>
        <v>7</v>
      </c>
    </row>
    <row r="770" spans="1:12" x14ac:dyDescent="0.3">
      <c r="A770" t="str">
        <f t="shared" ref="A770:A833" si="12">TEXT(B770, "dd-mmm") &amp; " " &amp; C770</f>
        <v>11-Jan 2009</v>
      </c>
      <c r="B770" s="10">
        <v>39824</v>
      </c>
      <c r="C770">
        <v>2009</v>
      </c>
      <c r="D770" s="11">
        <v>0.28194444444444444</v>
      </c>
      <c r="E770" t="s">
        <v>1738</v>
      </c>
      <c r="F770" t="s">
        <v>21</v>
      </c>
      <c r="G770">
        <v>100000</v>
      </c>
      <c r="H770" t="s">
        <v>12</v>
      </c>
      <c r="I770" t="s">
        <v>1346</v>
      </c>
      <c r="J770" t="s">
        <v>1347</v>
      </c>
      <c r="K770" t="s">
        <v>1275</v>
      </c>
      <c r="L770" s="9">
        <f>WEEKDAY(Table1_2[[#This Row],[Transaction date]])</f>
        <v>1</v>
      </c>
    </row>
    <row r="771" spans="1:12" x14ac:dyDescent="0.3">
      <c r="A771" t="str">
        <f t="shared" si="12"/>
        <v>19-Jan 2009</v>
      </c>
      <c r="B771" s="10">
        <v>39832</v>
      </c>
      <c r="C771">
        <v>2009</v>
      </c>
      <c r="D771" s="11">
        <v>0.10138888888888889</v>
      </c>
      <c r="E771" t="s">
        <v>1738</v>
      </c>
      <c r="F771" t="s">
        <v>11</v>
      </c>
      <c r="G771">
        <v>1200</v>
      </c>
      <c r="H771" t="s">
        <v>17</v>
      </c>
      <c r="I771" t="s">
        <v>1348</v>
      </c>
      <c r="J771" t="s">
        <v>1349</v>
      </c>
      <c r="K771" t="s">
        <v>1275</v>
      </c>
      <c r="L771" s="9">
        <f>WEEKDAY(Table1_2[[#This Row],[Transaction date]])</f>
        <v>2</v>
      </c>
    </row>
    <row r="772" spans="1:12" x14ac:dyDescent="0.3">
      <c r="A772" t="str">
        <f t="shared" si="12"/>
        <v>27-Jan 2009</v>
      </c>
      <c r="B772" s="10">
        <v>39840</v>
      </c>
      <c r="C772">
        <v>2009</v>
      </c>
      <c r="D772" s="11">
        <v>0.50138888888888888</v>
      </c>
      <c r="E772" t="s">
        <v>1739</v>
      </c>
      <c r="F772" t="s">
        <v>11</v>
      </c>
      <c r="G772">
        <v>1200</v>
      </c>
      <c r="H772" t="s">
        <v>12</v>
      </c>
      <c r="I772" t="s">
        <v>1350</v>
      </c>
      <c r="J772" t="s">
        <v>1320</v>
      </c>
      <c r="K772" t="s">
        <v>1275</v>
      </c>
      <c r="L772" s="9">
        <f>WEEKDAY(Table1_2[[#This Row],[Transaction date]])</f>
        <v>3</v>
      </c>
    </row>
    <row r="773" spans="1:12" x14ac:dyDescent="0.3">
      <c r="A773" t="str">
        <f t="shared" si="12"/>
        <v>05-Jan 2009</v>
      </c>
      <c r="B773" s="10">
        <v>39818</v>
      </c>
      <c r="C773">
        <v>2009</v>
      </c>
      <c r="D773" s="11">
        <v>0.12708333333333333</v>
      </c>
      <c r="E773" t="s">
        <v>1738</v>
      </c>
      <c r="F773" t="s">
        <v>11</v>
      </c>
      <c r="G773">
        <v>1200</v>
      </c>
      <c r="H773" t="s">
        <v>65</v>
      </c>
      <c r="I773" t="s">
        <v>675</v>
      </c>
      <c r="J773" t="s">
        <v>1278</v>
      </c>
      <c r="K773" t="s">
        <v>1275</v>
      </c>
      <c r="L773" s="9">
        <f>WEEKDAY(Table1_2[[#This Row],[Transaction date]])</f>
        <v>2</v>
      </c>
    </row>
    <row r="774" spans="1:12" x14ac:dyDescent="0.3">
      <c r="A774" t="str">
        <f t="shared" si="12"/>
        <v>29-Jan 2009</v>
      </c>
      <c r="B774" s="10">
        <v>39842</v>
      </c>
      <c r="C774">
        <v>2009</v>
      </c>
      <c r="D774" s="11">
        <v>0.51875000000000004</v>
      </c>
      <c r="E774" t="s">
        <v>1739</v>
      </c>
      <c r="F774" t="s">
        <v>11</v>
      </c>
      <c r="G774">
        <v>1200</v>
      </c>
      <c r="H774" t="s">
        <v>17</v>
      </c>
      <c r="I774" t="s">
        <v>1351</v>
      </c>
      <c r="J774" t="s">
        <v>1352</v>
      </c>
      <c r="K774" t="s">
        <v>1275</v>
      </c>
      <c r="L774" s="9">
        <f>WEEKDAY(Table1_2[[#This Row],[Transaction date]])</f>
        <v>5</v>
      </c>
    </row>
    <row r="775" spans="1:12" x14ac:dyDescent="0.3">
      <c r="A775" t="str">
        <f t="shared" si="12"/>
        <v>23-Jan 2009</v>
      </c>
      <c r="B775" s="10">
        <v>39836</v>
      </c>
      <c r="C775">
        <v>2009</v>
      </c>
      <c r="D775" s="11">
        <v>0.21597222222222223</v>
      </c>
      <c r="E775" t="s">
        <v>1738</v>
      </c>
      <c r="F775" t="s">
        <v>11</v>
      </c>
      <c r="G775">
        <v>1200</v>
      </c>
      <c r="H775" t="s">
        <v>12</v>
      </c>
      <c r="I775" t="s">
        <v>1353</v>
      </c>
      <c r="J775" t="s">
        <v>1354</v>
      </c>
      <c r="K775" t="s">
        <v>1275</v>
      </c>
      <c r="L775" s="9">
        <f>WEEKDAY(Table1_2[[#This Row],[Transaction date]])</f>
        <v>6</v>
      </c>
    </row>
    <row r="776" spans="1:12" x14ac:dyDescent="0.3">
      <c r="A776" t="str">
        <f t="shared" si="12"/>
        <v>10-Jan 2009</v>
      </c>
      <c r="B776" s="10">
        <v>39823</v>
      </c>
      <c r="C776">
        <v>2009</v>
      </c>
      <c r="D776" s="11">
        <v>0.17499999999999999</v>
      </c>
      <c r="E776" t="s">
        <v>1738</v>
      </c>
      <c r="F776" t="s">
        <v>11</v>
      </c>
      <c r="G776">
        <v>1200</v>
      </c>
      <c r="H776" t="s">
        <v>12</v>
      </c>
      <c r="I776" t="s">
        <v>1355</v>
      </c>
      <c r="J776" t="s">
        <v>1356</v>
      </c>
      <c r="K776" t="s">
        <v>1275</v>
      </c>
      <c r="L776" s="9">
        <f>WEEKDAY(Table1_2[[#This Row],[Transaction date]])</f>
        <v>7</v>
      </c>
    </row>
    <row r="777" spans="1:12" x14ac:dyDescent="0.3">
      <c r="A777" t="str">
        <f t="shared" si="12"/>
        <v>06-Jan 2009</v>
      </c>
      <c r="B777" s="10">
        <v>39819</v>
      </c>
      <c r="C777">
        <v>2009</v>
      </c>
      <c r="D777" s="11">
        <v>0.20972222222222223</v>
      </c>
      <c r="E777" t="s">
        <v>1738</v>
      </c>
      <c r="F777" t="s">
        <v>11</v>
      </c>
      <c r="G777">
        <v>1200</v>
      </c>
      <c r="H777" t="s">
        <v>65</v>
      </c>
      <c r="I777" t="s">
        <v>1357</v>
      </c>
      <c r="J777" t="s">
        <v>1358</v>
      </c>
      <c r="K777" t="s">
        <v>1360</v>
      </c>
      <c r="L777" s="9">
        <f>WEEKDAY(Table1_2[[#This Row],[Transaction date]])</f>
        <v>3</v>
      </c>
    </row>
    <row r="778" spans="1:12" x14ac:dyDescent="0.3">
      <c r="A778" t="str">
        <f t="shared" si="12"/>
        <v>05-Jan 2009</v>
      </c>
      <c r="B778" s="10">
        <v>39818</v>
      </c>
      <c r="C778">
        <v>2009</v>
      </c>
      <c r="D778" s="11">
        <v>0.53194444444444444</v>
      </c>
      <c r="E778" t="s">
        <v>1739</v>
      </c>
      <c r="F778" t="s">
        <v>11</v>
      </c>
      <c r="G778">
        <v>1200</v>
      </c>
      <c r="H778" t="s">
        <v>65</v>
      </c>
      <c r="I778" t="s">
        <v>51</v>
      </c>
      <c r="J778" t="s">
        <v>1361</v>
      </c>
      <c r="K778" t="s">
        <v>1360</v>
      </c>
      <c r="L778" s="9">
        <f>WEEKDAY(Table1_2[[#This Row],[Transaction date]])</f>
        <v>2</v>
      </c>
    </row>
    <row r="779" spans="1:12" x14ac:dyDescent="0.3">
      <c r="A779" t="str">
        <f t="shared" si="12"/>
        <v>12-Jan 2009</v>
      </c>
      <c r="B779" s="10">
        <v>39825</v>
      </c>
      <c r="C779">
        <v>2009</v>
      </c>
      <c r="D779" s="11">
        <v>0.1361111111111111</v>
      </c>
      <c r="E779" t="s">
        <v>1738</v>
      </c>
      <c r="F779" t="s">
        <v>11</v>
      </c>
      <c r="G779">
        <v>1200</v>
      </c>
      <c r="H779" t="s">
        <v>12</v>
      </c>
      <c r="I779" t="s">
        <v>1363</v>
      </c>
      <c r="J779" t="s">
        <v>1364</v>
      </c>
      <c r="K779" t="s">
        <v>1365</v>
      </c>
      <c r="L779" s="9">
        <f>WEEKDAY(Table1_2[[#This Row],[Transaction date]])</f>
        <v>2</v>
      </c>
    </row>
    <row r="780" spans="1:12" x14ac:dyDescent="0.3">
      <c r="A780" t="str">
        <f t="shared" si="12"/>
        <v>23-Jan 2009</v>
      </c>
      <c r="B780" s="10">
        <v>39836</v>
      </c>
      <c r="C780">
        <v>2009</v>
      </c>
      <c r="D780" s="11">
        <v>0.33333333333333331</v>
      </c>
      <c r="E780" t="s">
        <v>1738</v>
      </c>
      <c r="F780" t="s">
        <v>11</v>
      </c>
      <c r="G780">
        <v>1200</v>
      </c>
      <c r="H780" t="s">
        <v>65</v>
      </c>
      <c r="I780" t="s">
        <v>1366</v>
      </c>
      <c r="J780" t="s">
        <v>1367</v>
      </c>
      <c r="K780" t="s">
        <v>1369</v>
      </c>
      <c r="L780" s="9">
        <f>WEEKDAY(Table1_2[[#This Row],[Transaction date]])</f>
        <v>6</v>
      </c>
    </row>
    <row r="781" spans="1:12" x14ac:dyDescent="0.3">
      <c r="A781" t="str">
        <f t="shared" si="12"/>
        <v>20-Jan 2009</v>
      </c>
      <c r="B781" s="10">
        <v>39833</v>
      </c>
      <c r="C781">
        <v>2009</v>
      </c>
      <c r="D781" s="11">
        <v>0.33888888888888891</v>
      </c>
      <c r="E781" t="s">
        <v>1738</v>
      </c>
      <c r="F781" t="s">
        <v>11</v>
      </c>
      <c r="G781">
        <v>1200</v>
      </c>
      <c r="H781" t="s">
        <v>17</v>
      </c>
      <c r="I781" t="s">
        <v>1370</v>
      </c>
      <c r="J781" t="s">
        <v>1371</v>
      </c>
      <c r="K781" t="s">
        <v>1369</v>
      </c>
      <c r="L781" s="9">
        <f>WEEKDAY(Table1_2[[#This Row],[Transaction date]])</f>
        <v>3</v>
      </c>
    </row>
    <row r="782" spans="1:12" x14ac:dyDescent="0.3">
      <c r="A782" t="str">
        <f t="shared" si="12"/>
        <v>02-Jan 2009</v>
      </c>
      <c r="B782" s="10">
        <v>39815</v>
      </c>
      <c r="C782">
        <v>2009</v>
      </c>
      <c r="D782" s="11">
        <v>0.35486111111111113</v>
      </c>
      <c r="E782" t="s">
        <v>1738</v>
      </c>
      <c r="F782" t="s">
        <v>11</v>
      </c>
      <c r="G782">
        <v>1200</v>
      </c>
      <c r="H782" t="s">
        <v>12</v>
      </c>
      <c r="I782" t="s">
        <v>1373</v>
      </c>
      <c r="J782" t="s">
        <v>1374</v>
      </c>
      <c r="K782" t="s">
        <v>1369</v>
      </c>
      <c r="L782" s="9">
        <f>WEEKDAY(Table1_2[[#This Row],[Transaction date]])</f>
        <v>6</v>
      </c>
    </row>
    <row r="783" spans="1:12" x14ac:dyDescent="0.3">
      <c r="A783" t="str">
        <f t="shared" si="12"/>
        <v>30-Jan 2009</v>
      </c>
      <c r="B783" s="10">
        <v>39843</v>
      </c>
      <c r="C783">
        <v>2009</v>
      </c>
      <c r="D783" s="11">
        <v>0.21458333333333332</v>
      </c>
      <c r="E783" t="s">
        <v>1738</v>
      </c>
      <c r="F783" t="s">
        <v>11</v>
      </c>
      <c r="G783">
        <v>1200</v>
      </c>
      <c r="H783" t="s">
        <v>17</v>
      </c>
      <c r="I783" t="s">
        <v>1376</v>
      </c>
      <c r="J783" t="s">
        <v>1377</v>
      </c>
      <c r="K783" t="s">
        <v>1377</v>
      </c>
      <c r="L783" s="9">
        <f>WEEKDAY(Table1_2[[#This Row],[Transaction date]])</f>
        <v>6</v>
      </c>
    </row>
    <row r="784" spans="1:12" x14ac:dyDescent="0.3">
      <c r="A784" t="str">
        <f t="shared" si="12"/>
        <v>12-Jan 2009</v>
      </c>
      <c r="B784" s="10">
        <v>39825</v>
      </c>
      <c r="C784">
        <v>2009</v>
      </c>
      <c r="D784" s="11">
        <v>0.35486111111111113</v>
      </c>
      <c r="E784" t="s">
        <v>1738</v>
      </c>
      <c r="F784" t="s">
        <v>11</v>
      </c>
      <c r="G784">
        <v>1200</v>
      </c>
      <c r="H784" t="s">
        <v>12</v>
      </c>
      <c r="I784" t="s">
        <v>1378</v>
      </c>
      <c r="J784" t="s">
        <v>1379</v>
      </c>
      <c r="K784" t="s">
        <v>1380</v>
      </c>
      <c r="L784" s="9">
        <f>WEEKDAY(Table1_2[[#This Row],[Transaction date]])</f>
        <v>2</v>
      </c>
    </row>
    <row r="785" spans="1:12" x14ac:dyDescent="0.3">
      <c r="A785" t="str">
        <f t="shared" si="12"/>
        <v>28-Jan 2009</v>
      </c>
      <c r="B785" s="10">
        <v>39841</v>
      </c>
      <c r="C785">
        <v>2009</v>
      </c>
      <c r="D785" s="11">
        <v>0.44236111111111109</v>
      </c>
      <c r="E785" t="s">
        <v>1738</v>
      </c>
      <c r="F785" t="s">
        <v>11</v>
      </c>
      <c r="G785">
        <v>1200</v>
      </c>
      <c r="H785" t="s">
        <v>12</v>
      </c>
      <c r="I785" t="s">
        <v>1381</v>
      </c>
      <c r="J785" t="s">
        <v>1382</v>
      </c>
      <c r="K785" t="s">
        <v>1384</v>
      </c>
      <c r="L785" s="9">
        <f>WEEKDAY(Table1_2[[#This Row],[Transaction date]])</f>
        <v>4</v>
      </c>
    </row>
    <row r="786" spans="1:12" x14ac:dyDescent="0.3">
      <c r="A786" t="str">
        <f t="shared" si="12"/>
        <v>05-Jan 2009</v>
      </c>
      <c r="B786" s="10">
        <v>39818</v>
      </c>
      <c r="C786">
        <v>2009</v>
      </c>
      <c r="D786" s="11">
        <v>0.37361111111111112</v>
      </c>
      <c r="E786" t="s">
        <v>1738</v>
      </c>
      <c r="F786" t="s">
        <v>21</v>
      </c>
      <c r="G786">
        <v>100000</v>
      </c>
      <c r="H786" t="s">
        <v>17</v>
      </c>
      <c r="I786" t="s">
        <v>1385</v>
      </c>
      <c r="J786" t="s">
        <v>1386</v>
      </c>
      <c r="K786" t="s">
        <v>1388</v>
      </c>
      <c r="L786" s="9">
        <f>WEEKDAY(Table1_2[[#This Row],[Transaction date]])</f>
        <v>2</v>
      </c>
    </row>
    <row r="787" spans="1:12" x14ac:dyDescent="0.3">
      <c r="A787" t="str">
        <f t="shared" si="12"/>
        <v>12-Jan 2009</v>
      </c>
      <c r="B787" s="10">
        <v>39825</v>
      </c>
      <c r="C787">
        <v>2009</v>
      </c>
      <c r="D787" s="11">
        <v>0.40486111111111112</v>
      </c>
      <c r="E787" t="s">
        <v>1738</v>
      </c>
      <c r="F787" t="s">
        <v>11</v>
      </c>
      <c r="G787">
        <v>1200</v>
      </c>
      <c r="H787" t="s">
        <v>65</v>
      </c>
      <c r="I787" t="s">
        <v>720</v>
      </c>
      <c r="J787" t="s">
        <v>1158</v>
      </c>
      <c r="K787" t="s">
        <v>1388</v>
      </c>
      <c r="L787" s="9">
        <f>WEEKDAY(Table1_2[[#This Row],[Transaction date]])</f>
        <v>2</v>
      </c>
    </row>
    <row r="788" spans="1:12" x14ac:dyDescent="0.3">
      <c r="A788" t="str">
        <f t="shared" si="12"/>
        <v>11-Jan 2009</v>
      </c>
      <c r="B788" s="10">
        <v>39824</v>
      </c>
      <c r="C788">
        <v>2009</v>
      </c>
      <c r="D788" s="11">
        <v>0.45208333333333334</v>
      </c>
      <c r="E788" t="s">
        <v>1738</v>
      </c>
      <c r="F788" t="s">
        <v>11</v>
      </c>
      <c r="G788">
        <v>1200</v>
      </c>
      <c r="H788" t="s">
        <v>17</v>
      </c>
      <c r="I788" t="s">
        <v>58</v>
      </c>
      <c r="J788" t="s">
        <v>1389</v>
      </c>
      <c r="K788" t="s">
        <v>1388</v>
      </c>
      <c r="L788" s="9">
        <f>WEEKDAY(Table1_2[[#This Row],[Transaction date]])</f>
        <v>1</v>
      </c>
    </row>
    <row r="789" spans="1:12" x14ac:dyDescent="0.3">
      <c r="A789" t="str">
        <f t="shared" si="12"/>
        <v>08-Jan 2009</v>
      </c>
      <c r="B789" s="10">
        <v>39821</v>
      </c>
      <c r="C789">
        <v>2009</v>
      </c>
      <c r="D789" s="11">
        <v>0.49652777777777779</v>
      </c>
      <c r="E789" t="s">
        <v>1738</v>
      </c>
      <c r="F789" t="s">
        <v>21</v>
      </c>
      <c r="G789">
        <v>100000</v>
      </c>
      <c r="H789" t="s">
        <v>12</v>
      </c>
      <c r="I789" t="s">
        <v>1391</v>
      </c>
      <c r="J789" t="s">
        <v>1392</v>
      </c>
      <c r="K789" t="s">
        <v>1388</v>
      </c>
      <c r="L789" s="9">
        <f>WEEKDAY(Table1_2[[#This Row],[Transaction date]])</f>
        <v>5</v>
      </c>
    </row>
    <row r="790" spans="1:12" x14ac:dyDescent="0.3">
      <c r="A790" t="str">
        <f t="shared" si="12"/>
        <v>01-Jan 2009</v>
      </c>
      <c r="B790" s="10">
        <v>39814</v>
      </c>
      <c r="C790">
        <v>2009</v>
      </c>
      <c r="D790" s="11">
        <v>8.9583333333333334E-2</v>
      </c>
      <c r="E790" t="s">
        <v>1738</v>
      </c>
      <c r="F790" t="s">
        <v>11</v>
      </c>
      <c r="G790">
        <v>1200</v>
      </c>
      <c r="H790" t="s">
        <v>17</v>
      </c>
      <c r="I790" t="s">
        <v>1394</v>
      </c>
      <c r="J790" t="s">
        <v>1395</v>
      </c>
      <c r="K790" t="s">
        <v>1388</v>
      </c>
      <c r="L790" s="9">
        <f>WEEKDAY(Table1_2[[#This Row],[Transaction date]])</f>
        <v>5</v>
      </c>
    </row>
    <row r="791" spans="1:12" x14ac:dyDescent="0.3">
      <c r="A791" t="str">
        <f t="shared" si="12"/>
        <v>04-Jan 2009</v>
      </c>
      <c r="B791" s="10">
        <v>39817</v>
      </c>
      <c r="C791">
        <v>2009</v>
      </c>
      <c r="D791" s="11">
        <v>0.41666666666666669</v>
      </c>
      <c r="E791" t="s">
        <v>1738</v>
      </c>
      <c r="F791" t="s">
        <v>21</v>
      </c>
      <c r="G791">
        <v>100000</v>
      </c>
      <c r="H791" t="s">
        <v>65</v>
      </c>
      <c r="I791" t="s">
        <v>1397</v>
      </c>
      <c r="J791" t="s">
        <v>1398</v>
      </c>
      <c r="K791" t="s">
        <v>1388</v>
      </c>
      <c r="L791" s="9">
        <f>WEEKDAY(Table1_2[[#This Row],[Transaction date]])</f>
        <v>1</v>
      </c>
    </row>
    <row r="792" spans="1:12" x14ac:dyDescent="0.3">
      <c r="A792" t="str">
        <f t="shared" si="12"/>
        <v>10-Jan 2009</v>
      </c>
      <c r="B792" s="10">
        <v>39823</v>
      </c>
      <c r="C792">
        <v>2009</v>
      </c>
      <c r="D792" s="11">
        <v>0.16944444444444445</v>
      </c>
      <c r="E792" t="s">
        <v>1738</v>
      </c>
      <c r="F792" t="s">
        <v>11</v>
      </c>
      <c r="G792">
        <v>1200</v>
      </c>
      <c r="H792" t="s">
        <v>12</v>
      </c>
      <c r="I792" t="s">
        <v>627</v>
      </c>
      <c r="J792" t="s">
        <v>1399</v>
      </c>
      <c r="K792" t="s">
        <v>1388</v>
      </c>
      <c r="L792" s="9">
        <f>WEEKDAY(Table1_2[[#This Row],[Transaction date]])</f>
        <v>7</v>
      </c>
    </row>
    <row r="793" spans="1:12" x14ac:dyDescent="0.3">
      <c r="A793" t="str">
        <f t="shared" si="12"/>
        <v>01-Jan 2009</v>
      </c>
      <c r="B793" s="10">
        <v>39814</v>
      </c>
      <c r="C793">
        <v>2009</v>
      </c>
      <c r="D793" s="11">
        <v>0.42083333333333334</v>
      </c>
      <c r="E793" t="s">
        <v>1738</v>
      </c>
      <c r="F793" t="s">
        <v>21</v>
      </c>
      <c r="G793">
        <v>100000</v>
      </c>
      <c r="H793" t="s">
        <v>17</v>
      </c>
      <c r="I793" t="s">
        <v>1400</v>
      </c>
      <c r="J793" t="s">
        <v>1401</v>
      </c>
      <c r="K793" t="s">
        <v>1388</v>
      </c>
      <c r="L793" s="9">
        <f>WEEKDAY(Table1_2[[#This Row],[Transaction date]])</f>
        <v>5</v>
      </c>
    </row>
    <row r="794" spans="1:12" x14ac:dyDescent="0.3">
      <c r="A794" t="str">
        <f t="shared" si="12"/>
        <v>07-Jan 2009</v>
      </c>
      <c r="B794" s="10">
        <v>39820</v>
      </c>
      <c r="C794">
        <v>2009</v>
      </c>
      <c r="D794" s="11">
        <v>0.33333333333333331</v>
      </c>
      <c r="E794" t="s">
        <v>1738</v>
      </c>
      <c r="F794" t="s">
        <v>11</v>
      </c>
      <c r="G794">
        <v>1200</v>
      </c>
      <c r="H794" t="s">
        <v>17</v>
      </c>
      <c r="I794" t="s">
        <v>273</v>
      </c>
      <c r="J794" t="s">
        <v>1403</v>
      </c>
      <c r="K794" t="s">
        <v>1388</v>
      </c>
      <c r="L794" s="9">
        <f>WEEKDAY(Table1_2[[#This Row],[Transaction date]])</f>
        <v>4</v>
      </c>
    </row>
    <row r="795" spans="1:12" x14ac:dyDescent="0.3">
      <c r="A795" t="str">
        <f t="shared" si="12"/>
        <v>04-Jan 2009</v>
      </c>
      <c r="B795" s="10">
        <v>39817</v>
      </c>
      <c r="C795">
        <v>2009</v>
      </c>
      <c r="D795" s="11">
        <v>0.42777777777777776</v>
      </c>
      <c r="E795" t="s">
        <v>1738</v>
      </c>
      <c r="F795" t="s">
        <v>11</v>
      </c>
      <c r="G795">
        <v>1200</v>
      </c>
      <c r="H795" t="s">
        <v>17</v>
      </c>
      <c r="I795" t="s">
        <v>229</v>
      </c>
      <c r="J795" t="s">
        <v>1405</v>
      </c>
      <c r="K795" t="s">
        <v>1388</v>
      </c>
      <c r="L795" s="9">
        <f>WEEKDAY(Table1_2[[#This Row],[Transaction date]])</f>
        <v>1</v>
      </c>
    </row>
    <row r="796" spans="1:12" x14ac:dyDescent="0.3">
      <c r="A796" t="str">
        <f t="shared" si="12"/>
        <v>12-Jan 2009</v>
      </c>
      <c r="B796" s="10">
        <v>39825</v>
      </c>
      <c r="C796">
        <v>2009</v>
      </c>
      <c r="D796" s="11">
        <v>7.0833333333333331E-2</v>
      </c>
      <c r="E796" t="s">
        <v>1738</v>
      </c>
      <c r="F796" t="s">
        <v>11</v>
      </c>
      <c r="G796">
        <v>1200</v>
      </c>
      <c r="H796" t="s">
        <v>17</v>
      </c>
      <c r="I796" t="s">
        <v>1406</v>
      </c>
      <c r="J796" t="s">
        <v>1407</v>
      </c>
      <c r="K796" t="s">
        <v>1388</v>
      </c>
      <c r="L796" s="9">
        <f>WEEKDAY(Table1_2[[#This Row],[Transaction date]])</f>
        <v>2</v>
      </c>
    </row>
    <row r="797" spans="1:12" x14ac:dyDescent="0.3">
      <c r="A797" t="str">
        <f t="shared" si="12"/>
        <v>07-Jan 2009</v>
      </c>
      <c r="B797" s="10">
        <v>39820</v>
      </c>
      <c r="C797">
        <v>2009</v>
      </c>
      <c r="D797" s="11">
        <v>0.24513888888888888</v>
      </c>
      <c r="E797" t="s">
        <v>1738</v>
      </c>
      <c r="F797" t="s">
        <v>11</v>
      </c>
      <c r="G797">
        <v>1200</v>
      </c>
      <c r="H797" t="s">
        <v>12</v>
      </c>
      <c r="I797" t="s">
        <v>774</v>
      </c>
      <c r="J797" t="s">
        <v>1408</v>
      </c>
      <c r="K797" t="s">
        <v>1388</v>
      </c>
      <c r="L797" s="9">
        <f>WEEKDAY(Table1_2[[#This Row],[Transaction date]])</f>
        <v>4</v>
      </c>
    </row>
    <row r="798" spans="1:12" x14ac:dyDescent="0.3">
      <c r="A798" t="str">
        <f t="shared" si="12"/>
        <v>29-Jan 2009</v>
      </c>
      <c r="B798" s="10">
        <v>39842</v>
      </c>
      <c r="C798">
        <v>2009</v>
      </c>
      <c r="D798" s="11">
        <v>0.28402777777777777</v>
      </c>
      <c r="E798" t="s">
        <v>1738</v>
      </c>
      <c r="F798" t="s">
        <v>11</v>
      </c>
      <c r="G798">
        <v>1200</v>
      </c>
      <c r="H798" t="s">
        <v>17</v>
      </c>
      <c r="I798" t="s">
        <v>1409</v>
      </c>
      <c r="J798" t="s">
        <v>1410</v>
      </c>
      <c r="K798" t="s">
        <v>1388</v>
      </c>
      <c r="L798" s="9">
        <f>WEEKDAY(Table1_2[[#This Row],[Transaction date]])</f>
        <v>5</v>
      </c>
    </row>
    <row r="799" spans="1:12" x14ac:dyDescent="0.3">
      <c r="A799" t="str">
        <f t="shared" si="12"/>
        <v>11-Jan 2009</v>
      </c>
      <c r="B799" s="10">
        <v>39824</v>
      </c>
      <c r="C799">
        <v>2009</v>
      </c>
      <c r="D799" s="11">
        <v>0.40972222222222221</v>
      </c>
      <c r="E799" t="s">
        <v>1738</v>
      </c>
      <c r="F799" t="s">
        <v>11</v>
      </c>
      <c r="G799">
        <v>1200</v>
      </c>
      <c r="H799" t="s">
        <v>12</v>
      </c>
      <c r="I799" t="s">
        <v>1411</v>
      </c>
      <c r="J799" t="s">
        <v>1412</v>
      </c>
      <c r="K799" t="s">
        <v>1388</v>
      </c>
      <c r="L799" s="9">
        <f>WEEKDAY(Table1_2[[#This Row],[Transaction date]])</f>
        <v>1</v>
      </c>
    </row>
    <row r="800" spans="1:12" x14ac:dyDescent="0.3">
      <c r="A800" t="str">
        <f t="shared" si="12"/>
        <v>08-Jan 2009</v>
      </c>
      <c r="B800" s="10">
        <v>39821</v>
      </c>
      <c r="C800">
        <v>2009</v>
      </c>
      <c r="D800" s="11">
        <v>0.27013888888888887</v>
      </c>
      <c r="E800" t="s">
        <v>1738</v>
      </c>
      <c r="F800" t="s">
        <v>11</v>
      </c>
      <c r="G800">
        <v>1200</v>
      </c>
      <c r="H800" t="s">
        <v>12</v>
      </c>
      <c r="I800" t="s">
        <v>1414</v>
      </c>
      <c r="J800" t="s">
        <v>1415</v>
      </c>
      <c r="K800" t="s">
        <v>1388</v>
      </c>
      <c r="L800" s="9">
        <f>WEEKDAY(Table1_2[[#This Row],[Transaction date]])</f>
        <v>5</v>
      </c>
    </row>
    <row r="801" spans="1:12" x14ac:dyDescent="0.3">
      <c r="A801" t="str">
        <f t="shared" si="12"/>
        <v>18-Jan 2009</v>
      </c>
      <c r="B801" s="10">
        <v>39831</v>
      </c>
      <c r="C801">
        <v>2009</v>
      </c>
      <c r="D801" s="11">
        <v>0.52847222222222223</v>
      </c>
      <c r="E801" t="s">
        <v>1739</v>
      </c>
      <c r="F801" t="s">
        <v>21</v>
      </c>
      <c r="G801">
        <v>100000</v>
      </c>
      <c r="H801" t="s">
        <v>12</v>
      </c>
      <c r="I801" t="s">
        <v>1416</v>
      </c>
      <c r="J801" t="s">
        <v>1417</v>
      </c>
      <c r="K801" t="s">
        <v>1388</v>
      </c>
      <c r="L801" s="9">
        <f>WEEKDAY(Table1_2[[#This Row],[Transaction date]])</f>
        <v>1</v>
      </c>
    </row>
    <row r="802" spans="1:12" x14ac:dyDescent="0.3">
      <c r="A802" t="str">
        <f t="shared" si="12"/>
        <v>16-Jan 2009</v>
      </c>
      <c r="B802" s="10">
        <v>39829</v>
      </c>
      <c r="C802">
        <v>2009</v>
      </c>
      <c r="D802" s="11">
        <v>0.25277777777777777</v>
      </c>
      <c r="E802" t="s">
        <v>1738</v>
      </c>
      <c r="F802" t="s">
        <v>11</v>
      </c>
      <c r="G802">
        <v>1200</v>
      </c>
      <c r="H802" t="s">
        <v>17</v>
      </c>
      <c r="I802" t="s">
        <v>133</v>
      </c>
      <c r="J802" t="s">
        <v>1418</v>
      </c>
      <c r="K802" t="s">
        <v>1388</v>
      </c>
      <c r="L802" s="9">
        <f>WEEKDAY(Table1_2[[#This Row],[Transaction date]])</f>
        <v>6</v>
      </c>
    </row>
    <row r="803" spans="1:12" x14ac:dyDescent="0.3">
      <c r="A803" t="str">
        <f t="shared" si="12"/>
        <v>10-Jan 2009</v>
      </c>
      <c r="B803" s="10">
        <v>39823</v>
      </c>
      <c r="C803">
        <v>2009</v>
      </c>
      <c r="D803" s="11">
        <v>0.49513888888888891</v>
      </c>
      <c r="E803" t="s">
        <v>1738</v>
      </c>
      <c r="F803" t="s">
        <v>11</v>
      </c>
      <c r="G803">
        <v>1200</v>
      </c>
      <c r="H803" t="s">
        <v>12</v>
      </c>
      <c r="I803" t="s">
        <v>32</v>
      </c>
      <c r="J803" t="s">
        <v>1420</v>
      </c>
      <c r="K803" t="s">
        <v>1388</v>
      </c>
      <c r="L803" s="9">
        <f>WEEKDAY(Table1_2[[#This Row],[Transaction date]])</f>
        <v>7</v>
      </c>
    </row>
    <row r="804" spans="1:12" x14ac:dyDescent="0.3">
      <c r="A804" t="str">
        <f t="shared" si="12"/>
        <v>16-Jan 2009</v>
      </c>
      <c r="B804" s="10">
        <v>39829</v>
      </c>
      <c r="C804">
        <v>2009</v>
      </c>
      <c r="D804" s="11">
        <v>0.31597222222222221</v>
      </c>
      <c r="E804" t="s">
        <v>1738</v>
      </c>
      <c r="F804" t="s">
        <v>11</v>
      </c>
      <c r="G804">
        <v>1200</v>
      </c>
      <c r="H804" t="s">
        <v>65</v>
      </c>
      <c r="I804" t="s">
        <v>1421</v>
      </c>
      <c r="J804" t="s">
        <v>1422</v>
      </c>
      <c r="K804" t="s">
        <v>1388</v>
      </c>
      <c r="L804" s="9">
        <f>WEEKDAY(Table1_2[[#This Row],[Transaction date]])</f>
        <v>6</v>
      </c>
    </row>
    <row r="805" spans="1:12" x14ac:dyDescent="0.3">
      <c r="A805" t="str">
        <f t="shared" si="12"/>
        <v>29-Jan 2009</v>
      </c>
      <c r="B805" s="10">
        <v>39842</v>
      </c>
      <c r="C805">
        <v>2009</v>
      </c>
      <c r="D805" s="11">
        <v>0.31944444444444442</v>
      </c>
      <c r="E805" t="s">
        <v>1738</v>
      </c>
      <c r="F805" t="s">
        <v>11</v>
      </c>
      <c r="G805">
        <v>1200</v>
      </c>
      <c r="H805" t="s">
        <v>65</v>
      </c>
      <c r="I805" t="s">
        <v>1423</v>
      </c>
      <c r="J805" t="s">
        <v>1424</v>
      </c>
      <c r="K805" t="s">
        <v>1388</v>
      </c>
      <c r="L805" s="9">
        <f>WEEKDAY(Table1_2[[#This Row],[Transaction date]])</f>
        <v>5</v>
      </c>
    </row>
    <row r="806" spans="1:12" x14ac:dyDescent="0.3">
      <c r="A806" t="str">
        <f t="shared" si="12"/>
        <v>19-Jan 2009</v>
      </c>
      <c r="B806" s="10">
        <v>39832</v>
      </c>
      <c r="C806">
        <v>2009</v>
      </c>
      <c r="D806" s="11">
        <v>0.52638888888888891</v>
      </c>
      <c r="E806" t="s">
        <v>1739</v>
      </c>
      <c r="F806" t="s">
        <v>11</v>
      </c>
      <c r="G806">
        <v>1200</v>
      </c>
      <c r="H806" t="s">
        <v>12</v>
      </c>
      <c r="I806" t="s">
        <v>1425</v>
      </c>
      <c r="J806" t="s">
        <v>1401</v>
      </c>
      <c r="K806" t="s">
        <v>1388</v>
      </c>
      <c r="L806" s="9">
        <f>WEEKDAY(Table1_2[[#This Row],[Transaction date]])</f>
        <v>2</v>
      </c>
    </row>
    <row r="807" spans="1:12" x14ac:dyDescent="0.3">
      <c r="A807" t="str">
        <f t="shared" si="12"/>
        <v>07-Jan 2009</v>
      </c>
      <c r="B807" s="10">
        <v>39820</v>
      </c>
      <c r="C807">
        <v>2009</v>
      </c>
      <c r="D807" s="11">
        <v>6.805555555555555E-2</v>
      </c>
      <c r="E807" t="s">
        <v>1738</v>
      </c>
      <c r="F807" t="s">
        <v>11</v>
      </c>
      <c r="G807">
        <v>1200</v>
      </c>
      <c r="H807" t="s">
        <v>17</v>
      </c>
      <c r="I807" t="s">
        <v>713</v>
      </c>
      <c r="J807" t="s">
        <v>1422</v>
      </c>
      <c r="K807" t="s">
        <v>1388</v>
      </c>
      <c r="L807" s="9">
        <f>WEEKDAY(Table1_2[[#This Row],[Transaction date]])</f>
        <v>4</v>
      </c>
    </row>
    <row r="808" spans="1:12" x14ac:dyDescent="0.3">
      <c r="A808" t="str">
        <f t="shared" si="12"/>
        <v>13-Jan 2009</v>
      </c>
      <c r="B808" s="10">
        <v>39826</v>
      </c>
      <c r="C808">
        <v>2009</v>
      </c>
      <c r="D808" s="11">
        <v>7.9861111111111105E-2</v>
      </c>
      <c r="E808" t="s">
        <v>1738</v>
      </c>
      <c r="F808" t="s">
        <v>11</v>
      </c>
      <c r="G808">
        <v>1200</v>
      </c>
      <c r="H808" t="s">
        <v>17</v>
      </c>
      <c r="I808" t="s">
        <v>1426</v>
      </c>
      <c r="J808" t="s">
        <v>1427</v>
      </c>
      <c r="K808" t="s">
        <v>1388</v>
      </c>
      <c r="L808" s="9">
        <f>WEEKDAY(Table1_2[[#This Row],[Transaction date]])</f>
        <v>3</v>
      </c>
    </row>
    <row r="809" spans="1:12" x14ac:dyDescent="0.3">
      <c r="A809" t="str">
        <f t="shared" si="12"/>
        <v>28-Jan 2009</v>
      </c>
      <c r="B809" s="10">
        <v>39841</v>
      </c>
      <c r="C809">
        <v>2009</v>
      </c>
      <c r="D809" s="11">
        <v>0.48333333333333334</v>
      </c>
      <c r="E809" t="s">
        <v>1738</v>
      </c>
      <c r="F809" t="s">
        <v>11</v>
      </c>
      <c r="G809">
        <v>1200</v>
      </c>
      <c r="H809" t="s">
        <v>65</v>
      </c>
      <c r="I809" t="s">
        <v>1429</v>
      </c>
      <c r="J809" t="s">
        <v>1430</v>
      </c>
      <c r="K809" t="s">
        <v>1388</v>
      </c>
      <c r="L809" s="9">
        <f>WEEKDAY(Table1_2[[#This Row],[Transaction date]])</f>
        <v>4</v>
      </c>
    </row>
    <row r="810" spans="1:12" x14ac:dyDescent="0.3">
      <c r="A810" t="str">
        <f t="shared" si="12"/>
        <v>10-Jan 2009</v>
      </c>
      <c r="B810" s="10">
        <v>39823</v>
      </c>
      <c r="C810">
        <v>2009</v>
      </c>
      <c r="D810" s="11">
        <v>0.15486111111111112</v>
      </c>
      <c r="E810" t="s">
        <v>1738</v>
      </c>
      <c r="F810" t="s">
        <v>11</v>
      </c>
      <c r="G810">
        <v>1200</v>
      </c>
      <c r="H810" t="s">
        <v>12</v>
      </c>
      <c r="I810" t="s">
        <v>1431</v>
      </c>
      <c r="J810" t="s">
        <v>1422</v>
      </c>
      <c r="K810" t="s">
        <v>1388</v>
      </c>
      <c r="L810" s="9">
        <f>WEEKDAY(Table1_2[[#This Row],[Transaction date]])</f>
        <v>7</v>
      </c>
    </row>
    <row r="811" spans="1:12" x14ac:dyDescent="0.3">
      <c r="A811" t="str">
        <f t="shared" si="12"/>
        <v>04-Jan 2009</v>
      </c>
      <c r="B811" s="10">
        <v>39817</v>
      </c>
      <c r="C811">
        <v>2009</v>
      </c>
      <c r="D811" s="11">
        <v>9.0972222222222218E-2</v>
      </c>
      <c r="E811" t="s">
        <v>1738</v>
      </c>
      <c r="F811" t="s">
        <v>11</v>
      </c>
      <c r="G811">
        <v>1200</v>
      </c>
      <c r="H811" t="s">
        <v>12</v>
      </c>
      <c r="I811" t="s">
        <v>1432</v>
      </c>
      <c r="J811" t="s">
        <v>1433</v>
      </c>
      <c r="K811" t="s">
        <v>1435</v>
      </c>
      <c r="L811" s="9">
        <f>WEEKDAY(Table1_2[[#This Row],[Transaction date]])</f>
        <v>1</v>
      </c>
    </row>
    <row r="812" spans="1:12" x14ac:dyDescent="0.3">
      <c r="A812" t="str">
        <f t="shared" si="12"/>
        <v>15-Jan 2009</v>
      </c>
      <c r="B812" s="10">
        <v>39828</v>
      </c>
      <c r="C812">
        <v>2009</v>
      </c>
      <c r="D812" s="11">
        <v>0.15486111111111112</v>
      </c>
      <c r="E812" t="s">
        <v>1738</v>
      </c>
      <c r="F812" t="s">
        <v>11</v>
      </c>
      <c r="G812">
        <v>1200</v>
      </c>
      <c r="H812" t="s">
        <v>12</v>
      </c>
      <c r="I812" t="s">
        <v>541</v>
      </c>
      <c r="J812" t="s">
        <v>1436</v>
      </c>
      <c r="K812" t="s">
        <v>1435</v>
      </c>
      <c r="L812" s="9">
        <f>WEEKDAY(Table1_2[[#This Row],[Transaction date]])</f>
        <v>5</v>
      </c>
    </row>
    <row r="813" spans="1:12" x14ac:dyDescent="0.3">
      <c r="A813" t="str">
        <f t="shared" si="12"/>
        <v>07-Jan 2009</v>
      </c>
      <c r="B813" s="10">
        <v>39820</v>
      </c>
      <c r="C813">
        <v>2009</v>
      </c>
      <c r="D813" s="11">
        <v>0.25763888888888886</v>
      </c>
      <c r="E813" t="s">
        <v>1738</v>
      </c>
      <c r="F813" t="s">
        <v>21</v>
      </c>
      <c r="G813">
        <v>100000</v>
      </c>
      <c r="H813" t="s">
        <v>12</v>
      </c>
      <c r="I813" t="s">
        <v>1438</v>
      </c>
      <c r="J813" t="s">
        <v>1439</v>
      </c>
      <c r="K813" t="s">
        <v>1435</v>
      </c>
      <c r="L813" s="9">
        <f>WEEKDAY(Table1_2[[#This Row],[Transaction date]])</f>
        <v>4</v>
      </c>
    </row>
    <row r="814" spans="1:12" x14ac:dyDescent="0.3">
      <c r="A814" t="str">
        <f t="shared" si="12"/>
        <v>05-Jan 2009</v>
      </c>
      <c r="B814" s="10">
        <v>39818</v>
      </c>
      <c r="C814">
        <v>2009</v>
      </c>
      <c r="D814" s="11">
        <v>0.12291666666666666</v>
      </c>
      <c r="E814" t="s">
        <v>1738</v>
      </c>
      <c r="F814" t="s">
        <v>64</v>
      </c>
      <c r="G814">
        <v>100000</v>
      </c>
      <c r="H814" t="s">
        <v>12</v>
      </c>
      <c r="I814" t="s">
        <v>1061</v>
      </c>
      <c r="J814" t="s">
        <v>1440</v>
      </c>
      <c r="K814" t="s">
        <v>1435</v>
      </c>
      <c r="L814" s="9">
        <f>WEEKDAY(Table1_2[[#This Row],[Transaction date]])</f>
        <v>2</v>
      </c>
    </row>
    <row r="815" spans="1:12" x14ac:dyDescent="0.3">
      <c r="A815" t="str">
        <f t="shared" si="12"/>
        <v>15-Jan 2009</v>
      </c>
      <c r="B815" s="10">
        <v>39828</v>
      </c>
      <c r="C815">
        <v>2009</v>
      </c>
      <c r="D815" s="11">
        <v>7.013888888888889E-2</v>
      </c>
      <c r="E815" t="s">
        <v>1738</v>
      </c>
      <c r="F815" t="s">
        <v>11</v>
      </c>
      <c r="G815">
        <v>1200</v>
      </c>
      <c r="H815" t="s">
        <v>65</v>
      </c>
      <c r="I815" t="s">
        <v>593</v>
      </c>
      <c r="J815" t="s">
        <v>1441</v>
      </c>
      <c r="K815" t="s">
        <v>1435</v>
      </c>
      <c r="L815" s="9">
        <f>WEEKDAY(Table1_2[[#This Row],[Transaction date]])</f>
        <v>5</v>
      </c>
    </row>
    <row r="816" spans="1:12" x14ac:dyDescent="0.3">
      <c r="A816" t="str">
        <f t="shared" si="12"/>
        <v>16-Jan 2009</v>
      </c>
      <c r="B816" s="10">
        <v>39829</v>
      </c>
      <c r="C816">
        <v>2009</v>
      </c>
      <c r="D816" s="11">
        <v>0.21319444444444444</v>
      </c>
      <c r="E816" t="s">
        <v>1738</v>
      </c>
      <c r="F816" t="s">
        <v>11</v>
      </c>
      <c r="G816">
        <v>1200</v>
      </c>
      <c r="H816" t="s">
        <v>65</v>
      </c>
      <c r="I816" t="s">
        <v>51</v>
      </c>
      <c r="J816" t="s">
        <v>1443</v>
      </c>
      <c r="K816" t="s">
        <v>1435</v>
      </c>
      <c r="L816" s="9">
        <f>WEEKDAY(Table1_2[[#This Row],[Transaction date]])</f>
        <v>6</v>
      </c>
    </row>
    <row r="817" spans="1:12" x14ac:dyDescent="0.3">
      <c r="A817" t="str">
        <f t="shared" si="12"/>
        <v>26-Jan 2009</v>
      </c>
      <c r="B817" s="10">
        <v>39839</v>
      </c>
      <c r="C817">
        <v>2009</v>
      </c>
      <c r="D817" s="11">
        <v>0.15902777777777777</v>
      </c>
      <c r="E817" t="s">
        <v>1738</v>
      </c>
      <c r="F817" t="s">
        <v>21</v>
      </c>
      <c r="G817">
        <v>100000</v>
      </c>
      <c r="H817" t="s">
        <v>17</v>
      </c>
      <c r="I817" t="s">
        <v>1445</v>
      </c>
      <c r="J817" t="s">
        <v>1446</v>
      </c>
      <c r="K817" t="s">
        <v>1435</v>
      </c>
      <c r="L817" s="9">
        <f>WEEKDAY(Table1_2[[#This Row],[Transaction date]])</f>
        <v>2</v>
      </c>
    </row>
    <row r="818" spans="1:12" x14ac:dyDescent="0.3">
      <c r="A818" t="str">
        <f t="shared" si="12"/>
        <v>09-Jan 2009</v>
      </c>
      <c r="B818" s="10">
        <v>39822</v>
      </c>
      <c r="C818">
        <v>2009</v>
      </c>
      <c r="D818" s="11">
        <v>0.10069444444444445</v>
      </c>
      <c r="E818" t="s">
        <v>1738</v>
      </c>
      <c r="F818" t="s">
        <v>11</v>
      </c>
      <c r="G818">
        <v>1200</v>
      </c>
      <c r="H818" t="s">
        <v>65</v>
      </c>
      <c r="I818" t="s">
        <v>1447</v>
      </c>
      <c r="J818" t="s">
        <v>1448</v>
      </c>
      <c r="K818" t="s">
        <v>1435</v>
      </c>
      <c r="L818" s="9">
        <f>WEEKDAY(Table1_2[[#This Row],[Transaction date]])</f>
        <v>6</v>
      </c>
    </row>
    <row r="819" spans="1:12" x14ac:dyDescent="0.3">
      <c r="A819" t="str">
        <f t="shared" si="12"/>
        <v>09-Jan 2009</v>
      </c>
      <c r="B819" s="10">
        <v>39822</v>
      </c>
      <c r="C819">
        <v>2009</v>
      </c>
      <c r="D819" s="11">
        <v>0.05</v>
      </c>
      <c r="E819" t="s">
        <v>1738</v>
      </c>
      <c r="F819" t="s">
        <v>11</v>
      </c>
      <c r="G819">
        <v>1200</v>
      </c>
      <c r="H819" t="s">
        <v>12</v>
      </c>
      <c r="I819" t="s">
        <v>1449</v>
      </c>
      <c r="J819" t="s">
        <v>1450</v>
      </c>
      <c r="K819" t="s">
        <v>1435</v>
      </c>
      <c r="L819" s="9">
        <f>WEEKDAY(Table1_2[[#This Row],[Transaction date]])</f>
        <v>6</v>
      </c>
    </row>
    <row r="820" spans="1:12" x14ac:dyDescent="0.3">
      <c r="A820" t="str">
        <f t="shared" si="12"/>
        <v>05-Jan 2009</v>
      </c>
      <c r="B820" s="10">
        <v>39818</v>
      </c>
      <c r="C820">
        <v>2009</v>
      </c>
      <c r="D820" s="11">
        <v>0.25972222222222224</v>
      </c>
      <c r="E820" t="s">
        <v>1738</v>
      </c>
      <c r="F820" t="s">
        <v>11</v>
      </c>
      <c r="G820">
        <v>1200</v>
      </c>
      <c r="H820" t="s">
        <v>17</v>
      </c>
      <c r="I820" t="s">
        <v>397</v>
      </c>
      <c r="J820" t="s">
        <v>1451</v>
      </c>
      <c r="K820" t="s">
        <v>1435</v>
      </c>
      <c r="L820" s="9">
        <f>WEEKDAY(Table1_2[[#This Row],[Transaction date]])</f>
        <v>2</v>
      </c>
    </row>
    <row r="821" spans="1:12" x14ac:dyDescent="0.3">
      <c r="A821" t="str">
        <f t="shared" si="12"/>
        <v>16-Jan 2009</v>
      </c>
      <c r="B821" s="10">
        <v>39829</v>
      </c>
      <c r="C821">
        <v>2009</v>
      </c>
      <c r="D821" s="11">
        <v>0.30555555555555558</v>
      </c>
      <c r="E821" t="s">
        <v>1738</v>
      </c>
      <c r="F821" t="s">
        <v>21</v>
      </c>
      <c r="G821">
        <v>100000</v>
      </c>
      <c r="H821" t="s">
        <v>17</v>
      </c>
      <c r="I821" t="s">
        <v>1453</v>
      </c>
      <c r="J821" t="s">
        <v>1454</v>
      </c>
      <c r="K821" t="s">
        <v>1435</v>
      </c>
      <c r="L821" s="9">
        <f>WEEKDAY(Table1_2[[#This Row],[Transaction date]])</f>
        <v>6</v>
      </c>
    </row>
    <row r="822" spans="1:12" x14ac:dyDescent="0.3">
      <c r="A822" t="str">
        <f t="shared" si="12"/>
        <v>13-Jan 2009</v>
      </c>
      <c r="B822" s="10">
        <v>39826</v>
      </c>
      <c r="C822">
        <v>2009</v>
      </c>
      <c r="D822" s="11">
        <v>0.13819444444444445</v>
      </c>
      <c r="E822" t="s">
        <v>1738</v>
      </c>
      <c r="F822" t="s">
        <v>21</v>
      </c>
      <c r="G822">
        <v>100000</v>
      </c>
      <c r="H822" t="s">
        <v>12</v>
      </c>
      <c r="I822" t="s">
        <v>641</v>
      </c>
      <c r="J822" t="s">
        <v>1439</v>
      </c>
      <c r="K822" t="s">
        <v>1435</v>
      </c>
      <c r="L822" s="9">
        <f>WEEKDAY(Table1_2[[#This Row],[Transaction date]])</f>
        <v>3</v>
      </c>
    </row>
    <row r="823" spans="1:12" x14ac:dyDescent="0.3">
      <c r="A823" t="str">
        <f t="shared" si="12"/>
        <v>28-Jan 2009</v>
      </c>
      <c r="B823" s="10">
        <v>39841</v>
      </c>
      <c r="C823">
        <v>2009</v>
      </c>
      <c r="D823" s="11">
        <v>6.1111111111111109E-2</v>
      </c>
      <c r="E823" t="s">
        <v>1738</v>
      </c>
      <c r="F823" t="s">
        <v>11</v>
      </c>
      <c r="G823">
        <v>1200</v>
      </c>
      <c r="H823" t="s">
        <v>65</v>
      </c>
      <c r="I823" t="s">
        <v>1455</v>
      </c>
      <c r="J823" t="s">
        <v>1456</v>
      </c>
      <c r="K823" t="s">
        <v>1435</v>
      </c>
      <c r="L823" s="9">
        <f>WEEKDAY(Table1_2[[#This Row],[Transaction date]])</f>
        <v>4</v>
      </c>
    </row>
    <row r="824" spans="1:12" x14ac:dyDescent="0.3">
      <c r="A824" t="str">
        <f t="shared" si="12"/>
        <v>22-Jan 2009</v>
      </c>
      <c r="B824" s="10">
        <v>39835</v>
      </c>
      <c r="C824">
        <v>2009</v>
      </c>
      <c r="D824" s="11">
        <v>0.53819444444444442</v>
      </c>
      <c r="E824" t="s">
        <v>1739</v>
      </c>
      <c r="F824" t="s">
        <v>11</v>
      </c>
      <c r="G824">
        <v>1200</v>
      </c>
      <c r="H824" t="s">
        <v>12</v>
      </c>
      <c r="I824" t="s">
        <v>176</v>
      </c>
      <c r="J824" t="s">
        <v>1439</v>
      </c>
      <c r="K824" t="s">
        <v>1435</v>
      </c>
      <c r="L824" s="9">
        <f>WEEKDAY(Table1_2[[#This Row],[Transaction date]])</f>
        <v>5</v>
      </c>
    </row>
    <row r="825" spans="1:12" x14ac:dyDescent="0.3">
      <c r="A825" t="str">
        <f t="shared" si="12"/>
        <v>27-Jan 2009</v>
      </c>
      <c r="B825" s="10">
        <v>39840</v>
      </c>
      <c r="C825">
        <v>2009</v>
      </c>
      <c r="D825" s="11">
        <v>0.1076388888888889</v>
      </c>
      <c r="E825" t="s">
        <v>1738</v>
      </c>
      <c r="F825" t="s">
        <v>11</v>
      </c>
      <c r="G825">
        <v>1200</v>
      </c>
      <c r="H825" t="s">
        <v>12</v>
      </c>
      <c r="I825" t="s">
        <v>420</v>
      </c>
      <c r="J825" t="s">
        <v>1458</v>
      </c>
      <c r="K825" t="s">
        <v>1435</v>
      </c>
      <c r="L825" s="9">
        <f>WEEKDAY(Table1_2[[#This Row],[Transaction date]])</f>
        <v>3</v>
      </c>
    </row>
    <row r="826" spans="1:12" x14ac:dyDescent="0.3">
      <c r="A826" t="str">
        <f t="shared" si="12"/>
        <v>14-Jan 2009</v>
      </c>
      <c r="B826" s="10">
        <v>39827</v>
      </c>
      <c r="C826">
        <v>2009</v>
      </c>
      <c r="D826" s="11">
        <v>0.51041666666666663</v>
      </c>
      <c r="E826" t="s">
        <v>1739</v>
      </c>
      <c r="F826" t="s">
        <v>21</v>
      </c>
      <c r="G826">
        <v>100000</v>
      </c>
      <c r="H826" t="s">
        <v>12</v>
      </c>
      <c r="I826" t="s">
        <v>601</v>
      </c>
      <c r="J826" t="s">
        <v>1439</v>
      </c>
      <c r="K826" t="s">
        <v>1435</v>
      </c>
      <c r="L826" s="9">
        <f>WEEKDAY(Table1_2[[#This Row],[Transaction date]])</f>
        <v>4</v>
      </c>
    </row>
    <row r="827" spans="1:12" x14ac:dyDescent="0.3">
      <c r="A827" t="str">
        <f t="shared" si="12"/>
        <v>22-Jan 2009</v>
      </c>
      <c r="B827" s="10">
        <v>39835</v>
      </c>
      <c r="C827">
        <v>2009</v>
      </c>
      <c r="D827" s="11">
        <v>0.31597222222222221</v>
      </c>
      <c r="E827" t="s">
        <v>1738</v>
      </c>
      <c r="F827" t="s">
        <v>11</v>
      </c>
      <c r="G827">
        <v>1200</v>
      </c>
      <c r="H827" t="s">
        <v>12</v>
      </c>
      <c r="I827" t="s">
        <v>434</v>
      </c>
      <c r="J827" t="s">
        <v>1459</v>
      </c>
      <c r="K827" t="s">
        <v>1435</v>
      </c>
      <c r="L827" s="9">
        <f>WEEKDAY(Table1_2[[#This Row],[Transaction date]])</f>
        <v>5</v>
      </c>
    </row>
    <row r="828" spans="1:12" x14ac:dyDescent="0.3">
      <c r="A828" t="str">
        <f t="shared" si="12"/>
        <v>29-Jan 2009</v>
      </c>
      <c r="B828" s="10">
        <v>39842</v>
      </c>
      <c r="C828">
        <v>2009</v>
      </c>
      <c r="D828" s="11">
        <v>0.17152777777777778</v>
      </c>
      <c r="E828" t="s">
        <v>1738</v>
      </c>
      <c r="F828" t="s">
        <v>11</v>
      </c>
      <c r="G828">
        <v>1200</v>
      </c>
      <c r="H828" t="s">
        <v>65</v>
      </c>
      <c r="I828" t="s">
        <v>455</v>
      </c>
      <c r="J828" t="s">
        <v>1439</v>
      </c>
      <c r="K828" t="s">
        <v>1435</v>
      </c>
      <c r="L828" s="9">
        <f>WEEKDAY(Table1_2[[#This Row],[Transaction date]])</f>
        <v>5</v>
      </c>
    </row>
    <row r="829" spans="1:12" x14ac:dyDescent="0.3">
      <c r="A829" t="str">
        <f t="shared" si="12"/>
        <v>12-Jan 2009</v>
      </c>
      <c r="B829" s="10">
        <v>39825</v>
      </c>
      <c r="C829">
        <v>2009</v>
      </c>
      <c r="D829" s="11">
        <v>0.10902777777777778</v>
      </c>
      <c r="E829" t="s">
        <v>1738</v>
      </c>
      <c r="F829" t="s">
        <v>11</v>
      </c>
      <c r="G829">
        <v>100000</v>
      </c>
      <c r="H829" t="s">
        <v>17</v>
      </c>
      <c r="I829" t="s">
        <v>1460</v>
      </c>
      <c r="J829" t="s">
        <v>1461</v>
      </c>
      <c r="K829" t="s">
        <v>1435</v>
      </c>
      <c r="L829" s="9">
        <f>WEEKDAY(Table1_2[[#This Row],[Transaction date]])</f>
        <v>2</v>
      </c>
    </row>
    <row r="830" spans="1:12" x14ac:dyDescent="0.3">
      <c r="A830" t="str">
        <f t="shared" si="12"/>
        <v>05-Jan 2009</v>
      </c>
      <c r="B830" s="10">
        <v>39818</v>
      </c>
      <c r="C830">
        <v>2009</v>
      </c>
      <c r="D830" s="11">
        <v>0.22916666666666666</v>
      </c>
      <c r="E830" t="s">
        <v>1738</v>
      </c>
      <c r="F830" t="s">
        <v>11</v>
      </c>
      <c r="G830">
        <v>100000</v>
      </c>
      <c r="H830" t="s">
        <v>12</v>
      </c>
      <c r="I830" t="s">
        <v>1462</v>
      </c>
      <c r="J830" t="s">
        <v>1439</v>
      </c>
      <c r="K830" t="s">
        <v>1435</v>
      </c>
      <c r="L830" s="9">
        <f>WEEKDAY(Table1_2[[#This Row],[Transaction date]])</f>
        <v>2</v>
      </c>
    </row>
    <row r="831" spans="1:12" x14ac:dyDescent="0.3">
      <c r="A831" t="str">
        <f t="shared" si="12"/>
        <v>26-Jan 2009</v>
      </c>
      <c r="B831" s="10">
        <v>39839</v>
      </c>
      <c r="C831">
        <v>2009</v>
      </c>
      <c r="D831" s="11">
        <v>0.19930555555555557</v>
      </c>
      <c r="E831" t="s">
        <v>1738</v>
      </c>
      <c r="F831" t="s">
        <v>11</v>
      </c>
      <c r="G831">
        <v>100000</v>
      </c>
      <c r="H831" t="s">
        <v>12</v>
      </c>
      <c r="I831" t="s">
        <v>1463</v>
      </c>
      <c r="J831" t="s">
        <v>1464</v>
      </c>
      <c r="K831" t="s">
        <v>1435</v>
      </c>
      <c r="L831" s="9">
        <f>WEEKDAY(Table1_2[[#This Row],[Transaction date]])</f>
        <v>2</v>
      </c>
    </row>
    <row r="832" spans="1:12" x14ac:dyDescent="0.3">
      <c r="A832" t="str">
        <f t="shared" si="12"/>
        <v>29-Jan 2009</v>
      </c>
      <c r="B832" s="10">
        <v>39842</v>
      </c>
      <c r="C832">
        <v>2009</v>
      </c>
      <c r="D832" s="11">
        <v>0.53680555555555554</v>
      </c>
      <c r="E832" t="s">
        <v>1739</v>
      </c>
      <c r="F832" t="s">
        <v>11</v>
      </c>
      <c r="G832">
        <v>100000</v>
      </c>
      <c r="H832" t="s">
        <v>12</v>
      </c>
      <c r="I832" t="s">
        <v>86</v>
      </c>
      <c r="J832" t="s">
        <v>1465</v>
      </c>
      <c r="K832" t="s">
        <v>1435</v>
      </c>
      <c r="L832" s="9">
        <f>WEEKDAY(Table1_2[[#This Row],[Transaction date]])</f>
        <v>5</v>
      </c>
    </row>
    <row r="833" spans="1:12" x14ac:dyDescent="0.3">
      <c r="A833" t="str">
        <f t="shared" si="12"/>
        <v>08-Jan 2009</v>
      </c>
      <c r="B833" s="10">
        <v>39821</v>
      </c>
      <c r="C833">
        <v>2009</v>
      </c>
      <c r="D833" s="11">
        <v>0.40486111111111112</v>
      </c>
      <c r="E833" t="s">
        <v>1738</v>
      </c>
      <c r="F833" t="s">
        <v>11</v>
      </c>
      <c r="G833">
        <v>100000</v>
      </c>
      <c r="H833" t="s">
        <v>12</v>
      </c>
      <c r="I833" t="s">
        <v>1466</v>
      </c>
      <c r="J833" t="s">
        <v>1467</v>
      </c>
      <c r="K833" t="s">
        <v>1435</v>
      </c>
      <c r="L833" s="9">
        <f>WEEKDAY(Table1_2[[#This Row],[Transaction date]])</f>
        <v>5</v>
      </c>
    </row>
    <row r="834" spans="1:12" x14ac:dyDescent="0.3">
      <c r="A834" t="str">
        <f t="shared" ref="A834:A897" si="13">TEXT(B834, "dd-mmm") &amp; " " &amp; C834</f>
        <v>02-Jan 2009</v>
      </c>
      <c r="B834" s="10">
        <v>39815</v>
      </c>
      <c r="C834">
        <v>2009</v>
      </c>
      <c r="D834" s="11">
        <v>6.5972222222222224E-2</v>
      </c>
      <c r="E834" t="s">
        <v>1738</v>
      </c>
      <c r="F834" t="s">
        <v>11</v>
      </c>
      <c r="G834">
        <v>100000</v>
      </c>
      <c r="H834" t="s">
        <v>12</v>
      </c>
      <c r="I834" t="s">
        <v>945</v>
      </c>
      <c r="J834" t="s">
        <v>1468</v>
      </c>
      <c r="K834" t="s">
        <v>1435</v>
      </c>
      <c r="L834" s="9">
        <f>WEEKDAY(Table1_2[[#This Row],[Transaction date]])</f>
        <v>6</v>
      </c>
    </row>
    <row r="835" spans="1:12" x14ac:dyDescent="0.3">
      <c r="A835" t="str">
        <f t="shared" si="13"/>
        <v>21-Jan 2009</v>
      </c>
      <c r="B835" s="10">
        <v>39834</v>
      </c>
      <c r="C835">
        <v>2009</v>
      </c>
      <c r="D835" s="11">
        <v>0.48680555555555555</v>
      </c>
      <c r="E835" t="s">
        <v>1738</v>
      </c>
      <c r="F835" t="s">
        <v>11</v>
      </c>
      <c r="G835">
        <v>100000</v>
      </c>
      <c r="H835" t="s">
        <v>12</v>
      </c>
      <c r="I835" t="s">
        <v>1469</v>
      </c>
      <c r="J835" t="s">
        <v>1470</v>
      </c>
      <c r="K835" t="s">
        <v>1435</v>
      </c>
      <c r="L835" s="9">
        <f>WEEKDAY(Table1_2[[#This Row],[Transaction date]])</f>
        <v>4</v>
      </c>
    </row>
    <row r="836" spans="1:12" x14ac:dyDescent="0.3">
      <c r="A836" t="str">
        <f t="shared" si="13"/>
        <v>19-Jan 2009</v>
      </c>
      <c r="B836" s="10">
        <v>39832</v>
      </c>
      <c r="C836">
        <v>2009</v>
      </c>
      <c r="D836" s="11">
        <v>0.18194444444444444</v>
      </c>
      <c r="E836" t="s">
        <v>1738</v>
      </c>
      <c r="F836" t="s">
        <v>11</v>
      </c>
      <c r="G836">
        <v>100000</v>
      </c>
      <c r="H836" t="s">
        <v>65</v>
      </c>
      <c r="I836" t="s">
        <v>1472</v>
      </c>
      <c r="J836" t="s">
        <v>1473</v>
      </c>
      <c r="K836" t="s">
        <v>1435</v>
      </c>
      <c r="L836" s="9">
        <f>WEEKDAY(Table1_2[[#This Row],[Transaction date]])</f>
        <v>2</v>
      </c>
    </row>
    <row r="837" spans="1:12" x14ac:dyDescent="0.3">
      <c r="A837" t="str">
        <f t="shared" si="13"/>
        <v>09-Jan 2009</v>
      </c>
      <c r="B837" s="10">
        <v>39822</v>
      </c>
      <c r="C837">
        <v>2009</v>
      </c>
      <c r="D837" s="11">
        <v>0.12708333333333333</v>
      </c>
      <c r="E837" t="s">
        <v>1738</v>
      </c>
      <c r="F837" t="s">
        <v>21</v>
      </c>
      <c r="G837">
        <v>100000</v>
      </c>
      <c r="H837" t="s">
        <v>65</v>
      </c>
      <c r="I837" t="s">
        <v>1475</v>
      </c>
      <c r="J837" t="s">
        <v>1459</v>
      </c>
      <c r="K837" t="s">
        <v>1435</v>
      </c>
      <c r="L837" s="9">
        <f>WEEKDAY(Table1_2[[#This Row],[Transaction date]])</f>
        <v>6</v>
      </c>
    </row>
    <row r="838" spans="1:12" x14ac:dyDescent="0.3">
      <c r="A838" t="str">
        <f t="shared" si="13"/>
        <v>02-Jan 2009</v>
      </c>
      <c r="B838" s="10">
        <v>39815</v>
      </c>
      <c r="C838">
        <v>2009</v>
      </c>
      <c r="D838" s="11">
        <v>4.9305555555555554E-2</v>
      </c>
      <c r="E838" t="s">
        <v>1738</v>
      </c>
      <c r="F838" t="s">
        <v>11</v>
      </c>
      <c r="G838">
        <v>1200</v>
      </c>
      <c r="H838" t="s">
        <v>17</v>
      </c>
      <c r="I838" t="s">
        <v>1476</v>
      </c>
      <c r="J838" t="s">
        <v>1477</v>
      </c>
      <c r="K838" t="s">
        <v>1479</v>
      </c>
      <c r="L838" s="9">
        <f>WEEKDAY(Table1_2[[#This Row],[Transaction date]])</f>
        <v>6</v>
      </c>
    </row>
    <row r="839" spans="1:12" x14ac:dyDescent="0.3">
      <c r="A839" t="str">
        <f t="shared" si="13"/>
        <v>26-Jan 2009</v>
      </c>
      <c r="B839" s="10">
        <v>39839</v>
      </c>
      <c r="C839">
        <v>2009</v>
      </c>
      <c r="D839" s="11">
        <v>0.47152777777777777</v>
      </c>
      <c r="E839" t="s">
        <v>1738</v>
      </c>
      <c r="F839" t="s">
        <v>11</v>
      </c>
      <c r="G839">
        <v>1200</v>
      </c>
      <c r="H839" t="s">
        <v>17</v>
      </c>
      <c r="I839" t="s">
        <v>1480</v>
      </c>
      <c r="J839" t="s">
        <v>1481</v>
      </c>
      <c r="K839" t="s">
        <v>1479</v>
      </c>
      <c r="L839" s="9">
        <f>WEEKDAY(Table1_2[[#This Row],[Transaction date]])</f>
        <v>2</v>
      </c>
    </row>
    <row r="840" spans="1:12" x14ac:dyDescent="0.3">
      <c r="A840" t="str">
        <f t="shared" si="13"/>
        <v>20-Jan 2009</v>
      </c>
      <c r="B840" s="10">
        <v>39833</v>
      </c>
      <c r="C840">
        <v>2009</v>
      </c>
      <c r="D840" s="11">
        <v>9.5138888888888884E-2</v>
      </c>
      <c r="E840" t="s">
        <v>1738</v>
      </c>
      <c r="F840" t="s">
        <v>11</v>
      </c>
      <c r="G840">
        <v>1200</v>
      </c>
      <c r="H840" t="s">
        <v>65</v>
      </c>
      <c r="I840" t="s">
        <v>420</v>
      </c>
      <c r="J840" t="s">
        <v>1483</v>
      </c>
      <c r="K840" t="s">
        <v>1485</v>
      </c>
      <c r="L840" s="9">
        <f>WEEKDAY(Table1_2[[#This Row],[Transaction date]])</f>
        <v>3</v>
      </c>
    </row>
    <row r="841" spans="1:12" x14ac:dyDescent="0.3">
      <c r="A841" t="str">
        <f t="shared" si="13"/>
        <v>03-Jan 2009</v>
      </c>
      <c r="B841" s="10">
        <v>39816</v>
      </c>
      <c r="C841">
        <v>2009</v>
      </c>
      <c r="D841" s="11">
        <v>5.8333333333333334E-2</v>
      </c>
      <c r="E841" t="s">
        <v>1738</v>
      </c>
      <c r="F841" t="s">
        <v>11</v>
      </c>
      <c r="G841">
        <v>110000</v>
      </c>
      <c r="H841" t="s">
        <v>12</v>
      </c>
      <c r="I841" t="s">
        <v>1486</v>
      </c>
      <c r="J841" t="s">
        <v>1487</v>
      </c>
      <c r="K841" t="s">
        <v>1489</v>
      </c>
      <c r="L841" s="9">
        <f>WEEKDAY(Table1_2[[#This Row],[Transaction date]])</f>
        <v>7</v>
      </c>
    </row>
    <row r="842" spans="1:12" x14ac:dyDescent="0.3">
      <c r="A842" t="str">
        <f t="shared" si="13"/>
        <v>03-Jan 2009</v>
      </c>
      <c r="B842" s="10">
        <v>39816</v>
      </c>
      <c r="C842">
        <v>2009</v>
      </c>
      <c r="D842" s="11">
        <v>4.9305555555555554E-2</v>
      </c>
      <c r="E842" t="s">
        <v>1738</v>
      </c>
      <c r="F842" t="s">
        <v>11</v>
      </c>
      <c r="G842">
        <v>110000</v>
      </c>
      <c r="H842" t="s">
        <v>17</v>
      </c>
      <c r="I842" t="s">
        <v>1490</v>
      </c>
      <c r="J842" t="s">
        <v>1491</v>
      </c>
      <c r="K842" t="s">
        <v>1489</v>
      </c>
      <c r="L842" s="9">
        <f>WEEKDAY(Table1_2[[#This Row],[Transaction date]])</f>
        <v>7</v>
      </c>
    </row>
    <row r="843" spans="1:12" x14ac:dyDescent="0.3">
      <c r="A843" t="str">
        <f t="shared" si="13"/>
        <v>02-Jan 2009</v>
      </c>
      <c r="B843" s="10">
        <v>39815</v>
      </c>
      <c r="C843">
        <v>2009</v>
      </c>
      <c r="D843" s="11">
        <v>0.51249999999999996</v>
      </c>
      <c r="E843" t="s">
        <v>1739</v>
      </c>
      <c r="F843" t="s">
        <v>11</v>
      </c>
      <c r="G843">
        <v>110000</v>
      </c>
      <c r="H843" t="s">
        <v>12</v>
      </c>
      <c r="I843" t="s">
        <v>1492</v>
      </c>
      <c r="J843" t="s">
        <v>1493</v>
      </c>
      <c r="K843" t="s">
        <v>1489</v>
      </c>
      <c r="L843" s="9">
        <f>WEEKDAY(Table1_2[[#This Row],[Transaction date]])</f>
        <v>6</v>
      </c>
    </row>
    <row r="844" spans="1:12" x14ac:dyDescent="0.3">
      <c r="A844" t="str">
        <f t="shared" si="13"/>
        <v>01-Jan 2009</v>
      </c>
      <c r="B844" s="10">
        <v>39814</v>
      </c>
      <c r="C844">
        <v>2009</v>
      </c>
      <c r="D844" s="11">
        <v>7.7083333333333337E-2</v>
      </c>
      <c r="E844" t="s">
        <v>1738</v>
      </c>
      <c r="F844" t="s">
        <v>11</v>
      </c>
      <c r="G844">
        <v>110000</v>
      </c>
      <c r="H844" t="s">
        <v>17</v>
      </c>
      <c r="I844" t="s">
        <v>1495</v>
      </c>
      <c r="J844" t="s">
        <v>1496</v>
      </c>
      <c r="K844" t="s">
        <v>1489</v>
      </c>
      <c r="L844" s="9">
        <f>WEEKDAY(Table1_2[[#This Row],[Transaction date]])</f>
        <v>5</v>
      </c>
    </row>
    <row r="845" spans="1:12" x14ac:dyDescent="0.3">
      <c r="A845" t="str">
        <f t="shared" si="13"/>
        <v>03-Jan 2009</v>
      </c>
      <c r="B845" s="10">
        <v>39816</v>
      </c>
      <c r="C845">
        <v>2009</v>
      </c>
      <c r="D845" s="11">
        <v>0.33194444444444443</v>
      </c>
      <c r="E845" t="s">
        <v>1738</v>
      </c>
      <c r="F845" t="s">
        <v>11</v>
      </c>
      <c r="G845">
        <v>110000</v>
      </c>
      <c r="H845" t="s">
        <v>17</v>
      </c>
      <c r="I845" t="s">
        <v>1497</v>
      </c>
      <c r="J845" t="s">
        <v>1498</v>
      </c>
      <c r="K845" t="s">
        <v>1489</v>
      </c>
      <c r="L845" s="9">
        <f>WEEKDAY(Table1_2[[#This Row],[Transaction date]])</f>
        <v>7</v>
      </c>
    </row>
    <row r="846" spans="1:12" x14ac:dyDescent="0.3">
      <c r="A846" t="str">
        <f t="shared" si="13"/>
        <v>05-Jan 2009</v>
      </c>
      <c r="B846" s="10">
        <v>39818</v>
      </c>
      <c r="C846">
        <v>2009</v>
      </c>
      <c r="D846" s="11">
        <v>0.51944444444444449</v>
      </c>
      <c r="E846" t="s">
        <v>1739</v>
      </c>
      <c r="F846" t="s">
        <v>11</v>
      </c>
      <c r="G846">
        <v>110000</v>
      </c>
      <c r="H846" t="s">
        <v>12</v>
      </c>
      <c r="I846" t="s">
        <v>1499</v>
      </c>
      <c r="J846" t="s">
        <v>1500</v>
      </c>
      <c r="K846" t="s">
        <v>1489</v>
      </c>
      <c r="L846" s="9">
        <f>WEEKDAY(Table1_2[[#This Row],[Transaction date]])</f>
        <v>2</v>
      </c>
    </row>
    <row r="847" spans="1:12" x14ac:dyDescent="0.3">
      <c r="A847" t="str">
        <f t="shared" si="13"/>
        <v>16-Jan 2009</v>
      </c>
      <c r="B847" s="10">
        <v>39829</v>
      </c>
      <c r="C847">
        <v>2009</v>
      </c>
      <c r="D847" s="11">
        <v>0.45694444444444443</v>
      </c>
      <c r="E847" t="s">
        <v>1738</v>
      </c>
      <c r="F847" t="s">
        <v>11</v>
      </c>
      <c r="G847">
        <v>110000</v>
      </c>
      <c r="H847" t="s">
        <v>12</v>
      </c>
      <c r="I847" t="s">
        <v>1501</v>
      </c>
      <c r="J847" t="s">
        <v>1502</v>
      </c>
      <c r="K847" t="s">
        <v>1489</v>
      </c>
      <c r="L847" s="9">
        <f>WEEKDAY(Table1_2[[#This Row],[Transaction date]])</f>
        <v>6</v>
      </c>
    </row>
    <row r="848" spans="1:12" x14ac:dyDescent="0.3">
      <c r="A848" t="str">
        <f t="shared" si="13"/>
        <v>13-Jan 2009</v>
      </c>
      <c r="B848" s="10">
        <v>39826</v>
      </c>
      <c r="C848">
        <v>2009</v>
      </c>
      <c r="D848" s="11">
        <v>7.3611111111111113E-2</v>
      </c>
      <c r="E848" t="s">
        <v>1738</v>
      </c>
      <c r="F848" t="s">
        <v>11</v>
      </c>
      <c r="G848">
        <v>110000</v>
      </c>
      <c r="H848" t="s">
        <v>17</v>
      </c>
      <c r="I848" t="s">
        <v>1490</v>
      </c>
      <c r="J848" t="s">
        <v>1504</v>
      </c>
      <c r="K848" t="s">
        <v>1489</v>
      </c>
      <c r="L848" s="9">
        <f>WEEKDAY(Table1_2[[#This Row],[Transaction date]])</f>
        <v>3</v>
      </c>
    </row>
    <row r="849" spans="1:12" x14ac:dyDescent="0.3">
      <c r="A849" t="str">
        <f t="shared" si="13"/>
        <v>29-Jan 2009</v>
      </c>
      <c r="B849" s="10">
        <v>39842</v>
      </c>
      <c r="C849">
        <v>2009</v>
      </c>
      <c r="D849" s="11">
        <v>0.11666666666666667</v>
      </c>
      <c r="E849" t="s">
        <v>1738</v>
      </c>
      <c r="F849" t="s">
        <v>11</v>
      </c>
      <c r="G849">
        <v>110000</v>
      </c>
      <c r="H849" t="s">
        <v>12</v>
      </c>
      <c r="I849" t="s">
        <v>1505</v>
      </c>
      <c r="J849" t="s">
        <v>1493</v>
      </c>
      <c r="K849" t="s">
        <v>1489</v>
      </c>
      <c r="L849" s="9">
        <f>WEEKDAY(Table1_2[[#This Row],[Transaction date]])</f>
        <v>5</v>
      </c>
    </row>
    <row r="850" spans="1:12" x14ac:dyDescent="0.3">
      <c r="A850" t="str">
        <f t="shared" si="13"/>
        <v>24-Jan 2009</v>
      </c>
      <c r="B850" s="10">
        <v>39837</v>
      </c>
      <c r="C850">
        <v>2009</v>
      </c>
      <c r="D850" s="11">
        <v>0.15</v>
      </c>
      <c r="E850" t="s">
        <v>1738</v>
      </c>
      <c r="F850" t="s">
        <v>11</v>
      </c>
      <c r="G850">
        <v>110000</v>
      </c>
      <c r="H850" t="s">
        <v>12</v>
      </c>
      <c r="I850" t="s">
        <v>820</v>
      </c>
      <c r="J850" t="s">
        <v>1506</v>
      </c>
      <c r="K850" t="s">
        <v>1489</v>
      </c>
      <c r="L850" s="9">
        <f>WEEKDAY(Table1_2[[#This Row],[Transaction date]])</f>
        <v>7</v>
      </c>
    </row>
    <row r="851" spans="1:12" x14ac:dyDescent="0.3">
      <c r="A851" t="str">
        <f t="shared" si="13"/>
        <v>06-Jan 2009</v>
      </c>
      <c r="B851" s="10">
        <v>39819</v>
      </c>
      <c r="C851">
        <v>2009</v>
      </c>
      <c r="D851" s="11">
        <v>0.25486111111111109</v>
      </c>
      <c r="E851" t="s">
        <v>1738</v>
      </c>
      <c r="F851" t="s">
        <v>11</v>
      </c>
      <c r="G851">
        <v>110000</v>
      </c>
      <c r="H851" t="s">
        <v>12</v>
      </c>
      <c r="I851" t="s">
        <v>214</v>
      </c>
      <c r="J851" t="s">
        <v>1500</v>
      </c>
      <c r="K851" t="s">
        <v>1489</v>
      </c>
      <c r="L851" s="9">
        <f>WEEKDAY(Table1_2[[#This Row],[Transaction date]])</f>
        <v>3</v>
      </c>
    </row>
    <row r="852" spans="1:12" x14ac:dyDescent="0.3">
      <c r="A852" t="str">
        <f t="shared" si="13"/>
        <v>21-Jan 2009</v>
      </c>
      <c r="B852" s="10">
        <v>39834</v>
      </c>
      <c r="C852">
        <v>2009</v>
      </c>
      <c r="D852" s="11">
        <v>0.1986111111111111</v>
      </c>
      <c r="E852" t="s">
        <v>1738</v>
      </c>
      <c r="F852" t="s">
        <v>11</v>
      </c>
      <c r="G852">
        <v>110000</v>
      </c>
      <c r="H852" t="s">
        <v>12</v>
      </c>
      <c r="I852" t="s">
        <v>1508</v>
      </c>
      <c r="J852" t="s">
        <v>1509</v>
      </c>
      <c r="K852" t="s">
        <v>1489</v>
      </c>
      <c r="L852" s="9">
        <f>WEEKDAY(Table1_2[[#This Row],[Transaction date]])</f>
        <v>4</v>
      </c>
    </row>
    <row r="853" spans="1:12" x14ac:dyDescent="0.3">
      <c r="A853" t="str">
        <f t="shared" si="13"/>
        <v>12-Jan 2009</v>
      </c>
      <c r="B853" s="10">
        <v>39825</v>
      </c>
      <c r="C853">
        <v>2009</v>
      </c>
      <c r="D853" s="11">
        <v>0.51180555555555551</v>
      </c>
      <c r="E853" t="s">
        <v>1739</v>
      </c>
      <c r="F853" t="s">
        <v>11</v>
      </c>
      <c r="G853">
        <v>110000</v>
      </c>
      <c r="H853" t="s">
        <v>17</v>
      </c>
      <c r="I853" t="s">
        <v>235</v>
      </c>
      <c r="J853" t="s">
        <v>1510</v>
      </c>
      <c r="K853" t="s">
        <v>1489</v>
      </c>
      <c r="L853" s="9">
        <f>WEEKDAY(Table1_2[[#This Row],[Transaction date]])</f>
        <v>2</v>
      </c>
    </row>
    <row r="854" spans="1:12" x14ac:dyDescent="0.3">
      <c r="A854" t="str">
        <f t="shared" si="13"/>
        <v>13-Jan 2009</v>
      </c>
      <c r="B854" s="10">
        <v>39826</v>
      </c>
      <c r="C854">
        <v>2009</v>
      </c>
      <c r="D854" s="11">
        <v>0.53541666666666665</v>
      </c>
      <c r="E854" t="s">
        <v>1739</v>
      </c>
      <c r="F854" t="s">
        <v>11</v>
      </c>
      <c r="G854">
        <v>110000</v>
      </c>
      <c r="H854" t="s">
        <v>12</v>
      </c>
      <c r="I854" t="s">
        <v>1511</v>
      </c>
      <c r="J854" t="s">
        <v>1512</v>
      </c>
      <c r="K854" t="s">
        <v>1489</v>
      </c>
      <c r="L854" s="9">
        <f>WEEKDAY(Table1_2[[#This Row],[Transaction date]])</f>
        <v>3</v>
      </c>
    </row>
    <row r="855" spans="1:12" x14ac:dyDescent="0.3">
      <c r="A855" t="str">
        <f t="shared" si="13"/>
        <v>05-Jan 2009</v>
      </c>
      <c r="B855" s="10">
        <v>39818</v>
      </c>
      <c r="C855">
        <v>2009</v>
      </c>
      <c r="D855" s="11">
        <v>0.48888888888888887</v>
      </c>
      <c r="E855" t="s">
        <v>1738</v>
      </c>
      <c r="F855" t="s">
        <v>11</v>
      </c>
      <c r="G855">
        <v>110000</v>
      </c>
      <c r="H855" t="s">
        <v>12</v>
      </c>
      <c r="I855" t="s">
        <v>774</v>
      </c>
      <c r="J855" t="s">
        <v>1513</v>
      </c>
      <c r="K855" t="s">
        <v>1489</v>
      </c>
      <c r="L855" s="9">
        <f>WEEKDAY(Table1_2[[#This Row],[Transaction date]])</f>
        <v>2</v>
      </c>
    </row>
    <row r="856" spans="1:12" x14ac:dyDescent="0.3">
      <c r="A856" t="str">
        <f t="shared" si="13"/>
        <v>21-Jan 2009</v>
      </c>
      <c r="B856" s="10">
        <v>39834</v>
      </c>
      <c r="C856">
        <v>2009</v>
      </c>
      <c r="D856" s="11">
        <v>0.17430555555555555</v>
      </c>
      <c r="E856" t="s">
        <v>1738</v>
      </c>
      <c r="F856" t="s">
        <v>11</v>
      </c>
      <c r="G856">
        <v>110000</v>
      </c>
      <c r="H856" t="s">
        <v>12</v>
      </c>
      <c r="I856" t="s">
        <v>383</v>
      </c>
      <c r="J856" t="s">
        <v>1515</v>
      </c>
      <c r="K856" t="s">
        <v>1517</v>
      </c>
      <c r="L856" s="9">
        <f>WEEKDAY(Table1_2[[#This Row],[Transaction date]])</f>
        <v>4</v>
      </c>
    </row>
    <row r="857" spans="1:12" x14ac:dyDescent="0.3">
      <c r="A857" t="str">
        <f t="shared" si="13"/>
        <v>29-Jan 2009</v>
      </c>
      <c r="B857" s="10">
        <v>39842</v>
      </c>
      <c r="C857">
        <v>2009</v>
      </c>
      <c r="D857" s="11">
        <v>0.35208333333333336</v>
      </c>
      <c r="E857" t="s">
        <v>1738</v>
      </c>
      <c r="F857" t="s">
        <v>21</v>
      </c>
      <c r="G857">
        <v>100000</v>
      </c>
      <c r="H857" t="s">
        <v>12</v>
      </c>
      <c r="I857" t="s">
        <v>1050</v>
      </c>
      <c r="J857" t="s">
        <v>1516</v>
      </c>
      <c r="K857" t="s">
        <v>1517</v>
      </c>
      <c r="L857" s="9">
        <f>WEEKDAY(Table1_2[[#This Row],[Transaction date]])</f>
        <v>5</v>
      </c>
    </row>
    <row r="858" spans="1:12" x14ac:dyDescent="0.3">
      <c r="A858" t="str">
        <f t="shared" si="13"/>
        <v>04-Jan 2009</v>
      </c>
      <c r="B858" s="10">
        <v>39817</v>
      </c>
      <c r="C858">
        <v>2009</v>
      </c>
      <c r="D858" s="11">
        <v>0.21736111111111112</v>
      </c>
      <c r="E858" t="s">
        <v>1738</v>
      </c>
      <c r="F858" t="s">
        <v>11</v>
      </c>
      <c r="G858">
        <v>110000</v>
      </c>
      <c r="H858" t="s">
        <v>12</v>
      </c>
      <c r="I858" t="s">
        <v>774</v>
      </c>
      <c r="J858" t="s">
        <v>1519</v>
      </c>
      <c r="K858" t="s">
        <v>1517</v>
      </c>
      <c r="L858" s="9">
        <f>WEEKDAY(Table1_2[[#This Row],[Transaction date]])</f>
        <v>1</v>
      </c>
    </row>
    <row r="859" spans="1:12" x14ac:dyDescent="0.3">
      <c r="A859" t="str">
        <f t="shared" si="13"/>
        <v>19-Jan 2009</v>
      </c>
      <c r="B859" s="10">
        <v>39832</v>
      </c>
      <c r="C859">
        <v>2009</v>
      </c>
      <c r="D859" s="11">
        <v>0.28611111111111109</v>
      </c>
      <c r="E859" t="s">
        <v>1738</v>
      </c>
      <c r="F859" t="s">
        <v>11</v>
      </c>
      <c r="G859">
        <v>1200</v>
      </c>
      <c r="H859" t="s">
        <v>65</v>
      </c>
      <c r="I859" t="s">
        <v>1521</v>
      </c>
      <c r="J859" t="s">
        <v>1522</v>
      </c>
      <c r="K859" t="s">
        <v>1524</v>
      </c>
      <c r="L859" s="9">
        <f>WEEKDAY(Table1_2[[#This Row],[Transaction date]])</f>
        <v>2</v>
      </c>
    </row>
    <row r="860" spans="1:12" x14ac:dyDescent="0.3">
      <c r="A860" t="str">
        <f t="shared" si="13"/>
        <v>21-Jan 2009</v>
      </c>
      <c r="B860" s="10">
        <v>39834</v>
      </c>
      <c r="C860">
        <v>2009</v>
      </c>
      <c r="D860" s="11">
        <v>0.40069444444444446</v>
      </c>
      <c r="E860" t="s">
        <v>1738</v>
      </c>
      <c r="F860" t="s">
        <v>11</v>
      </c>
      <c r="G860">
        <v>1200</v>
      </c>
      <c r="H860" t="s">
        <v>12</v>
      </c>
      <c r="I860" t="s">
        <v>473</v>
      </c>
      <c r="J860" t="s">
        <v>1525</v>
      </c>
      <c r="K860" t="s">
        <v>1527</v>
      </c>
      <c r="L860" s="9">
        <f>WEEKDAY(Table1_2[[#This Row],[Transaction date]])</f>
        <v>4</v>
      </c>
    </row>
    <row r="861" spans="1:12" x14ac:dyDescent="0.3">
      <c r="A861" t="str">
        <f t="shared" si="13"/>
        <v>21-Jan 2009</v>
      </c>
      <c r="B861" s="10">
        <v>39834</v>
      </c>
      <c r="C861">
        <v>2009</v>
      </c>
      <c r="D861" s="11">
        <v>0.3347222222222222</v>
      </c>
      <c r="E861" t="s">
        <v>1738</v>
      </c>
      <c r="F861" t="s">
        <v>11</v>
      </c>
      <c r="G861">
        <v>1200</v>
      </c>
      <c r="H861" t="s">
        <v>17</v>
      </c>
      <c r="I861" t="s">
        <v>1528</v>
      </c>
      <c r="J861" t="s">
        <v>1529</v>
      </c>
      <c r="K861" t="s">
        <v>1530</v>
      </c>
      <c r="L861" s="9">
        <f>WEEKDAY(Table1_2[[#This Row],[Transaction date]])</f>
        <v>4</v>
      </c>
    </row>
    <row r="862" spans="1:12" x14ac:dyDescent="0.3">
      <c r="A862" t="str">
        <f t="shared" si="13"/>
        <v>05-Jan 2009</v>
      </c>
      <c r="B862" s="10">
        <v>39818</v>
      </c>
      <c r="C862">
        <v>2009</v>
      </c>
      <c r="D862" s="11">
        <v>0.48402777777777778</v>
      </c>
      <c r="E862" t="s">
        <v>1738</v>
      </c>
      <c r="F862" t="s">
        <v>11</v>
      </c>
      <c r="G862">
        <v>1200</v>
      </c>
      <c r="H862" t="s">
        <v>12</v>
      </c>
      <c r="I862" t="s">
        <v>171</v>
      </c>
      <c r="J862" t="s">
        <v>1531</v>
      </c>
      <c r="K862" t="s">
        <v>1533</v>
      </c>
      <c r="L862" s="9">
        <f>WEEKDAY(Table1_2[[#This Row],[Transaction date]])</f>
        <v>2</v>
      </c>
    </row>
    <row r="863" spans="1:12" x14ac:dyDescent="0.3">
      <c r="A863" t="str">
        <f t="shared" si="13"/>
        <v>10-Jan 2009</v>
      </c>
      <c r="B863" s="10">
        <v>39823</v>
      </c>
      <c r="C863">
        <v>2009</v>
      </c>
      <c r="D863" s="11">
        <v>0.40138888888888891</v>
      </c>
      <c r="E863" t="s">
        <v>1738</v>
      </c>
      <c r="F863" t="s">
        <v>11</v>
      </c>
      <c r="G863">
        <v>1200</v>
      </c>
      <c r="H863" t="s">
        <v>12</v>
      </c>
      <c r="I863" t="s">
        <v>1534</v>
      </c>
      <c r="J863" t="s">
        <v>1535</v>
      </c>
      <c r="K863" t="s">
        <v>1533</v>
      </c>
      <c r="L863" s="9">
        <f>WEEKDAY(Table1_2[[#This Row],[Transaction date]])</f>
        <v>7</v>
      </c>
    </row>
    <row r="864" spans="1:12" x14ac:dyDescent="0.3">
      <c r="A864" t="str">
        <f t="shared" si="13"/>
        <v>04-Jan 2009</v>
      </c>
      <c r="B864" s="10">
        <v>39817</v>
      </c>
      <c r="C864">
        <v>2009</v>
      </c>
      <c r="D864" s="11">
        <v>0.36041666666666666</v>
      </c>
      <c r="E864" t="s">
        <v>1738</v>
      </c>
      <c r="F864" t="s">
        <v>21</v>
      </c>
      <c r="G864">
        <v>100000</v>
      </c>
      <c r="H864" t="s">
        <v>65</v>
      </c>
      <c r="I864" t="s">
        <v>1537</v>
      </c>
      <c r="J864" t="s">
        <v>1538</v>
      </c>
      <c r="K864" t="s">
        <v>1533</v>
      </c>
      <c r="L864" s="9">
        <f>WEEKDAY(Table1_2[[#This Row],[Transaction date]])</f>
        <v>1</v>
      </c>
    </row>
    <row r="865" spans="1:12" x14ac:dyDescent="0.3">
      <c r="A865" t="str">
        <f t="shared" si="13"/>
        <v>07-Jan 2009</v>
      </c>
      <c r="B865" s="10">
        <v>39820</v>
      </c>
      <c r="C865">
        <v>2009</v>
      </c>
      <c r="D865" s="11">
        <v>0.34861111111111109</v>
      </c>
      <c r="E865" t="s">
        <v>1738</v>
      </c>
      <c r="F865" t="s">
        <v>11</v>
      </c>
      <c r="G865">
        <v>1200</v>
      </c>
      <c r="H865" t="s">
        <v>12</v>
      </c>
      <c r="I865" t="s">
        <v>1540</v>
      </c>
      <c r="J865" t="s">
        <v>1541</v>
      </c>
      <c r="K865" t="s">
        <v>1533</v>
      </c>
      <c r="L865" s="9">
        <f>WEEKDAY(Table1_2[[#This Row],[Transaction date]])</f>
        <v>4</v>
      </c>
    </row>
    <row r="866" spans="1:12" x14ac:dyDescent="0.3">
      <c r="A866" t="str">
        <f t="shared" si="13"/>
        <v>08-Jan 2009</v>
      </c>
      <c r="B866" s="10">
        <v>39821</v>
      </c>
      <c r="C866">
        <v>2009</v>
      </c>
      <c r="D866" s="11">
        <v>0.35555555555555557</v>
      </c>
      <c r="E866" t="s">
        <v>1738</v>
      </c>
      <c r="F866" t="s">
        <v>11</v>
      </c>
      <c r="G866">
        <v>1200</v>
      </c>
      <c r="H866" t="s">
        <v>12</v>
      </c>
      <c r="I866" t="s">
        <v>455</v>
      </c>
      <c r="J866" t="s">
        <v>1543</v>
      </c>
      <c r="K866" t="s">
        <v>1533</v>
      </c>
      <c r="L866" s="9">
        <f>WEEKDAY(Table1_2[[#This Row],[Transaction date]])</f>
        <v>5</v>
      </c>
    </row>
    <row r="867" spans="1:12" x14ac:dyDescent="0.3">
      <c r="A867" t="str">
        <f t="shared" si="13"/>
        <v>08-Jan 2009</v>
      </c>
      <c r="B867" s="10">
        <v>39821</v>
      </c>
      <c r="C867">
        <v>2009</v>
      </c>
      <c r="D867" s="11">
        <v>6.5277777777777782E-2</v>
      </c>
      <c r="E867" t="s">
        <v>1738</v>
      </c>
      <c r="F867" t="s">
        <v>11</v>
      </c>
      <c r="G867">
        <v>1200</v>
      </c>
      <c r="H867" t="s">
        <v>12</v>
      </c>
      <c r="I867" t="s">
        <v>1544</v>
      </c>
      <c r="J867" t="s">
        <v>1545</v>
      </c>
      <c r="K867" t="s">
        <v>1533</v>
      </c>
      <c r="L867" s="9">
        <f>WEEKDAY(Table1_2[[#This Row],[Transaction date]])</f>
        <v>5</v>
      </c>
    </row>
    <row r="868" spans="1:12" x14ac:dyDescent="0.3">
      <c r="A868" t="str">
        <f t="shared" si="13"/>
        <v>12-Jan 2009</v>
      </c>
      <c r="B868" s="10">
        <v>39825</v>
      </c>
      <c r="C868">
        <v>2009</v>
      </c>
      <c r="D868" s="11">
        <v>0.29444444444444445</v>
      </c>
      <c r="E868" t="s">
        <v>1738</v>
      </c>
      <c r="F868" t="s">
        <v>11</v>
      </c>
      <c r="G868">
        <v>1200</v>
      </c>
      <c r="H868" t="s">
        <v>12</v>
      </c>
      <c r="I868" t="s">
        <v>1546</v>
      </c>
      <c r="J868" t="s">
        <v>1547</v>
      </c>
      <c r="K868" t="s">
        <v>1533</v>
      </c>
      <c r="L868" s="9">
        <f>WEEKDAY(Table1_2[[#This Row],[Transaction date]])</f>
        <v>2</v>
      </c>
    </row>
    <row r="869" spans="1:12" x14ac:dyDescent="0.3">
      <c r="A869" t="str">
        <f t="shared" si="13"/>
        <v>01-Jan 2009</v>
      </c>
      <c r="B869" s="10">
        <v>39814</v>
      </c>
      <c r="C869">
        <v>2009</v>
      </c>
      <c r="D869" s="11">
        <v>0.3527777777777778</v>
      </c>
      <c r="E869" t="s">
        <v>1738</v>
      </c>
      <c r="F869" t="s">
        <v>11</v>
      </c>
      <c r="G869">
        <v>1200</v>
      </c>
      <c r="H869" t="s">
        <v>12</v>
      </c>
      <c r="I869" t="s">
        <v>1548</v>
      </c>
      <c r="J869" t="s">
        <v>1543</v>
      </c>
      <c r="K869" t="s">
        <v>1533</v>
      </c>
      <c r="L869" s="9">
        <f>WEEKDAY(Table1_2[[#This Row],[Transaction date]])</f>
        <v>5</v>
      </c>
    </row>
    <row r="870" spans="1:12" x14ac:dyDescent="0.3">
      <c r="A870" t="str">
        <f t="shared" si="13"/>
        <v>03-Jan 2009</v>
      </c>
      <c r="B870" s="10">
        <v>39816</v>
      </c>
      <c r="C870">
        <v>2009</v>
      </c>
      <c r="D870" s="11">
        <v>0.14027777777777778</v>
      </c>
      <c r="E870" t="s">
        <v>1738</v>
      </c>
      <c r="F870" t="s">
        <v>11</v>
      </c>
      <c r="G870">
        <v>1200</v>
      </c>
      <c r="H870" t="s">
        <v>17</v>
      </c>
      <c r="I870" t="s">
        <v>1549</v>
      </c>
      <c r="J870" t="s">
        <v>1550</v>
      </c>
      <c r="K870" t="s">
        <v>1533</v>
      </c>
      <c r="L870" s="9">
        <f>WEEKDAY(Table1_2[[#This Row],[Transaction date]])</f>
        <v>7</v>
      </c>
    </row>
    <row r="871" spans="1:12" x14ac:dyDescent="0.3">
      <c r="A871" t="str">
        <f t="shared" si="13"/>
        <v>04-Jan 2009</v>
      </c>
      <c r="B871" s="10">
        <v>39817</v>
      </c>
      <c r="C871">
        <v>2009</v>
      </c>
      <c r="D871" s="11">
        <v>0.32916666666666666</v>
      </c>
      <c r="E871" t="s">
        <v>1738</v>
      </c>
      <c r="F871" t="s">
        <v>11</v>
      </c>
      <c r="G871">
        <v>1200</v>
      </c>
      <c r="H871" t="s">
        <v>12</v>
      </c>
      <c r="I871" t="s">
        <v>1551</v>
      </c>
      <c r="J871" t="s">
        <v>1552</v>
      </c>
      <c r="K871" t="s">
        <v>1533</v>
      </c>
      <c r="L871" s="9">
        <f>WEEKDAY(Table1_2[[#This Row],[Transaction date]])</f>
        <v>1</v>
      </c>
    </row>
    <row r="872" spans="1:12" x14ac:dyDescent="0.3">
      <c r="A872" t="str">
        <f t="shared" si="13"/>
        <v>06-Jan 2009</v>
      </c>
      <c r="B872" s="10">
        <v>39819</v>
      </c>
      <c r="C872">
        <v>2009</v>
      </c>
      <c r="D872" s="11">
        <v>0.3840277777777778</v>
      </c>
      <c r="E872" t="s">
        <v>1738</v>
      </c>
      <c r="F872" t="s">
        <v>11</v>
      </c>
      <c r="G872">
        <v>90000</v>
      </c>
      <c r="H872" t="s">
        <v>12</v>
      </c>
      <c r="I872" t="s">
        <v>1553</v>
      </c>
      <c r="J872" t="s">
        <v>1550</v>
      </c>
      <c r="K872" t="s">
        <v>1533</v>
      </c>
      <c r="L872" s="9">
        <f>WEEKDAY(Table1_2[[#This Row],[Transaction date]])</f>
        <v>3</v>
      </c>
    </row>
    <row r="873" spans="1:12" x14ac:dyDescent="0.3">
      <c r="A873" t="str">
        <f t="shared" si="13"/>
        <v>12-Jan 2009</v>
      </c>
      <c r="B873" s="10">
        <v>39825</v>
      </c>
      <c r="C873">
        <v>2009</v>
      </c>
      <c r="D873" s="11">
        <v>0.49166666666666664</v>
      </c>
      <c r="E873" t="s">
        <v>1738</v>
      </c>
      <c r="F873" t="s">
        <v>11</v>
      </c>
      <c r="G873">
        <v>200000</v>
      </c>
      <c r="H873" t="s">
        <v>12</v>
      </c>
      <c r="I873" t="s">
        <v>356</v>
      </c>
      <c r="J873" t="s">
        <v>1554</v>
      </c>
      <c r="K873" t="s">
        <v>1533</v>
      </c>
      <c r="L873" s="9">
        <f>WEEKDAY(Table1_2[[#This Row],[Transaction date]])</f>
        <v>2</v>
      </c>
    </row>
    <row r="874" spans="1:12" x14ac:dyDescent="0.3">
      <c r="A874" t="str">
        <f t="shared" si="13"/>
        <v>06-Jan 2009</v>
      </c>
      <c r="B874" s="10">
        <v>39819</v>
      </c>
      <c r="C874">
        <v>2009</v>
      </c>
      <c r="D874" s="11">
        <v>0.30763888888888891</v>
      </c>
      <c r="E874" t="s">
        <v>1738</v>
      </c>
      <c r="F874" t="s">
        <v>11</v>
      </c>
      <c r="G874">
        <v>60000</v>
      </c>
      <c r="H874" t="s">
        <v>12</v>
      </c>
      <c r="I874" t="s">
        <v>176</v>
      </c>
      <c r="J874" t="s">
        <v>1555</v>
      </c>
      <c r="K874" t="s">
        <v>1533</v>
      </c>
      <c r="L874" s="9">
        <f>WEEKDAY(Table1_2[[#This Row],[Transaction date]])</f>
        <v>3</v>
      </c>
    </row>
    <row r="875" spans="1:12" x14ac:dyDescent="0.3">
      <c r="A875" t="str">
        <f t="shared" si="13"/>
        <v>15-Jan 2009</v>
      </c>
      <c r="B875" s="10">
        <v>39828</v>
      </c>
      <c r="C875">
        <v>2009</v>
      </c>
      <c r="D875" s="11">
        <v>0.49722222222222223</v>
      </c>
      <c r="E875" t="s">
        <v>1738</v>
      </c>
      <c r="F875" t="s">
        <v>11</v>
      </c>
      <c r="G875">
        <v>1200</v>
      </c>
      <c r="H875" t="s">
        <v>12</v>
      </c>
      <c r="I875" t="s">
        <v>347</v>
      </c>
      <c r="J875" t="s">
        <v>1543</v>
      </c>
      <c r="K875" t="s">
        <v>1533</v>
      </c>
      <c r="L875" s="9">
        <f>WEEKDAY(Table1_2[[#This Row],[Transaction date]])</f>
        <v>5</v>
      </c>
    </row>
    <row r="876" spans="1:12" x14ac:dyDescent="0.3">
      <c r="A876" t="str">
        <f t="shared" si="13"/>
        <v>15-Jan 2009</v>
      </c>
      <c r="B876" s="10">
        <v>39828</v>
      </c>
      <c r="C876">
        <v>2009</v>
      </c>
      <c r="D876" s="11">
        <v>0.49861111111111112</v>
      </c>
      <c r="E876" t="s">
        <v>1738</v>
      </c>
      <c r="F876" t="s">
        <v>11</v>
      </c>
      <c r="G876">
        <v>1200</v>
      </c>
      <c r="H876" t="s">
        <v>12</v>
      </c>
      <c r="I876" t="s">
        <v>627</v>
      </c>
      <c r="J876" t="s">
        <v>1556</v>
      </c>
      <c r="K876" t="s">
        <v>1533</v>
      </c>
      <c r="L876" s="9">
        <f>WEEKDAY(Table1_2[[#This Row],[Transaction date]])</f>
        <v>5</v>
      </c>
    </row>
    <row r="877" spans="1:12" x14ac:dyDescent="0.3">
      <c r="A877" t="str">
        <f t="shared" si="13"/>
        <v>15-Jan 2009</v>
      </c>
      <c r="B877" s="10">
        <v>39828</v>
      </c>
      <c r="C877">
        <v>2009</v>
      </c>
      <c r="D877" s="11">
        <v>0.53749999999999998</v>
      </c>
      <c r="E877" t="s">
        <v>1739</v>
      </c>
      <c r="F877" t="s">
        <v>11</v>
      </c>
      <c r="G877">
        <v>90000</v>
      </c>
      <c r="H877" t="s">
        <v>17</v>
      </c>
      <c r="I877" t="s">
        <v>1557</v>
      </c>
      <c r="J877" t="s">
        <v>1558</v>
      </c>
      <c r="K877" t="s">
        <v>1533</v>
      </c>
      <c r="L877" s="9">
        <f>WEEKDAY(Table1_2[[#This Row],[Transaction date]])</f>
        <v>5</v>
      </c>
    </row>
    <row r="878" spans="1:12" x14ac:dyDescent="0.3">
      <c r="A878" t="str">
        <f t="shared" si="13"/>
        <v>04-Jan 2009</v>
      </c>
      <c r="B878" s="10">
        <v>39817</v>
      </c>
      <c r="C878">
        <v>2009</v>
      </c>
      <c r="D878" s="11">
        <v>0.49166666666666664</v>
      </c>
      <c r="E878" t="s">
        <v>1738</v>
      </c>
      <c r="F878" t="s">
        <v>11</v>
      </c>
      <c r="G878">
        <v>200000</v>
      </c>
      <c r="H878" t="s">
        <v>65</v>
      </c>
      <c r="I878" t="s">
        <v>1560</v>
      </c>
      <c r="J878" t="s">
        <v>1561</v>
      </c>
      <c r="K878" t="s">
        <v>1533</v>
      </c>
      <c r="L878" s="9">
        <f>WEEKDAY(Table1_2[[#This Row],[Transaction date]])</f>
        <v>1</v>
      </c>
    </row>
    <row r="879" spans="1:12" x14ac:dyDescent="0.3">
      <c r="A879" t="str">
        <f t="shared" si="13"/>
        <v>13-Jan 2009</v>
      </c>
      <c r="B879" s="10">
        <v>39826</v>
      </c>
      <c r="C879">
        <v>2009</v>
      </c>
      <c r="D879" s="11">
        <v>0.37430555555555556</v>
      </c>
      <c r="E879" t="s">
        <v>1738</v>
      </c>
      <c r="F879" t="s">
        <v>11</v>
      </c>
      <c r="G879">
        <v>60000</v>
      </c>
      <c r="H879" t="s">
        <v>17</v>
      </c>
      <c r="I879" t="s">
        <v>1090</v>
      </c>
      <c r="J879" t="s">
        <v>1563</v>
      </c>
      <c r="K879" t="s">
        <v>1533</v>
      </c>
      <c r="L879" s="9">
        <f>WEEKDAY(Table1_2[[#This Row],[Transaction date]])</f>
        <v>3</v>
      </c>
    </row>
    <row r="880" spans="1:12" x14ac:dyDescent="0.3">
      <c r="A880" t="str">
        <f t="shared" si="13"/>
        <v>04-Jan 2009</v>
      </c>
      <c r="B880" s="10">
        <v>39817</v>
      </c>
      <c r="C880">
        <v>2009</v>
      </c>
      <c r="D880" s="11">
        <v>0.53402777777777777</v>
      </c>
      <c r="E880" t="s">
        <v>1739</v>
      </c>
      <c r="F880" t="s">
        <v>11</v>
      </c>
      <c r="G880">
        <v>1200</v>
      </c>
      <c r="H880" t="s">
        <v>65</v>
      </c>
      <c r="I880" t="s">
        <v>1565</v>
      </c>
      <c r="J880" t="s">
        <v>1566</v>
      </c>
      <c r="K880" t="s">
        <v>1533</v>
      </c>
      <c r="L880" s="9">
        <f>WEEKDAY(Table1_2[[#This Row],[Transaction date]])</f>
        <v>1</v>
      </c>
    </row>
    <row r="881" spans="1:12" x14ac:dyDescent="0.3">
      <c r="A881" t="str">
        <f t="shared" si="13"/>
        <v>05-Jan 2009</v>
      </c>
      <c r="B881" s="10">
        <v>39818</v>
      </c>
      <c r="C881">
        <v>2009</v>
      </c>
      <c r="D881" s="11">
        <v>0.2048611111111111</v>
      </c>
      <c r="E881" t="s">
        <v>1738</v>
      </c>
      <c r="F881" t="s">
        <v>11</v>
      </c>
      <c r="G881">
        <v>1200</v>
      </c>
      <c r="H881" t="s">
        <v>12</v>
      </c>
      <c r="I881" t="s">
        <v>1567</v>
      </c>
      <c r="J881" t="s">
        <v>1568</v>
      </c>
      <c r="K881" t="s">
        <v>1533</v>
      </c>
      <c r="L881" s="9">
        <f>WEEKDAY(Table1_2[[#This Row],[Transaction date]])</f>
        <v>2</v>
      </c>
    </row>
    <row r="882" spans="1:12" x14ac:dyDescent="0.3">
      <c r="A882" t="str">
        <f t="shared" si="13"/>
        <v>04-Jan 2009</v>
      </c>
      <c r="B882" s="10">
        <v>39817</v>
      </c>
      <c r="C882">
        <v>2009</v>
      </c>
      <c r="D882" s="11">
        <v>0.37638888888888888</v>
      </c>
      <c r="E882" t="s">
        <v>1738</v>
      </c>
      <c r="F882" t="s">
        <v>11</v>
      </c>
      <c r="G882">
        <v>90000</v>
      </c>
      <c r="H882" t="s">
        <v>12</v>
      </c>
      <c r="I882" t="s">
        <v>636</v>
      </c>
      <c r="J882" t="s">
        <v>1543</v>
      </c>
      <c r="K882" t="s">
        <v>1533</v>
      </c>
      <c r="L882" s="9">
        <f>WEEKDAY(Table1_2[[#This Row],[Transaction date]])</f>
        <v>1</v>
      </c>
    </row>
    <row r="883" spans="1:12" x14ac:dyDescent="0.3">
      <c r="A883" t="str">
        <f t="shared" si="13"/>
        <v>13-Jan 2009</v>
      </c>
      <c r="B883" s="10">
        <v>39826</v>
      </c>
      <c r="C883">
        <v>2009</v>
      </c>
      <c r="D883" s="11">
        <v>0.34861111111111109</v>
      </c>
      <c r="E883" t="s">
        <v>1738</v>
      </c>
      <c r="F883" t="s">
        <v>11</v>
      </c>
      <c r="G883">
        <v>200000</v>
      </c>
      <c r="H883" t="s">
        <v>12</v>
      </c>
      <c r="I883" t="s">
        <v>455</v>
      </c>
      <c r="J883" t="s">
        <v>1569</v>
      </c>
      <c r="K883" t="s">
        <v>1533</v>
      </c>
      <c r="L883" s="9">
        <f>WEEKDAY(Table1_2[[#This Row],[Transaction date]])</f>
        <v>3</v>
      </c>
    </row>
    <row r="884" spans="1:12" x14ac:dyDescent="0.3">
      <c r="A884" t="str">
        <f t="shared" si="13"/>
        <v>01-Jan 2009</v>
      </c>
      <c r="B884" s="10">
        <v>39814</v>
      </c>
      <c r="C884">
        <v>2009</v>
      </c>
      <c r="D884" s="11">
        <v>9.6527777777777782E-2</v>
      </c>
      <c r="E884" t="s">
        <v>1738</v>
      </c>
      <c r="F884" t="s">
        <v>11</v>
      </c>
      <c r="G884">
        <v>60000</v>
      </c>
      <c r="H884" t="s">
        <v>17</v>
      </c>
      <c r="I884" t="s">
        <v>1570</v>
      </c>
      <c r="J884" t="s">
        <v>1571</v>
      </c>
      <c r="K884" t="s">
        <v>1533</v>
      </c>
      <c r="L884" s="9">
        <f>WEEKDAY(Table1_2[[#This Row],[Transaction date]])</f>
        <v>5</v>
      </c>
    </row>
    <row r="885" spans="1:12" x14ac:dyDescent="0.3">
      <c r="A885" t="str">
        <f t="shared" si="13"/>
        <v>26-Jan 2009</v>
      </c>
      <c r="B885" s="10">
        <v>39839</v>
      </c>
      <c r="C885">
        <v>2009</v>
      </c>
      <c r="D885" s="11">
        <v>0.43333333333333335</v>
      </c>
      <c r="E885" t="s">
        <v>1738</v>
      </c>
      <c r="F885" t="s">
        <v>11</v>
      </c>
      <c r="G885">
        <v>1200</v>
      </c>
      <c r="H885" t="s">
        <v>12</v>
      </c>
      <c r="I885" t="s">
        <v>388</v>
      </c>
      <c r="J885" t="s">
        <v>1550</v>
      </c>
      <c r="K885" t="s">
        <v>1533</v>
      </c>
      <c r="L885" s="9">
        <f>WEEKDAY(Table1_2[[#This Row],[Transaction date]])</f>
        <v>2</v>
      </c>
    </row>
    <row r="886" spans="1:12" x14ac:dyDescent="0.3">
      <c r="A886" t="str">
        <f t="shared" si="13"/>
        <v>13-Jan 2009</v>
      </c>
      <c r="B886" s="10">
        <v>39826</v>
      </c>
      <c r="C886">
        <v>2009</v>
      </c>
      <c r="D886" s="11">
        <v>0.41041666666666665</v>
      </c>
      <c r="E886" t="s">
        <v>1738</v>
      </c>
      <c r="F886" t="s">
        <v>11</v>
      </c>
      <c r="G886">
        <v>1200</v>
      </c>
      <c r="H886" t="s">
        <v>17</v>
      </c>
      <c r="I886" t="s">
        <v>1572</v>
      </c>
      <c r="J886" t="s">
        <v>1543</v>
      </c>
      <c r="K886" t="s">
        <v>1533</v>
      </c>
      <c r="L886" s="9">
        <f>WEEKDAY(Table1_2[[#This Row],[Transaction date]])</f>
        <v>3</v>
      </c>
    </row>
    <row r="887" spans="1:12" x14ac:dyDescent="0.3">
      <c r="A887" t="str">
        <f t="shared" si="13"/>
        <v>12-Jan 2009</v>
      </c>
      <c r="B887" s="10">
        <v>39825</v>
      </c>
      <c r="C887">
        <v>2009</v>
      </c>
      <c r="D887" s="11">
        <v>0.42083333333333334</v>
      </c>
      <c r="E887" t="s">
        <v>1738</v>
      </c>
      <c r="F887" t="s">
        <v>11</v>
      </c>
      <c r="G887">
        <v>90000</v>
      </c>
      <c r="H887" t="s">
        <v>17</v>
      </c>
      <c r="I887" t="s">
        <v>1573</v>
      </c>
      <c r="J887" t="s">
        <v>1543</v>
      </c>
      <c r="K887" t="s">
        <v>1533</v>
      </c>
      <c r="L887" s="9">
        <f>WEEKDAY(Table1_2[[#This Row],[Transaction date]])</f>
        <v>2</v>
      </c>
    </row>
    <row r="888" spans="1:12" x14ac:dyDescent="0.3">
      <c r="A888" t="str">
        <f t="shared" si="13"/>
        <v>01-Jan 2009</v>
      </c>
      <c r="B888" s="10">
        <v>39814</v>
      </c>
      <c r="C888">
        <v>2009</v>
      </c>
      <c r="D888" s="11">
        <v>0.30902777777777779</v>
      </c>
      <c r="E888" t="s">
        <v>1738</v>
      </c>
      <c r="F888" t="s">
        <v>11</v>
      </c>
      <c r="G888">
        <v>200000</v>
      </c>
      <c r="H888" t="s">
        <v>65</v>
      </c>
      <c r="I888" t="s">
        <v>1574</v>
      </c>
      <c r="J888" t="s">
        <v>1575</v>
      </c>
      <c r="K888" t="s">
        <v>1533</v>
      </c>
      <c r="L888" s="9">
        <f>WEEKDAY(Table1_2[[#This Row],[Transaction date]])</f>
        <v>5</v>
      </c>
    </row>
    <row r="889" spans="1:12" x14ac:dyDescent="0.3">
      <c r="A889" t="str">
        <f t="shared" si="13"/>
        <v>25-Jan 2009</v>
      </c>
      <c r="B889" s="10">
        <v>39838</v>
      </c>
      <c r="C889">
        <v>2009</v>
      </c>
      <c r="D889" s="11">
        <v>0.35555555555555557</v>
      </c>
      <c r="E889" t="s">
        <v>1738</v>
      </c>
      <c r="F889" t="s">
        <v>11</v>
      </c>
      <c r="G889">
        <v>60000</v>
      </c>
      <c r="H889" t="s">
        <v>12</v>
      </c>
      <c r="I889" t="s">
        <v>1576</v>
      </c>
      <c r="J889" t="s">
        <v>1577</v>
      </c>
      <c r="K889" t="s">
        <v>1533</v>
      </c>
      <c r="L889" s="9">
        <f>WEEKDAY(Table1_2[[#This Row],[Transaction date]])</f>
        <v>1</v>
      </c>
    </row>
    <row r="890" spans="1:12" x14ac:dyDescent="0.3">
      <c r="A890" t="str">
        <f t="shared" si="13"/>
        <v>28-Jan 2009</v>
      </c>
      <c r="B890" s="10">
        <v>39841</v>
      </c>
      <c r="C890">
        <v>2009</v>
      </c>
      <c r="D890" s="11">
        <v>0.12986111111111112</v>
      </c>
      <c r="E890" t="s">
        <v>1738</v>
      </c>
      <c r="F890" t="s">
        <v>11</v>
      </c>
      <c r="G890">
        <v>1200</v>
      </c>
      <c r="H890" t="s">
        <v>12</v>
      </c>
      <c r="I890" t="s">
        <v>51</v>
      </c>
      <c r="J890" t="s">
        <v>1578</v>
      </c>
      <c r="K890" t="s">
        <v>1533</v>
      </c>
      <c r="L890" s="9">
        <f>WEEKDAY(Table1_2[[#This Row],[Transaction date]])</f>
        <v>4</v>
      </c>
    </row>
    <row r="891" spans="1:12" x14ac:dyDescent="0.3">
      <c r="A891" t="str">
        <f t="shared" si="13"/>
        <v>23-Jan 2009</v>
      </c>
      <c r="B891" s="10">
        <v>39836</v>
      </c>
      <c r="C891">
        <v>2009</v>
      </c>
      <c r="D891" s="11">
        <v>0.40902777777777777</v>
      </c>
      <c r="E891" t="s">
        <v>1738</v>
      </c>
      <c r="F891" t="s">
        <v>11</v>
      </c>
      <c r="G891">
        <v>1200</v>
      </c>
      <c r="H891" t="s">
        <v>12</v>
      </c>
      <c r="I891" t="s">
        <v>1579</v>
      </c>
      <c r="J891" t="s">
        <v>1580</v>
      </c>
      <c r="K891" t="s">
        <v>1533</v>
      </c>
      <c r="L891" s="9">
        <f>WEEKDAY(Table1_2[[#This Row],[Transaction date]])</f>
        <v>6</v>
      </c>
    </row>
    <row r="892" spans="1:12" x14ac:dyDescent="0.3">
      <c r="A892" t="str">
        <f t="shared" si="13"/>
        <v>06-Jan 2009</v>
      </c>
      <c r="B892" s="10">
        <v>39819</v>
      </c>
      <c r="C892">
        <v>2009</v>
      </c>
      <c r="D892" s="11">
        <v>0.41319444444444442</v>
      </c>
      <c r="E892" t="s">
        <v>1738</v>
      </c>
      <c r="F892" t="s">
        <v>11</v>
      </c>
      <c r="G892">
        <v>90000</v>
      </c>
      <c r="H892" t="s">
        <v>17</v>
      </c>
      <c r="I892" t="s">
        <v>636</v>
      </c>
      <c r="J892" t="s">
        <v>1550</v>
      </c>
      <c r="K892" t="s">
        <v>1533</v>
      </c>
      <c r="L892" s="9">
        <f>WEEKDAY(Table1_2[[#This Row],[Transaction date]])</f>
        <v>3</v>
      </c>
    </row>
    <row r="893" spans="1:12" x14ac:dyDescent="0.3">
      <c r="A893" t="str">
        <f t="shared" si="13"/>
        <v>24-Jan 2009</v>
      </c>
      <c r="B893" s="10">
        <v>39837</v>
      </c>
      <c r="C893">
        <v>2009</v>
      </c>
      <c r="D893" s="11">
        <v>0.21249999999999999</v>
      </c>
      <c r="E893" t="s">
        <v>1738</v>
      </c>
      <c r="F893" t="s">
        <v>11</v>
      </c>
      <c r="G893">
        <v>200000</v>
      </c>
      <c r="H893" t="s">
        <v>12</v>
      </c>
      <c r="I893" t="s">
        <v>1348</v>
      </c>
      <c r="J893" t="s">
        <v>1581</v>
      </c>
      <c r="K893" t="s">
        <v>1533</v>
      </c>
      <c r="L893" s="9">
        <f>WEEKDAY(Table1_2[[#This Row],[Transaction date]])</f>
        <v>7</v>
      </c>
    </row>
    <row r="894" spans="1:12" x14ac:dyDescent="0.3">
      <c r="A894" t="str">
        <f t="shared" si="13"/>
        <v>07-Jan 2009</v>
      </c>
      <c r="B894" s="10">
        <v>39820</v>
      </c>
      <c r="C894">
        <v>2009</v>
      </c>
      <c r="D894" s="11">
        <v>0.33541666666666664</v>
      </c>
      <c r="E894" t="s">
        <v>1738</v>
      </c>
      <c r="F894" t="s">
        <v>11</v>
      </c>
      <c r="G894">
        <v>60000</v>
      </c>
      <c r="H894" t="s">
        <v>65</v>
      </c>
      <c r="I894" t="s">
        <v>1582</v>
      </c>
      <c r="J894" t="s">
        <v>1531</v>
      </c>
      <c r="K894" t="s">
        <v>1533</v>
      </c>
      <c r="L894" s="9">
        <f>WEEKDAY(Table1_2[[#This Row],[Transaction date]])</f>
        <v>4</v>
      </c>
    </row>
    <row r="895" spans="1:12" x14ac:dyDescent="0.3">
      <c r="A895" t="str">
        <f t="shared" si="13"/>
        <v>04-Jan 2009</v>
      </c>
      <c r="B895" s="10">
        <v>39817</v>
      </c>
      <c r="C895">
        <v>2009</v>
      </c>
      <c r="D895" s="11">
        <v>0.38055555555555554</v>
      </c>
      <c r="E895" t="s">
        <v>1738</v>
      </c>
      <c r="F895" t="s">
        <v>11</v>
      </c>
      <c r="G895">
        <v>1200</v>
      </c>
      <c r="H895" t="s">
        <v>17</v>
      </c>
      <c r="I895" t="s">
        <v>1583</v>
      </c>
      <c r="J895" t="s">
        <v>1543</v>
      </c>
      <c r="K895" t="s">
        <v>1533</v>
      </c>
      <c r="L895" s="9">
        <f>WEEKDAY(Table1_2[[#This Row],[Transaction date]])</f>
        <v>1</v>
      </c>
    </row>
    <row r="896" spans="1:12" x14ac:dyDescent="0.3">
      <c r="A896" t="str">
        <f t="shared" si="13"/>
        <v>10-Jan 2009</v>
      </c>
      <c r="B896" s="10">
        <v>39823</v>
      </c>
      <c r="C896">
        <v>2009</v>
      </c>
      <c r="D896" s="11">
        <v>0.39930555555555558</v>
      </c>
      <c r="E896" t="s">
        <v>1738</v>
      </c>
      <c r="F896" t="s">
        <v>11</v>
      </c>
      <c r="G896">
        <v>1200</v>
      </c>
      <c r="H896" t="s">
        <v>17</v>
      </c>
      <c r="I896" t="s">
        <v>1584</v>
      </c>
      <c r="J896" t="s">
        <v>1585</v>
      </c>
      <c r="K896" t="s">
        <v>1533</v>
      </c>
      <c r="L896" s="9">
        <f>WEEKDAY(Table1_2[[#This Row],[Transaction date]])</f>
        <v>7</v>
      </c>
    </row>
    <row r="897" spans="1:12" x14ac:dyDescent="0.3">
      <c r="A897" t="str">
        <f t="shared" si="13"/>
        <v>22-Jan 2009</v>
      </c>
      <c r="B897" s="10">
        <v>39835</v>
      </c>
      <c r="C897">
        <v>2009</v>
      </c>
      <c r="D897" s="11">
        <v>0.30138888888888887</v>
      </c>
      <c r="E897" t="s">
        <v>1738</v>
      </c>
      <c r="F897" t="s">
        <v>11</v>
      </c>
      <c r="G897">
        <v>90000</v>
      </c>
      <c r="H897" t="s">
        <v>12</v>
      </c>
      <c r="I897" t="s">
        <v>1586</v>
      </c>
      <c r="J897" t="s">
        <v>1587</v>
      </c>
      <c r="K897" t="s">
        <v>1533</v>
      </c>
      <c r="L897" s="9">
        <f>WEEKDAY(Table1_2[[#This Row],[Transaction date]])</f>
        <v>5</v>
      </c>
    </row>
    <row r="898" spans="1:12" x14ac:dyDescent="0.3">
      <c r="A898" t="str">
        <f t="shared" ref="A898:A961" si="14">TEXT(B898, "dd-mmm") &amp; " " &amp; C898</f>
        <v>28-Jan 2009</v>
      </c>
      <c r="B898" s="10">
        <v>39841</v>
      </c>
      <c r="C898">
        <v>2009</v>
      </c>
      <c r="D898" s="11">
        <v>4.3749999999999997E-2</v>
      </c>
      <c r="E898" t="s">
        <v>1738</v>
      </c>
      <c r="F898" t="s">
        <v>21</v>
      </c>
      <c r="G898">
        <v>100000</v>
      </c>
      <c r="H898" t="s">
        <v>65</v>
      </c>
      <c r="I898" t="s">
        <v>675</v>
      </c>
      <c r="J898" t="s">
        <v>1555</v>
      </c>
      <c r="K898" t="s">
        <v>1533</v>
      </c>
      <c r="L898" s="9">
        <f>WEEKDAY(Table1_2[[#This Row],[Transaction date]])</f>
        <v>4</v>
      </c>
    </row>
    <row r="899" spans="1:12" x14ac:dyDescent="0.3">
      <c r="A899" t="str">
        <f t="shared" si="14"/>
        <v>21-Jan 2009</v>
      </c>
      <c r="B899" s="10">
        <v>39834</v>
      </c>
      <c r="C899">
        <v>2009</v>
      </c>
      <c r="D899" s="11">
        <v>0.34583333333333333</v>
      </c>
      <c r="E899" t="s">
        <v>1738</v>
      </c>
      <c r="F899" t="s">
        <v>11</v>
      </c>
      <c r="G899">
        <v>60000</v>
      </c>
      <c r="H899" t="s">
        <v>65</v>
      </c>
      <c r="I899" t="s">
        <v>1588</v>
      </c>
      <c r="J899" t="s">
        <v>1550</v>
      </c>
      <c r="K899" t="s">
        <v>1533</v>
      </c>
      <c r="L899" s="9">
        <f>WEEKDAY(Table1_2[[#This Row],[Transaction date]])</f>
        <v>4</v>
      </c>
    </row>
    <row r="900" spans="1:12" x14ac:dyDescent="0.3">
      <c r="A900" t="str">
        <f t="shared" si="14"/>
        <v>12-Jan 2009</v>
      </c>
      <c r="B900" s="10">
        <v>39825</v>
      </c>
      <c r="C900">
        <v>2009</v>
      </c>
      <c r="D900" s="11">
        <v>0.4861111111111111</v>
      </c>
      <c r="E900" t="s">
        <v>1738</v>
      </c>
      <c r="F900" t="s">
        <v>21</v>
      </c>
      <c r="G900">
        <v>100000</v>
      </c>
      <c r="H900" t="s">
        <v>12</v>
      </c>
      <c r="I900" t="s">
        <v>1589</v>
      </c>
      <c r="J900" t="s">
        <v>1575</v>
      </c>
      <c r="K900" t="s">
        <v>1533</v>
      </c>
      <c r="L900" s="9">
        <f>WEEKDAY(Table1_2[[#This Row],[Transaction date]])</f>
        <v>2</v>
      </c>
    </row>
    <row r="901" spans="1:12" x14ac:dyDescent="0.3">
      <c r="A901" t="str">
        <f t="shared" si="14"/>
        <v>14-Jan 2009</v>
      </c>
      <c r="B901" s="10">
        <v>39827</v>
      </c>
      <c r="C901">
        <v>2009</v>
      </c>
      <c r="D901" s="11">
        <v>0.34444444444444444</v>
      </c>
      <c r="E901" t="s">
        <v>1738</v>
      </c>
      <c r="F901" t="s">
        <v>21</v>
      </c>
      <c r="G901">
        <v>100000</v>
      </c>
      <c r="H901" t="s">
        <v>65</v>
      </c>
      <c r="I901" t="s">
        <v>179</v>
      </c>
      <c r="J901" t="s">
        <v>1590</v>
      </c>
      <c r="K901" t="s">
        <v>1533</v>
      </c>
      <c r="L901" s="9">
        <f>WEEKDAY(Table1_2[[#This Row],[Transaction date]])</f>
        <v>4</v>
      </c>
    </row>
    <row r="902" spans="1:12" x14ac:dyDescent="0.3">
      <c r="A902" t="str">
        <f t="shared" si="14"/>
        <v>08-Jan 2009</v>
      </c>
      <c r="B902" s="10">
        <v>39821</v>
      </c>
      <c r="C902">
        <v>2009</v>
      </c>
      <c r="D902" s="11">
        <v>0.42569444444444443</v>
      </c>
      <c r="E902" t="s">
        <v>1738</v>
      </c>
      <c r="F902" t="s">
        <v>11</v>
      </c>
      <c r="G902">
        <v>1200</v>
      </c>
      <c r="H902" t="s">
        <v>65</v>
      </c>
      <c r="I902" t="s">
        <v>1591</v>
      </c>
      <c r="J902" t="s">
        <v>1592</v>
      </c>
      <c r="K902" t="s">
        <v>1533</v>
      </c>
      <c r="L902" s="9">
        <f>WEEKDAY(Table1_2[[#This Row],[Transaction date]])</f>
        <v>5</v>
      </c>
    </row>
    <row r="903" spans="1:12" x14ac:dyDescent="0.3">
      <c r="A903" t="str">
        <f t="shared" si="14"/>
        <v>10-Jan 2009</v>
      </c>
      <c r="B903" s="10">
        <v>39823</v>
      </c>
      <c r="C903">
        <v>2009</v>
      </c>
      <c r="D903" s="11">
        <v>7.0833333333333331E-2</v>
      </c>
      <c r="E903" t="s">
        <v>1738</v>
      </c>
      <c r="F903" t="s">
        <v>11</v>
      </c>
      <c r="G903">
        <v>1200</v>
      </c>
      <c r="H903" t="s">
        <v>12</v>
      </c>
      <c r="I903" t="s">
        <v>473</v>
      </c>
      <c r="J903" t="s">
        <v>1593</v>
      </c>
      <c r="K903" t="s">
        <v>1533</v>
      </c>
      <c r="L903" s="9">
        <f>WEEKDAY(Table1_2[[#This Row],[Transaction date]])</f>
        <v>7</v>
      </c>
    </row>
    <row r="904" spans="1:12" x14ac:dyDescent="0.3">
      <c r="A904" t="str">
        <f t="shared" si="14"/>
        <v>02-Jan 2009</v>
      </c>
      <c r="B904" s="10">
        <v>39815</v>
      </c>
      <c r="C904">
        <v>2009</v>
      </c>
      <c r="D904" s="11">
        <v>0.45694444444444443</v>
      </c>
      <c r="E904" t="s">
        <v>1738</v>
      </c>
      <c r="F904" t="s">
        <v>21</v>
      </c>
      <c r="G904">
        <v>100000</v>
      </c>
      <c r="H904" t="s">
        <v>12</v>
      </c>
      <c r="I904" t="s">
        <v>1594</v>
      </c>
      <c r="J904" t="s">
        <v>1575</v>
      </c>
      <c r="K904" t="s">
        <v>1533</v>
      </c>
      <c r="L904" s="9">
        <f>WEEKDAY(Table1_2[[#This Row],[Transaction date]])</f>
        <v>6</v>
      </c>
    </row>
    <row r="905" spans="1:12" x14ac:dyDescent="0.3">
      <c r="A905" t="str">
        <f t="shared" si="14"/>
        <v>15-Jan 2009</v>
      </c>
      <c r="B905" s="10">
        <v>39828</v>
      </c>
      <c r="C905">
        <v>2009</v>
      </c>
      <c r="D905" s="11">
        <v>0.22708333333333333</v>
      </c>
      <c r="E905" t="s">
        <v>1738</v>
      </c>
      <c r="F905" t="s">
        <v>21</v>
      </c>
      <c r="G905">
        <v>100000</v>
      </c>
      <c r="H905" t="s">
        <v>12</v>
      </c>
      <c r="I905" t="s">
        <v>1595</v>
      </c>
      <c r="J905" t="s">
        <v>1587</v>
      </c>
      <c r="K905" t="s">
        <v>1533</v>
      </c>
      <c r="L905" s="9">
        <f>WEEKDAY(Table1_2[[#This Row],[Transaction date]])</f>
        <v>5</v>
      </c>
    </row>
    <row r="906" spans="1:12" x14ac:dyDescent="0.3">
      <c r="A906" t="str">
        <f t="shared" si="14"/>
        <v>05-Jan 2009</v>
      </c>
      <c r="B906" s="10">
        <v>39818</v>
      </c>
      <c r="C906">
        <v>2009</v>
      </c>
      <c r="D906" s="11">
        <v>0.52847222222222223</v>
      </c>
      <c r="E906" t="s">
        <v>1739</v>
      </c>
      <c r="F906" t="s">
        <v>11</v>
      </c>
      <c r="G906">
        <v>1200</v>
      </c>
      <c r="H906" t="s">
        <v>12</v>
      </c>
      <c r="I906" t="s">
        <v>1034</v>
      </c>
      <c r="J906" t="s">
        <v>1543</v>
      </c>
      <c r="K906" t="s">
        <v>1533</v>
      </c>
      <c r="L906" s="9">
        <f>WEEKDAY(Table1_2[[#This Row],[Transaction date]])</f>
        <v>2</v>
      </c>
    </row>
    <row r="907" spans="1:12" x14ac:dyDescent="0.3">
      <c r="A907" t="str">
        <f t="shared" si="14"/>
        <v>28-Jan 2009</v>
      </c>
      <c r="B907" s="10">
        <v>39841</v>
      </c>
      <c r="C907">
        <v>2009</v>
      </c>
      <c r="D907" s="11">
        <v>0.53749999999999998</v>
      </c>
      <c r="E907" t="s">
        <v>1739</v>
      </c>
      <c r="F907" t="s">
        <v>21</v>
      </c>
      <c r="G907">
        <v>100000</v>
      </c>
      <c r="H907" t="s">
        <v>17</v>
      </c>
      <c r="I907" t="s">
        <v>66</v>
      </c>
      <c r="J907" t="s">
        <v>1550</v>
      </c>
      <c r="K907" t="s">
        <v>1533</v>
      </c>
      <c r="L907" s="9">
        <f>WEEKDAY(Table1_2[[#This Row],[Transaction date]])</f>
        <v>4</v>
      </c>
    </row>
    <row r="908" spans="1:12" x14ac:dyDescent="0.3">
      <c r="A908" t="str">
        <f t="shared" si="14"/>
        <v>08-Jan 2009</v>
      </c>
      <c r="B908" s="10">
        <v>39821</v>
      </c>
      <c r="C908">
        <v>2009</v>
      </c>
      <c r="D908" s="11">
        <v>0.53194444444444444</v>
      </c>
      <c r="E908" t="s">
        <v>1739</v>
      </c>
      <c r="F908" t="s">
        <v>11</v>
      </c>
      <c r="G908">
        <v>1200</v>
      </c>
      <c r="H908" t="s">
        <v>17</v>
      </c>
      <c r="I908" t="s">
        <v>1596</v>
      </c>
      <c r="J908" t="s">
        <v>1597</v>
      </c>
      <c r="K908" t="s">
        <v>1533</v>
      </c>
      <c r="L908" s="9">
        <f>WEEKDAY(Table1_2[[#This Row],[Transaction date]])</f>
        <v>5</v>
      </c>
    </row>
    <row r="909" spans="1:12" x14ac:dyDescent="0.3">
      <c r="A909" t="str">
        <f t="shared" si="14"/>
        <v>11-Jan 2009</v>
      </c>
      <c r="B909" s="10">
        <v>39824</v>
      </c>
      <c r="C909">
        <v>2009</v>
      </c>
      <c r="D909" s="11">
        <v>0.41319444444444442</v>
      </c>
      <c r="E909" t="s">
        <v>1738</v>
      </c>
      <c r="F909" t="s">
        <v>11</v>
      </c>
      <c r="G909">
        <v>1200</v>
      </c>
      <c r="H909" t="s">
        <v>12</v>
      </c>
      <c r="I909" t="s">
        <v>1598</v>
      </c>
      <c r="J909" t="s">
        <v>1599</v>
      </c>
      <c r="K909" t="s">
        <v>1533</v>
      </c>
      <c r="L909" s="9">
        <f>WEEKDAY(Table1_2[[#This Row],[Transaction date]])</f>
        <v>1</v>
      </c>
    </row>
    <row r="910" spans="1:12" x14ac:dyDescent="0.3">
      <c r="A910" t="str">
        <f t="shared" si="14"/>
        <v>09-Jan 2009</v>
      </c>
      <c r="B910" s="10">
        <v>39822</v>
      </c>
      <c r="C910">
        <v>2009</v>
      </c>
      <c r="D910" s="11">
        <v>0.3576388888888889</v>
      </c>
      <c r="E910" t="s">
        <v>1738</v>
      </c>
      <c r="F910" t="s">
        <v>11</v>
      </c>
      <c r="G910">
        <v>1200</v>
      </c>
      <c r="H910" t="s">
        <v>65</v>
      </c>
      <c r="I910" t="s">
        <v>1600</v>
      </c>
      <c r="J910" t="s">
        <v>1601</v>
      </c>
      <c r="K910" t="s">
        <v>1533</v>
      </c>
      <c r="L910" s="9">
        <f>WEEKDAY(Table1_2[[#This Row],[Transaction date]])</f>
        <v>6</v>
      </c>
    </row>
    <row r="911" spans="1:12" x14ac:dyDescent="0.3">
      <c r="A911" t="str">
        <f t="shared" si="14"/>
        <v>09-Jan 2009</v>
      </c>
      <c r="B911" s="10">
        <v>39822</v>
      </c>
      <c r="C911">
        <v>2009</v>
      </c>
      <c r="D911" s="11">
        <v>0.35069444444444442</v>
      </c>
      <c r="E911" t="s">
        <v>1738</v>
      </c>
      <c r="F911" t="s">
        <v>11</v>
      </c>
      <c r="G911">
        <v>1200</v>
      </c>
      <c r="H911" t="s">
        <v>65</v>
      </c>
      <c r="I911" t="s">
        <v>1602</v>
      </c>
      <c r="J911" t="s">
        <v>1569</v>
      </c>
      <c r="K911" t="s">
        <v>1533</v>
      </c>
      <c r="L911" s="9">
        <f>WEEKDAY(Table1_2[[#This Row],[Transaction date]])</f>
        <v>6</v>
      </c>
    </row>
    <row r="912" spans="1:12" x14ac:dyDescent="0.3">
      <c r="A912" t="str">
        <f t="shared" si="14"/>
        <v>15-Jan 2009</v>
      </c>
      <c r="B912" s="10">
        <v>39828</v>
      </c>
      <c r="C912">
        <v>2009</v>
      </c>
      <c r="D912" s="11">
        <v>0.41180555555555554</v>
      </c>
      <c r="E912" t="s">
        <v>1738</v>
      </c>
      <c r="F912" t="s">
        <v>11</v>
      </c>
      <c r="G912">
        <v>1200</v>
      </c>
      <c r="H912" t="s">
        <v>12</v>
      </c>
      <c r="I912" t="s">
        <v>509</v>
      </c>
      <c r="J912" t="s">
        <v>1575</v>
      </c>
      <c r="K912" t="s">
        <v>1533</v>
      </c>
      <c r="L912" s="9">
        <f>WEEKDAY(Table1_2[[#This Row],[Transaction date]])</f>
        <v>5</v>
      </c>
    </row>
    <row r="913" spans="1:12" x14ac:dyDescent="0.3">
      <c r="A913" t="str">
        <f t="shared" si="14"/>
        <v>13-Jan 2009</v>
      </c>
      <c r="B913" s="10">
        <v>39826</v>
      </c>
      <c r="C913">
        <v>2009</v>
      </c>
      <c r="D913" s="11">
        <v>0.49722222222222223</v>
      </c>
      <c r="E913" t="s">
        <v>1738</v>
      </c>
      <c r="F913" t="s">
        <v>11</v>
      </c>
      <c r="G913">
        <v>1200</v>
      </c>
      <c r="H913" t="s">
        <v>65</v>
      </c>
      <c r="I913" t="s">
        <v>593</v>
      </c>
      <c r="J913" t="s">
        <v>1566</v>
      </c>
      <c r="K913" t="s">
        <v>1533</v>
      </c>
      <c r="L913" s="9">
        <f>WEEKDAY(Table1_2[[#This Row],[Transaction date]])</f>
        <v>3</v>
      </c>
    </row>
    <row r="914" spans="1:12" x14ac:dyDescent="0.3">
      <c r="A914" t="str">
        <f t="shared" si="14"/>
        <v>24-Jan 2009</v>
      </c>
      <c r="B914" s="10">
        <v>39837</v>
      </c>
      <c r="C914">
        <v>2009</v>
      </c>
      <c r="D914" s="11">
        <v>0.37361111111111112</v>
      </c>
      <c r="E914" t="s">
        <v>1738</v>
      </c>
      <c r="F914" t="s">
        <v>11</v>
      </c>
      <c r="G914">
        <v>1200</v>
      </c>
      <c r="H914" t="s">
        <v>12</v>
      </c>
      <c r="I914" t="s">
        <v>1603</v>
      </c>
      <c r="J914" t="s">
        <v>1604</v>
      </c>
      <c r="K914" t="s">
        <v>1533</v>
      </c>
      <c r="L914" s="9">
        <f>WEEKDAY(Table1_2[[#This Row],[Transaction date]])</f>
        <v>7</v>
      </c>
    </row>
    <row r="915" spans="1:12" x14ac:dyDescent="0.3">
      <c r="A915" t="str">
        <f t="shared" si="14"/>
        <v>04-Jan 2009</v>
      </c>
      <c r="B915" s="10">
        <v>39817</v>
      </c>
      <c r="C915">
        <v>2009</v>
      </c>
      <c r="D915" s="11">
        <v>0.44722222222222224</v>
      </c>
      <c r="E915" t="s">
        <v>1738</v>
      </c>
      <c r="F915" t="s">
        <v>11</v>
      </c>
      <c r="G915">
        <v>1200</v>
      </c>
      <c r="H915" t="s">
        <v>65</v>
      </c>
      <c r="I915" t="s">
        <v>1605</v>
      </c>
      <c r="J915" t="s">
        <v>1606</v>
      </c>
      <c r="K915" t="s">
        <v>1533</v>
      </c>
      <c r="L915" s="9">
        <f>WEEKDAY(Table1_2[[#This Row],[Transaction date]])</f>
        <v>1</v>
      </c>
    </row>
    <row r="916" spans="1:12" x14ac:dyDescent="0.3">
      <c r="A916" t="str">
        <f t="shared" si="14"/>
        <v>03-Jan 2009</v>
      </c>
      <c r="B916" s="10">
        <v>39816</v>
      </c>
      <c r="C916">
        <v>2009</v>
      </c>
      <c r="D916" s="11">
        <v>0.27986111111111112</v>
      </c>
      <c r="E916" t="s">
        <v>1738</v>
      </c>
      <c r="F916" t="s">
        <v>11</v>
      </c>
      <c r="G916">
        <v>1200</v>
      </c>
      <c r="H916" t="s">
        <v>12</v>
      </c>
      <c r="I916" t="s">
        <v>86</v>
      </c>
      <c r="J916" t="s">
        <v>1607</v>
      </c>
      <c r="K916" t="s">
        <v>1533</v>
      </c>
      <c r="L916" s="9">
        <f>WEEKDAY(Table1_2[[#This Row],[Transaction date]])</f>
        <v>7</v>
      </c>
    </row>
    <row r="917" spans="1:12" x14ac:dyDescent="0.3">
      <c r="A917" t="str">
        <f t="shared" si="14"/>
        <v>08-Jan 2009</v>
      </c>
      <c r="B917" s="10">
        <v>39821</v>
      </c>
      <c r="C917">
        <v>2009</v>
      </c>
      <c r="D917" s="11">
        <v>0.44722222222222224</v>
      </c>
      <c r="E917" t="s">
        <v>1738</v>
      </c>
      <c r="F917" t="s">
        <v>11</v>
      </c>
      <c r="G917">
        <v>1200</v>
      </c>
      <c r="H917" t="s">
        <v>12</v>
      </c>
      <c r="I917" t="s">
        <v>668</v>
      </c>
      <c r="J917" t="s">
        <v>1608</v>
      </c>
      <c r="K917" t="s">
        <v>1533</v>
      </c>
      <c r="L917" s="9">
        <f>WEEKDAY(Table1_2[[#This Row],[Transaction date]])</f>
        <v>5</v>
      </c>
    </row>
    <row r="918" spans="1:12" x14ac:dyDescent="0.3">
      <c r="A918" t="str">
        <f t="shared" si="14"/>
        <v>24-Jan 2009</v>
      </c>
      <c r="B918" s="10">
        <v>39837</v>
      </c>
      <c r="C918">
        <v>2009</v>
      </c>
      <c r="D918" s="11">
        <v>0.53888888888888886</v>
      </c>
      <c r="E918" t="s">
        <v>1739</v>
      </c>
      <c r="F918" t="s">
        <v>11</v>
      </c>
      <c r="G918">
        <v>1200</v>
      </c>
      <c r="H918" t="s">
        <v>12</v>
      </c>
      <c r="I918" t="s">
        <v>1609</v>
      </c>
      <c r="J918" t="s">
        <v>1610</v>
      </c>
      <c r="K918" t="s">
        <v>1533</v>
      </c>
      <c r="L918" s="9">
        <f>WEEKDAY(Table1_2[[#This Row],[Transaction date]])</f>
        <v>7</v>
      </c>
    </row>
    <row r="919" spans="1:12" x14ac:dyDescent="0.3">
      <c r="A919" t="str">
        <f t="shared" si="14"/>
        <v>05-Jan 2009</v>
      </c>
      <c r="B919" s="10">
        <v>39818</v>
      </c>
      <c r="C919">
        <v>2009</v>
      </c>
      <c r="D919" s="11">
        <v>0.38541666666666669</v>
      </c>
      <c r="E919" t="s">
        <v>1738</v>
      </c>
      <c r="F919" t="s">
        <v>11</v>
      </c>
      <c r="G919">
        <v>1200</v>
      </c>
      <c r="H919" t="s">
        <v>12</v>
      </c>
      <c r="I919" t="s">
        <v>1611</v>
      </c>
      <c r="J919" t="s">
        <v>1612</v>
      </c>
      <c r="K919" t="s">
        <v>1533</v>
      </c>
      <c r="L919" s="9">
        <f>WEEKDAY(Table1_2[[#This Row],[Transaction date]])</f>
        <v>2</v>
      </c>
    </row>
    <row r="920" spans="1:12" x14ac:dyDescent="0.3">
      <c r="A920" t="str">
        <f t="shared" si="14"/>
        <v>26-Jan 2009</v>
      </c>
      <c r="B920" s="10">
        <v>39839</v>
      </c>
      <c r="C920">
        <v>2009</v>
      </c>
      <c r="D920" s="11">
        <v>0.43472222222222223</v>
      </c>
      <c r="E920" t="s">
        <v>1738</v>
      </c>
      <c r="F920" t="s">
        <v>11</v>
      </c>
      <c r="G920">
        <v>1200</v>
      </c>
      <c r="H920" t="s">
        <v>12</v>
      </c>
      <c r="I920" t="s">
        <v>1613</v>
      </c>
      <c r="J920" t="s">
        <v>1543</v>
      </c>
      <c r="K920" t="s">
        <v>1533</v>
      </c>
      <c r="L920" s="9">
        <f>WEEKDAY(Table1_2[[#This Row],[Transaction date]])</f>
        <v>2</v>
      </c>
    </row>
    <row r="921" spans="1:12" x14ac:dyDescent="0.3">
      <c r="A921" t="str">
        <f t="shared" si="14"/>
        <v>28-Jan 2009</v>
      </c>
      <c r="B921" s="10">
        <v>39841</v>
      </c>
      <c r="C921">
        <v>2009</v>
      </c>
      <c r="D921" s="11">
        <v>0.30972222222222223</v>
      </c>
      <c r="E921" t="s">
        <v>1738</v>
      </c>
      <c r="F921" t="s">
        <v>11</v>
      </c>
      <c r="G921">
        <v>1200</v>
      </c>
      <c r="H921" t="s">
        <v>12</v>
      </c>
      <c r="I921" t="s">
        <v>1614</v>
      </c>
      <c r="J921" t="s">
        <v>1615</v>
      </c>
      <c r="K921" t="s">
        <v>1533</v>
      </c>
      <c r="L921" s="9">
        <f>WEEKDAY(Table1_2[[#This Row],[Transaction date]])</f>
        <v>4</v>
      </c>
    </row>
    <row r="922" spans="1:12" x14ac:dyDescent="0.3">
      <c r="A922" t="str">
        <f t="shared" si="14"/>
        <v>20-Jan 2009</v>
      </c>
      <c r="B922" s="10">
        <v>39833</v>
      </c>
      <c r="C922">
        <v>2009</v>
      </c>
      <c r="D922" s="11">
        <v>0.37361111111111112</v>
      </c>
      <c r="E922" t="s">
        <v>1738</v>
      </c>
      <c r="F922" t="s">
        <v>11</v>
      </c>
      <c r="G922">
        <v>1200</v>
      </c>
      <c r="H922" t="s">
        <v>12</v>
      </c>
      <c r="I922" t="s">
        <v>1447</v>
      </c>
      <c r="J922" t="s">
        <v>1601</v>
      </c>
      <c r="K922" t="s">
        <v>1533</v>
      </c>
      <c r="L922" s="9">
        <f>WEEKDAY(Table1_2[[#This Row],[Transaction date]])</f>
        <v>3</v>
      </c>
    </row>
    <row r="923" spans="1:12" x14ac:dyDescent="0.3">
      <c r="A923" t="str">
        <f t="shared" si="14"/>
        <v>17-Jan 2009</v>
      </c>
      <c r="B923" s="10">
        <v>39830</v>
      </c>
      <c r="C923">
        <v>2009</v>
      </c>
      <c r="D923" s="11">
        <v>0.42638888888888887</v>
      </c>
      <c r="E923" t="s">
        <v>1738</v>
      </c>
      <c r="F923" t="s">
        <v>11</v>
      </c>
      <c r="G923">
        <v>1200</v>
      </c>
      <c r="H923" t="s">
        <v>17</v>
      </c>
      <c r="I923" t="s">
        <v>83</v>
      </c>
      <c r="J923" t="s">
        <v>1616</v>
      </c>
      <c r="K923" t="s">
        <v>1533</v>
      </c>
      <c r="L923" s="9">
        <f>WEEKDAY(Table1_2[[#This Row],[Transaction date]])</f>
        <v>7</v>
      </c>
    </row>
    <row r="924" spans="1:12" x14ac:dyDescent="0.3">
      <c r="A924" t="str">
        <f t="shared" si="14"/>
        <v>31-Jan 2009</v>
      </c>
      <c r="B924" s="10">
        <v>39844</v>
      </c>
      <c r="C924">
        <v>2009</v>
      </c>
      <c r="D924" s="11">
        <v>5.9722222222222225E-2</v>
      </c>
      <c r="E924" t="s">
        <v>1738</v>
      </c>
      <c r="F924" t="s">
        <v>11</v>
      </c>
      <c r="G924">
        <v>1200</v>
      </c>
      <c r="H924" t="s">
        <v>12</v>
      </c>
      <c r="I924" t="s">
        <v>1617</v>
      </c>
      <c r="J924" t="s">
        <v>1320</v>
      </c>
      <c r="K924" t="s">
        <v>1533</v>
      </c>
      <c r="L924" s="9">
        <f>WEEKDAY(Table1_2[[#This Row],[Transaction date]])</f>
        <v>7</v>
      </c>
    </row>
    <row r="925" spans="1:12" x14ac:dyDescent="0.3">
      <c r="A925" t="str">
        <f t="shared" si="14"/>
        <v>25-Jan 2009</v>
      </c>
      <c r="B925" s="10">
        <v>39838</v>
      </c>
      <c r="C925">
        <v>2009</v>
      </c>
      <c r="D925" s="11">
        <v>0.17222222222222222</v>
      </c>
      <c r="E925" t="s">
        <v>1738</v>
      </c>
      <c r="F925" t="s">
        <v>11</v>
      </c>
      <c r="G925">
        <v>1200</v>
      </c>
      <c r="H925" t="s">
        <v>65</v>
      </c>
      <c r="I925" t="s">
        <v>261</v>
      </c>
      <c r="J925" t="s">
        <v>1550</v>
      </c>
      <c r="K925" t="s">
        <v>1533</v>
      </c>
      <c r="L925" s="9">
        <f>WEEKDAY(Table1_2[[#This Row],[Transaction date]])</f>
        <v>1</v>
      </c>
    </row>
    <row r="926" spans="1:12" x14ac:dyDescent="0.3">
      <c r="A926" t="str">
        <f t="shared" si="14"/>
        <v>04-Jan 2009</v>
      </c>
      <c r="B926" s="10">
        <v>39817</v>
      </c>
      <c r="C926">
        <v>2009</v>
      </c>
      <c r="D926" s="11">
        <v>0.42916666666666664</v>
      </c>
      <c r="E926" t="s">
        <v>1738</v>
      </c>
      <c r="F926" t="s">
        <v>21</v>
      </c>
      <c r="G926">
        <v>100000</v>
      </c>
      <c r="H926" t="s">
        <v>17</v>
      </c>
      <c r="I926" t="s">
        <v>1618</v>
      </c>
      <c r="J926" t="s">
        <v>1619</v>
      </c>
      <c r="K926" t="s">
        <v>1533</v>
      </c>
      <c r="L926" s="9">
        <f>WEEKDAY(Table1_2[[#This Row],[Transaction date]])</f>
        <v>1</v>
      </c>
    </row>
    <row r="927" spans="1:12" x14ac:dyDescent="0.3">
      <c r="A927" t="str">
        <f t="shared" si="14"/>
        <v>29-Jan 2009</v>
      </c>
      <c r="B927" s="10">
        <v>39842</v>
      </c>
      <c r="C927">
        <v>2009</v>
      </c>
      <c r="D927" s="11">
        <v>0.40277777777777779</v>
      </c>
      <c r="E927" t="s">
        <v>1738</v>
      </c>
      <c r="F927" t="s">
        <v>11</v>
      </c>
      <c r="G927">
        <v>1200</v>
      </c>
      <c r="H927" t="s">
        <v>12</v>
      </c>
      <c r="I927" t="s">
        <v>1620</v>
      </c>
      <c r="J927" t="s">
        <v>1550</v>
      </c>
      <c r="K927" t="s">
        <v>1533</v>
      </c>
      <c r="L927" s="9">
        <f>WEEKDAY(Table1_2[[#This Row],[Transaction date]])</f>
        <v>5</v>
      </c>
    </row>
    <row r="928" spans="1:12" x14ac:dyDescent="0.3">
      <c r="A928" t="str">
        <f t="shared" si="14"/>
        <v>07-Jan 2009</v>
      </c>
      <c r="B928" s="10">
        <v>39820</v>
      </c>
      <c r="C928">
        <v>2009</v>
      </c>
      <c r="D928" s="11">
        <v>0.30416666666666664</v>
      </c>
      <c r="E928" t="s">
        <v>1738</v>
      </c>
      <c r="F928" t="s">
        <v>11</v>
      </c>
      <c r="G928">
        <v>1200</v>
      </c>
      <c r="H928" t="s">
        <v>17</v>
      </c>
      <c r="I928" t="s">
        <v>1621</v>
      </c>
      <c r="J928" t="s">
        <v>1531</v>
      </c>
      <c r="K928" t="s">
        <v>1533</v>
      </c>
      <c r="L928" s="9">
        <f>WEEKDAY(Table1_2[[#This Row],[Transaction date]])</f>
        <v>4</v>
      </c>
    </row>
    <row r="929" spans="1:12" x14ac:dyDescent="0.3">
      <c r="A929" t="str">
        <f t="shared" si="14"/>
        <v>06-Jan 2009</v>
      </c>
      <c r="B929" s="10">
        <v>39819</v>
      </c>
      <c r="C929">
        <v>2009</v>
      </c>
      <c r="D929" s="11">
        <v>0.36041666666666666</v>
      </c>
      <c r="E929" t="s">
        <v>1738</v>
      </c>
      <c r="F929" t="s">
        <v>21</v>
      </c>
      <c r="G929">
        <v>3600</v>
      </c>
      <c r="H929" t="s">
        <v>17</v>
      </c>
      <c r="I929" t="s">
        <v>84</v>
      </c>
      <c r="J929" t="s">
        <v>1622</v>
      </c>
      <c r="K929" t="s">
        <v>1533</v>
      </c>
      <c r="L929" s="9">
        <f>WEEKDAY(Table1_2[[#This Row],[Transaction date]])</f>
        <v>3</v>
      </c>
    </row>
    <row r="930" spans="1:12" x14ac:dyDescent="0.3">
      <c r="A930" t="str">
        <f t="shared" si="14"/>
        <v>20-Jan 2009</v>
      </c>
      <c r="B930" s="10">
        <v>39833</v>
      </c>
      <c r="C930">
        <v>2009</v>
      </c>
      <c r="D930" s="11">
        <v>0.22430555555555556</v>
      </c>
      <c r="E930" t="s">
        <v>1738</v>
      </c>
      <c r="F930" t="s">
        <v>21</v>
      </c>
      <c r="G930">
        <v>200000</v>
      </c>
      <c r="H930" t="s">
        <v>12</v>
      </c>
      <c r="I930" t="s">
        <v>627</v>
      </c>
      <c r="J930" t="s">
        <v>1575</v>
      </c>
      <c r="K930" t="s">
        <v>1533</v>
      </c>
      <c r="L930" s="9">
        <f>WEEKDAY(Table1_2[[#This Row],[Transaction date]])</f>
        <v>3</v>
      </c>
    </row>
    <row r="931" spans="1:12" x14ac:dyDescent="0.3">
      <c r="A931" t="str">
        <f t="shared" si="14"/>
        <v>02-Jan 2009</v>
      </c>
      <c r="B931" s="10">
        <v>39815</v>
      </c>
      <c r="C931">
        <v>2009</v>
      </c>
      <c r="D931" s="11">
        <v>0.43888888888888888</v>
      </c>
      <c r="E931" t="s">
        <v>1738</v>
      </c>
      <c r="F931" t="s">
        <v>11</v>
      </c>
      <c r="G931">
        <v>1200</v>
      </c>
      <c r="H931" t="s">
        <v>17</v>
      </c>
      <c r="I931" t="s">
        <v>1623</v>
      </c>
      <c r="J931" t="s">
        <v>1601</v>
      </c>
      <c r="K931" t="s">
        <v>1533</v>
      </c>
      <c r="L931" s="9">
        <f>WEEKDAY(Table1_2[[#This Row],[Transaction date]])</f>
        <v>6</v>
      </c>
    </row>
    <row r="932" spans="1:12" x14ac:dyDescent="0.3">
      <c r="A932" t="str">
        <f t="shared" si="14"/>
        <v>08-Jan 2009</v>
      </c>
      <c r="B932" s="10">
        <v>39821</v>
      </c>
      <c r="C932">
        <v>2009</v>
      </c>
      <c r="D932" s="11">
        <v>0.50208333333333333</v>
      </c>
      <c r="E932" t="s">
        <v>1739</v>
      </c>
      <c r="F932" t="s">
        <v>11</v>
      </c>
      <c r="G932">
        <v>1200</v>
      </c>
      <c r="H932" t="s">
        <v>65</v>
      </c>
      <c r="I932" t="s">
        <v>235</v>
      </c>
      <c r="J932" t="s">
        <v>1543</v>
      </c>
      <c r="K932" t="s">
        <v>1533</v>
      </c>
      <c r="L932" s="9">
        <f>WEEKDAY(Table1_2[[#This Row],[Transaction date]])</f>
        <v>5</v>
      </c>
    </row>
    <row r="933" spans="1:12" x14ac:dyDescent="0.3">
      <c r="A933" t="str">
        <f t="shared" si="14"/>
        <v>07-Jan 2009</v>
      </c>
      <c r="B933" s="10">
        <v>39820</v>
      </c>
      <c r="C933">
        <v>2009</v>
      </c>
      <c r="D933" s="11">
        <v>5.9722222222222225E-2</v>
      </c>
      <c r="E933" t="s">
        <v>1738</v>
      </c>
      <c r="F933" t="s">
        <v>11</v>
      </c>
      <c r="G933">
        <v>1200</v>
      </c>
      <c r="H933" t="s">
        <v>12</v>
      </c>
      <c r="I933" t="s">
        <v>420</v>
      </c>
      <c r="J933" t="s">
        <v>551</v>
      </c>
      <c r="K933" t="s">
        <v>1533</v>
      </c>
      <c r="L933" s="9">
        <f>WEEKDAY(Table1_2[[#This Row],[Transaction date]])</f>
        <v>4</v>
      </c>
    </row>
    <row r="934" spans="1:12" x14ac:dyDescent="0.3">
      <c r="A934" t="str">
        <f t="shared" si="14"/>
        <v>22-Jan 2009</v>
      </c>
      <c r="B934" s="10">
        <v>39835</v>
      </c>
      <c r="C934">
        <v>2009</v>
      </c>
      <c r="D934" s="11">
        <v>0.16597222222222222</v>
      </c>
      <c r="E934" t="s">
        <v>1738</v>
      </c>
      <c r="F934" t="s">
        <v>21</v>
      </c>
      <c r="G934">
        <v>200000</v>
      </c>
      <c r="H934" t="s">
        <v>12</v>
      </c>
      <c r="I934" t="s">
        <v>51</v>
      </c>
      <c r="J934" t="s">
        <v>1531</v>
      </c>
      <c r="K934" t="s">
        <v>1533</v>
      </c>
      <c r="L934" s="9">
        <f>WEEKDAY(Table1_2[[#This Row],[Transaction date]])</f>
        <v>5</v>
      </c>
    </row>
    <row r="935" spans="1:12" x14ac:dyDescent="0.3">
      <c r="A935" t="str">
        <f t="shared" si="14"/>
        <v>13-Jan 2009</v>
      </c>
      <c r="B935" s="10">
        <v>39826</v>
      </c>
      <c r="C935">
        <v>2009</v>
      </c>
      <c r="D935" s="11">
        <v>5.486111111111111E-2</v>
      </c>
      <c r="E935" t="s">
        <v>1738</v>
      </c>
      <c r="F935" t="s">
        <v>21</v>
      </c>
      <c r="G935">
        <v>200000</v>
      </c>
      <c r="H935" t="s">
        <v>17</v>
      </c>
      <c r="I935" t="s">
        <v>386</v>
      </c>
      <c r="J935" t="s">
        <v>1575</v>
      </c>
      <c r="K935" t="s">
        <v>1533</v>
      </c>
      <c r="L935" s="9">
        <f>WEEKDAY(Table1_2[[#This Row],[Transaction date]])</f>
        <v>3</v>
      </c>
    </row>
    <row r="936" spans="1:12" x14ac:dyDescent="0.3">
      <c r="A936" t="str">
        <f t="shared" si="14"/>
        <v>30-Jan 2009</v>
      </c>
      <c r="B936" s="10">
        <v>39843</v>
      </c>
      <c r="C936">
        <v>2009</v>
      </c>
      <c r="D936" s="11">
        <v>0.37361111111111112</v>
      </c>
      <c r="E936" t="s">
        <v>1738</v>
      </c>
      <c r="F936" t="s">
        <v>21</v>
      </c>
      <c r="G936">
        <v>200000</v>
      </c>
      <c r="H936" t="s">
        <v>17</v>
      </c>
      <c r="I936" t="s">
        <v>1624</v>
      </c>
      <c r="J936" t="s">
        <v>1625</v>
      </c>
      <c r="K936" t="s">
        <v>1533</v>
      </c>
      <c r="L936" s="9">
        <f>WEEKDAY(Table1_2[[#This Row],[Transaction date]])</f>
        <v>6</v>
      </c>
    </row>
    <row r="937" spans="1:12" x14ac:dyDescent="0.3">
      <c r="A937" t="str">
        <f t="shared" si="14"/>
        <v>20-Jan 2009</v>
      </c>
      <c r="B937" s="10">
        <v>39833</v>
      </c>
      <c r="C937">
        <v>2009</v>
      </c>
      <c r="D937" s="11">
        <v>0.4201388888888889</v>
      </c>
      <c r="E937" t="s">
        <v>1738</v>
      </c>
      <c r="F937" t="s">
        <v>21</v>
      </c>
      <c r="G937">
        <v>200000</v>
      </c>
      <c r="H937" t="s">
        <v>12</v>
      </c>
      <c r="I937" t="s">
        <v>1627</v>
      </c>
      <c r="J937" t="s">
        <v>1543</v>
      </c>
      <c r="K937" t="s">
        <v>1533</v>
      </c>
      <c r="L937" s="9">
        <f>WEEKDAY(Table1_2[[#This Row],[Transaction date]])</f>
        <v>3</v>
      </c>
    </row>
    <row r="938" spans="1:12" x14ac:dyDescent="0.3">
      <c r="A938" t="str">
        <f t="shared" si="14"/>
        <v>19-Jan 2009</v>
      </c>
      <c r="B938" s="10">
        <v>39832</v>
      </c>
      <c r="C938">
        <v>2009</v>
      </c>
      <c r="D938" s="11">
        <v>0.13819444444444445</v>
      </c>
      <c r="E938" t="s">
        <v>1738</v>
      </c>
      <c r="F938" t="s">
        <v>11</v>
      </c>
      <c r="G938">
        <v>1200</v>
      </c>
      <c r="H938" t="s">
        <v>17</v>
      </c>
      <c r="I938" t="s">
        <v>1628</v>
      </c>
      <c r="J938" t="s">
        <v>1629</v>
      </c>
      <c r="K938" t="s">
        <v>1631</v>
      </c>
      <c r="L938" s="9">
        <f>WEEKDAY(Table1_2[[#This Row],[Transaction date]])</f>
        <v>2</v>
      </c>
    </row>
    <row r="939" spans="1:12" x14ac:dyDescent="0.3">
      <c r="A939" t="str">
        <f t="shared" si="14"/>
        <v>17-Jan 2009</v>
      </c>
      <c r="B939" s="10">
        <v>39830</v>
      </c>
      <c r="C939">
        <v>2009</v>
      </c>
      <c r="D939" s="11">
        <v>0.46458333333333335</v>
      </c>
      <c r="E939" t="s">
        <v>1738</v>
      </c>
      <c r="F939" t="s">
        <v>11</v>
      </c>
      <c r="G939">
        <v>1200</v>
      </c>
      <c r="H939" t="s">
        <v>17</v>
      </c>
      <c r="I939" t="s">
        <v>1632</v>
      </c>
      <c r="J939" t="s">
        <v>1633</v>
      </c>
      <c r="K939" t="s">
        <v>1635</v>
      </c>
      <c r="L939" s="9">
        <f>WEEKDAY(Table1_2[[#This Row],[Transaction date]])</f>
        <v>7</v>
      </c>
    </row>
    <row r="940" spans="1:12" x14ac:dyDescent="0.3">
      <c r="A940" t="str">
        <f t="shared" si="14"/>
        <v>14-Jan 2009</v>
      </c>
      <c r="B940" s="10">
        <v>39827</v>
      </c>
      <c r="C940">
        <v>2009</v>
      </c>
      <c r="D940" s="11">
        <v>0.43888888888888888</v>
      </c>
      <c r="E940" t="s">
        <v>1738</v>
      </c>
      <c r="F940" t="s">
        <v>64</v>
      </c>
      <c r="G940">
        <v>200000</v>
      </c>
      <c r="H940" t="s">
        <v>17</v>
      </c>
      <c r="I940" t="s">
        <v>1221</v>
      </c>
      <c r="J940" t="s">
        <v>1636</v>
      </c>
      <c r="K940" t="s">
        <v>1635</v>
      </c>
      <c r="L940" s="9">
        <f>WEEKDAY(Table1_2[[#This Row],[Transaction date]])</f>
        <v>4</v>
      </c>
    </row>
    <row r="941" spans="1:12" x14ac:dyDescent="0.3">
      <c r="A941" t="str">
        <f t="shared" si="14"/>
        <v>24-Jan 2009</v>
      </c>
      <c r="B941" s="10">
        <v>39837</v>
      </c>
      <c r="C941">
        <v>2009</v>
      </c>
      <c r="D941" s="11">
        <v>0.43472222222222223</v>
      </c>
      <c r="E941" t="s">
        <v>1738</v>
      </c>
      <c r="F941" t="s">
        <v>11</v>
      </c>
      <c r="G941">
        <v>1200</v>
      </c>
      <c r="H941" t="s">
        <v>12</v>
      </c>
      <c r="I941" t="s">
        <v>1609</v>
      </c>
      <c r="J941" t="s">
        <v>1638</v>
      </c>
      <c r="K941" t="s">
        <v>1635</v>
      </c>
      <c r="L941" s="9">
        <f>WEEKDAY(Table1_2[[#This Row],[Transaction date]])</f>
        <v>7</v>
      </c>
    </row>
    <row r="942" spans="1:12" x14ac:dyDescent="0.3">
      <c r="A942" t="str">
        <f t="shared" si="14"/>
        <v>25-Jan 2009</v>
      </c>
      <c r="B942" s="10">
        <v>39838</v>
      </c>
      <c r="C942">
        <v>2009</v>
      </c>
      <c r="D942" s="11">
        <v>0.32222222222222224</v>
      </c>
      <c r="E942" t="s">
        <v>1738</v>
      </c>
      <c r="F942" t="s">
        <v>11</v>
      </c>
      <c r="G942">
        <v>1200</v>
      </c>
      <c r="H942" t="s">
        <v>17</v>
      </c>
      <c r="I942" t="s">
        <v>1640</v>
      </c>
      <c r="J942" t="s">
        <v>1641</v>
      </c>
      <c r="K942" t="s">
        <v>1635</v>
      </c>
      <c r="L942" s="9">
        <f>WEEKDAY(Table1_2[[#This Row],[Transaction date]])</f>
        <v>1</v>
      </c>
    </row>
    <row r="943" spans="1:12" x14ac:dyDescent="0.3">
      <c r="A943" t="str">
        <f t="shared" si="14"/>
        <v>18-Jan 2009</v>
      </c>
      <c r="B943" s="10">
        <v>39831</v>
      </c>
      <c r="C943">
        <v>2009</v>
      </c>
      <c r="D943" s="11">
        <v>0.24652777777777779</v>
      </c>
      <c r="E943" t="s">
        <v>1738</v>
      </c>
      <c r="F943" t="s">
        <v>11</v>
      </c>
      <c r="G943">
        <v>1200</v>
      </c>
      <c r="H943" t="s">
        <v>65</v>
      </c>
      <c r="I943" t="s">
        <v>1643</v>
      </c>
      <c r="J943" t="s">
        <v>1644</v>
      </c>
      <c r="K943" t="s">
        <v>1635</v>
      </c>
      <c r="L943" s="9">
        <f>WEEKDAY(Table1_2[[#This Row],[Transaction date]])</f>
        <v>1</v>
      </c>
    </row>
    <row r="944" spans="1:12" x14ac:dyDescent="0.3">
      <c r="A944" t="str">
        <f t="shared" si="14"/>
        <v>23-Jan 2009</v>
      </c>
      <c r="B944" s="10">
        <v>39836</v>
      </c>
      <c r="C944">
        <v>2009</v>
      </c>
      <c r="D944" s="11">
        <v>0.30069444444444443</v>
      </c>
      <c r="E944" t="s">
        <v>1738</v>
      </c>
      <c r="F944" t="s">
        <v>11</v>
      </c>
      <c r="G944">
        <v>1200</v>
      </c>
      <c r="H944" t="s">
        <v>12</v>
      </c>
      <c r="I944" t="s">
        <v>675</v>
      </c>
      <c r="J944" t="s">
        <v>1593</v>
      </c>
      <c r="K944" t="s">
        <v>1646</v>
      </c>
      <c r="L944" s="9">
        <f>WEEKDAY(Table1_2[[#This Row],[Transaction date]])</f>
        <v>6</v>
      </c>
    </row>
    <row r="945" spans="1:12" x14ac:dyDescent="0.3">
      <c r="A945" t="str">
        <f t="shared" si="14"/>
        <v>11-Jan 2009</v>
      </c>
      <c r="B945" s="10">
        <v>39824</v>
      </c>
      <c r="C945">
        <v>2009</v>
      </c>
      <c r="D945" s="11">
        <v>9.5138888888888884E-2</v>
      </c>
      <c r="E945" t="s">
        <v>1738</v>
      </c>
      <c r="F945" t="s">
        <v>11</v>
      </c>
      <c r="G945">
        <v>1200</v>
      </c>
      <c r="H945" t="s">
        <v>12</v>
      </c>
      <c r="I945" t="s">
        <v>541</v>
      </c>
      <c r="J945" t="s">
        <v>1647</v>
      </c>
      <c r="K945" t="s">
        <v>1649</v>
      </c>
      <c r="L945" s="9">
        <f>WEEKDAY(Table1_2[[#This Row],[Transaction date]])</f>
        <v>1</v>
      </c>
    </row>
    <row r="946" spans="1:12" x14ac:dyDescent="0.3">
      <c r="A946" t="str">
        <f t="shared" si="14"/>
        <v>07-Jan 2009</v>
      </c>
      <c r="B946" s="10">
        <v>39820</v>
      </c>
      <c r="C946">
        <v>2009</v>
      </c>
      <c r="D946" s="11">
        <v>0.30486111111111114</v>
      </c>
      <c r="E946" t="s">
        <v>1738</v>
      </c>
      <c r="F946" t="s">
        <v>11</v>
      </c>
      <c r="G946">
        <v>1200</v>
      </c>
      <c r="H946" t="s">
        <v>65</v>
      </c>
      <c r="I946" t="s">
        <v>1650</v>
      </c>
      <c r="J946" t="s">
        <v>1651</v>
      </c>
      <c r="K946" t="s">
        <v>1649</v>
      </c>
      <c r="L946" s="9">
        <f>WEEKDAY(Table1_2[[#This Row],[Transaction date]])</f>
        <v>4</v>
      </c>
    </row>
    <row r="947" spans="1:12" x14ac:dyDescent="0.3">
      <c r="A947" t="str">
        <f t="shared" si="14"/>
        <v>30-Jan 2009</v>
      </c>
      <c r="B947" s="10">
        <v>39843</v>
      </c>
      <c r="C947">
        <v>2009</v>
      </c>
      <c r="D947" s="11">
        <v>0.21736111111111112</v>
      </c>
      <c r="E947" t="s">
        <v>1738</v>
      </c>
      <c r="F947" t="s">
        <v>11</v>
      </c>
      <c r="G947">
        <v>1200</v>
      </c>
      <c r="H947" t="s">
        <v>12</v>
      </c>
      <c r="I947" t="s">
        <v>1652</v>
      </c>
      <c r="J947" t="s">
        <v>1653</v>
      </c>
      <c r="K947" t="s">
        <v>1649</v>
      </c>
      <c r="L947" s="9">
        <f>WEEKDAY(Table1_2[[#This Row],[Transaction date]])</f>
        <v>6</v>
      </c>
    </row>
    <row r="948" spans="1:12" x14ac:dyDescent="0.3">
      <c r="A948" t="str">
        <f t="shared" si="14"/>
        <v>26-Jan 2009</v>
      </c>
      <c r="B948" s="10">
        <v>39839</v>
      </c>
      <c r="C948">
        <v>2009</v>
      </c>
      <c r="D948" s="11">
        <v>7.2222222222222215E-2</v>
      </c>
      <c r="E948" t="s">
        <v>1738</v>
      </c>
      <c r="F948" t="s">
        <v>21</v>
      </c>
      <c r="G948">
        <v>200000</v>
      </c>
      <c r="H948" t="s">
        <v>12</v>
      </c>
      <c r="I948" t="s">
        <v>1654</v>
      </c>
      <c r="J948" t="s">
        <v>1647</v>
      </c>
      <c r="K948" t="s">
        <v>1649</v>
      </c>
      <c r="L948" s="9">
        <f>WEEKDAY(Table1_2[[#This Row],[Transaction date]])</f>
        <v>2</v>
      </c>
    </row>
    <row r="949" spans="1:12" x14ac:dyDescent="0.3">
      <c r="A949" t="str">
        <f t="shared" si="14"/>
        <v>24-Jan 2009</v>
      </c>
      <c r="B949" s="10">
        <v>39837</v>
      </c>
      <c r="C949">
        <v>2009</v>
      </c>
      <c r="D949" s="11">
        <v>0.49583333333333335</v>
      </c>
      <c r="E949" t="s">
        <v>1738</v>
      </c>
      <c r="F949" t="s">
        <v>11</v>
      </c>
      <c r="G949">
        <v>1200</v>
      </c>
      <c r="H949" t="s">
        <v>12</v>
      </c>
      <c r="I949" t="s">
        <v>1655</v>
      </c>
      <c r="J949" t="s">
        <v>1651</v>
      </c>
      <c r="K949" t="s">
        <v>1649</v>
      </c>
      <c r="L949" s="9">
        <f>WEEKDAY(Table1_2[[#This Row],[Transaction date]])</f>
        <v>7</v>
      </c>
    </row>
    <row r="950" spans="1:12" x14ac:dyDescent="0.3">
      <c r="A950" t="str">
        <f t="shared" si="14"/>
        <v>19-Jan 2009</v>
      </c>
      <c r="B950" s="10">
        <v>39832</v>
      </c>
      <c r="C950">
        <v>2009</v>
      </c>
      <c r="D950" s="11">
        <v>0.28472222222222221</v>
      </c>
      <c r="E950" t="s">
        <v>1738</v>
      </c>
      <c r="F950" t="s">
        <v>11</v>
      </c>
      <c r="G950">
        <v>1200</v>
      </c>
      <c r="H950" t="s">
        <v>65</v>
      </c>
      <c r="I950" t="s">
        <v>534</v>
      </c>
      <c r="J950" t="s">
        <v>1651</v>
      </c>
      <c r="K950" t="s">
        <v>1649</v>
      </c>
      <c r="L950" s="9">
        <f>WEEKDAY(Table1_2[[#This Row],[Transaction date]])</f>
        <v>2</v>
      </c>
    </row>
    <row r="951" spans="1:12" x14ac:dyDescent="0.3">
      <c r="A951" t="str">
        <f t="shared" si="14"/>
        <v>06-Jan 2009</v>
      </c>
      <c r="B951" s="10">
        <v>39819</v>
      </c>
      <c r="C951">
        <v>2009</v>
      </c>
      <c r="D951" s="11">
        <v>8.8888888888888892E-2</v>
      </c>
      <c r="E951" t="s">
        <v>1738</v>
      </c>
      <c r="F951" t="s">
        <v>11</v>
      </c>
      <c r="G951">
        <v>1200</v>
      </c>
      <c r="H951" t="s">
        <v>17</v>
      </c>
      <c r="I951" t="s">
        <v>455</v>
      </c>
      <c r="J951" t="s">
        <v>1647</v>
      </c>
      <c r="K951" t="s">
        <v>1649</v>
      </c>
      <c r="L951" s="9">
        <f>WEEKDAY(Table1_2[[#This Row],[Transaction date]])</f>
        <v>3</v>
      </c>
    </row>
    <row r="952" spans="1:12" x14ac:dyDescent="0.3">
      <c r="A952" t="str">
        <f t="shared" si="14"/>
        <v>06-Jan 2009</v>
      </c>
      <c r="B952" s="10">
        <v>39819</v>
      </c>
      <c r="C952">
        <v>2009</v>
      </c>
      <c r="D952" s="11">
        <v>0.27152777777777776</v>
      </c>
      <c r="E952" t="s">
        <v>1738</v>
      </c>
      <c r="F952" t="s">
        <v>11</v>
      </c>
      <c r="G952">
        <v>1200</v>
      </c>
      <c r="H952" t="s">
        <v>12</v>
      </c>
      <c r="I952" t="s">
        <v>1656</v>
      </c>
      <c r="J952" t="s">
        <v>1657</v>
      </c>
      <c r="K952" t="s">
        <v>1649</v>
      </c>
      <c r="L952" s="9">
        <f>WEEKDAY(Table1_2[[#This Row],[Transaction date]])</f>
        <v>3</v>
      </c>
    </row>
    <row r="953" spans="1:12" x14ac:dyDescent="0.3">
      <c r="A953" t="str">
        <f t="shared" si="14"/>
        <v>12-Jan 2009</v>
      </c>
      <c r="B953" s="10">
        <v>39825</v>
      </c>
      <c r="C953">
        <v>2009</v>
      </c>
      <c r="D953" s="11">
        <v>0.27777777777777779</v>
      </c>
      <c r="E953" t="s">
        <v>1738</v>
      </c>
      <c r="F953" t="s">
        <v>11</v>
      </c>
      <c r="G953">
        <v>1200</v>
      </c>
      <c r="H953" t="s">
        <v>12</v>
      </c>
      <c r="I953" t="s">
        <v>1659</v>
      </c>
      <c r="J953" t="s">
        <v>1660</v>
      </c>
      <c r="K953" t="s">
        <v>1662</v>
      </c>
      <c r="L953" s="9">
        <f>WEEKDAY(Table1_2[[#This Row],[Transaction date]])</f>
        <v>2</v>
      </c>
    </row>
    <row r="954" spans="1:12" x14ac:dyDescent="0.3">
      <c r="A954" t="str">
        <f t="shared" si="14"/>
        <v>16-Jan 2009</v>
      </c>
      <c r="B954" s="10">
        <v>39829</v>
      </c>
      <c r="C954">
        <v>2009</v>
      </c>
      <c r="D954" s="11">
        <v>7.7083333333333337E-2</v>
      </c>
      <c r="E954" t="s">
        <v>1738</v>
      </c>
      <c r="F954" t="s">
        <v>11</v>
      </c>
      <c r="G954">
        <v>1200</v>
      </c>
      <c r="H954" t="s">
        <v>12</v>
      </c>
      <c r="I954" t="s">
        <v>90</v>
      </c>
      <c r="J954" t="s">
        <v>224</v>
      </c>
      <c r="K954" t="s">
        <v>1663</v>
      </c>
      <c r="L954" s="9">
        <f>WEEKDAY(Table1_2[[#This Row],[Transaction date]])</f>
        <v>6</v>
      </c>
    </row>
    <row r="955" spans="1:12" x14ac:dyDescent="0.3">
      <c r="A955" t="str">
        <f t="shared" si="14"/>
        <v>24-Jan 2009</v>
      </c>
      <c r="B955" s="10">
        <v>39837</v>
      </c>
      <c r="C955">
        <v>2009</v>
      </c>
      <c r="D955" s="11">
        <v>0.34791666666666665</v>
      </c>
      <c r="E955" t="s">
        <v>1738</v>
      </c>
      <c r="F955" t="s">
        <v>11</v>
      </c>
      <c r="G955">
        <v>1200</v>
      </c>
      <c r="H955" t="s">
        <v>17</v>
      </c>
      <c r="I955" t="s">
        <v>1664</v>
      </c>
      <c r="J955" t="s">
        <v>1665</v>
      </c>
      <c r="K955" t="s">
        <v>1663</v>
      </c>
      <c r="L955" s="9">
        <f>WEEKDAY(Table1_2[[#This Row],[Transaction date]])</f>
        <v>7</v>
      </c>
    </row>
    <row r="956" spans="1:12" x14ac:dyDescent="0.3">
      <c r="A956" t="str">
        <f t="shared" si="14"/>
        <v>24-Jan 2009</v>
      </c>
      <c r="B956" s="10">
        <v>39837</v>
      </c>
      <c r="C956">
        <v>2009</v>
      </c>
      <c r="D956" s="11">
        <v>0.35069444444444442</v>
      </c>
      <c r="E956" t="s">
        <v>1738</v>
      </c>
      <c r="F956" t="s">
        <v>11</v>
      </c>
      <c r="G956">
        <v>1200</v>
      </c>
      <c r="H956" t="s">
        <v>17</v>
      </c>
      <c r="I956" t="s">
        <v>1666</v>
      </c>
      <c r="J956" t="s">
        <v>1665</v>
      </c>
      <c r="K956" t="s">
        <v>1663</v>
      </c>
      <c r="L956" s="9">
        <f>WEEKDAY(Table1_2[[#This Row],[Transaction date]])</f>
        <v>7</v>
      </c>
    </row>
    <row r="957" spans="1:12" x14ac:dyDescent="0.3">
      <c r="A957" t="str">
        <f t="shared" si="14"/>
        <v>06-Jan 2009</v>
      </c>
      <c r="B957" s="10">
        <v>39819</v>
      </c>
      <c r="C957">
        <v>2009</v>
      </c>
      <c r="D957" s="11">
        <v>0.21527777777777779</v>
      </c>
      <c r="E957" t="s">
        <v>1738</v>
      </c>
      <c r="F957" t="s">
        <v>11</v>
      </c>
      <c r="G957">
        <v>1200</v>
      </c>
      <c r="H957" t="s">
        <v>12</v>
      </c>
      <c r="I957" t="s">
        <v>915</v>
      </c>
      <c r="J957" t="s">
        <v>1667</v>
      </c>
      <c r="K957" t="s">
        <v>1663</v>
      </c>
      <c r="L957" s="9">
        <f>WEEKDAY(Table1_2[[#This Row],[Transaction date]])</f>
        <v>3</v>
      </c>
    </row>
    <row r="958" spans="1:12" x14ac:dyDescent="0.3">
      <c r="A958" t="str">
        <f t="shared" si="14"/>
        <v>21-Jan 2009</v>
      </c>
      <c r="B958" s="10">
        <v>39834</v>
      </c>
      <c r="C958">
        <v>2009</v>
      </c>
      <c r="D958" s="11">
        <v>0.10694444444444444</v>
      </c>
      <c r="E958" t="s">
        <v>1738</v>
      </c>
      <c r="F958" t="s">
        <v>11</v>
      </c>
      <c r="G958">
        <v>1200</v>
      </c>
      <c r="H958" t="s">
        <v>17</v>
      </c>
      <c r="I958" t="s">
        <v>1669</v>
      </c>
      <c r="J958" t="s">
        <v>1670</v>
      </c>
      <c r="K958" t="s">
        <v>1663</v>
      </c>
      <c r="L958" s="9">
        <f>WEEKDAY(Table1_2[[#This Row],[Transaction date]])</f>
        <v>4</v>
      </c>
    </row>
    <row r="959" spans="1:12" x14ac:dyDescent="0.3">
      <c r="A959" t="str">
        <f t="shared" si="14"/>
        <v>25-Jan 2009</v>
      </c>
      <c r="B959" s="10">
        <v>39838</v>
      </c>
      <c r="C959">
        <v>2009</v>
      </c>
      <c r="D959" s="11">
        <v>0.49444444444444446</v>
      </c>
      <c r="E959" t="s">
        <v>1738</v>
      </c>
      <c r="F959" t="s">
        <v>21</v>
      </c>
      <c r="G959">
        <v>200000</v>
      </c>
      <c r="H959" t="s">
        <v>17</v>
      </c>
      <c r="I959" t="s">
        <v>1355</v>
      </c>
      <c r="J959" t="s">
        <v>1671</v>
      </c>
      <c r="K959" t="s">
        <v>1663</v>
      </c>
      <c r="L959" s="9">
        <f>WEEKDAY(Table1_2[[#This Row],[Transaction date]])</f>
        <v>1</v>
      </c>
    </row>
    <row r="960" spans="1:12" x14ac:dyDescent="0.3">
      <c r="A960" t="str">
        <f t="shared" si="14"/>
        <v>05-Jan 2009</v>
      </c>
      <c r="B960" s="10">
        <v>39818</v>
      </c>
      <c r="C960">
        <v>2009</v>
      </c>
      <c r="D960" s="11">
        <v>5.7638888888888892E-2</v>
      </c>
      <c r="E960" t="s">
        <v>1738</v>
      </c>
      <c r="F960" t="s">
        <v>11</v>
      </c>
      <c r="G960">
        <v>1200</v>
      </c>
      <c r="H960" t="s">
        <v>12</v>
      </c>
      <c r="I960" t="s">
        <v>1673</v>
      </c>
      <c r="J960" t="s">
        <v>1674</v>
      </c>
      <c r="K960" t="s">
        <v>1663</v>
      </c>
      <c r="L960" s="9">
        <f>WEEKDAY(Table1_2[[#This Row],[Transaction date]])</f>
        <v>2</v>
      </c>
    </row>
    <row r="961" spans="1:12" x14ac:dyDescent="0.3">
      <c r="A961" t="str">
        <f t="shared" si="14"/>
        <v>03-Jan 2009</v>
      </c>
      <c r="B961" s="10">
        <v>39816</v>
      </c>
      <c r="C961">
        <v>2009</v>
      </c>
      <c r="D961" s="11">
        <v>0.11388888888888889</v>
      </c>
      <c r="E961" t="s">
        <v>1738</v>
      </c>
      <c r="F961" t="s">
        <v>11</v>
      </c>
      <c r="G961">
        <v>1200</v>
      </c>
      <c r="H961" t="s">
        <v>12</v>
      </c>
      <c r="I961" t="s">
        <v>1675</v>
      </c>
      <c r="J961" t="s">
        <v>1676</v>
      </c>
      <c r="K961" t="s">
        <v>1678</v>
      </c>
      <c r="L961" s="9">
        <f>WEEKDAY(Table1_2[[#This Row],[Transaction date]])</f>
        <v>7</v>
      </c>
    </row>
    <row r="962" spans="1:12" x14ac:dyDescent="0.3">
      <c r="A962" t="str">
        <f t="shared" ref="A962:A999" si="15">TEXT(B962, "dd-mmm") &amp; " " &amp; C962</f>
        <v>05-Jan 2009</v>
      </c>
      <c r="B962" s="10">
        <v>39818</v>
      </c>
      <c r="C962">
        <v>2009</v>
      </c>
      <c r="D962" s="11">
        <v>0.33333333333333331</v>
      </c>
      <c r="E962" t="s">
        <v>1738</v>
      </c>
      <c r="F962" t="s">
        <v>21</v>
      </c>
      <c r="G962">
        <v>200000</v>
      </c>
      <c r="H962" t="s">
        <v>12</v>
      </c>
      <c r="I962" t="s">
        <v>1447</v>
      </c>
      <c r="J962" t="s">
        <v>1679</v>
      </c>
      <c r="K962" t="s">
        <v>1678</v>
      </c>
      <c r="L962" s="9">
        <f>WEEKDAY(Table1_2[[#This Row],[Transaction date]])</f>
        <v>2</v>
      </c>
    </row>
    <row r="963" spans="1:12" x14ac:dyDescent="0.3">
      <c r="A963" t="str">
        <f t="shared" si="15"/>
        <v>06-Jan 2009</v>
      </c>
      <c r="B963" s="10">
        <v>39819</v>
      </c>
      <c r="C963">
        <v>2009</v>
      </c>
      <c r="D963" s="11">
        <v>5.5555555555555552E-2</v>
      </c>
      <c r="E963" t="s">
        <v>1738</v>
      </c>
      <c r="F963" t="s">
        <v>11</v>
      </c>
      <c r="G963">
        <v>1200</v>
      </c>
      <c r="H963" t="s">
        <v>17</v>
      </c>
      <c r="I963" t="s">
        <v>218</v>
      </c>
      <c r="J963" t="s">
        <v>1681</v>
      </c>
      <c r="K963" t="s">
        <v>1678</v>
      </c>
      <c r="L963" s="9">
        <f>WEEKDAY(Table1_2[[#This Row],[Transaction date]])</f>
        <v>3</v>
      </c>
    </row>
    <row r="964" spans="1:12" x14ac:dyDescent="0.3">
      <c r="A964" t="str">
        <f t="shared" si="15"/>
        <v>11-Jan 2009</v>
      </c>
      <c r="B964" s="10">
        <v>39824</v>
      </c>
      <c r="C964">
        <v>2009</v>
      </c>
      <c r="D964" s="11">
        <v>8.611111111111111E-2</v>
      </c>
      <c r="E964" t="s">
        <v>1738</v>
      </c>
      <c r="F964" t="s">
        <v>11</v>
      </c>
      <c r="G964">
        <v>1200</v>
      </c>
      <c r="H964" t="s">
        <v>12</v>
      </c>
      <c r="I964" t="s">
        <v>820</v>
      </c>
      <c r="J964" t="s">
        <v>1682</v>
      </c>
      <c r="K964" t="s">
        <v>1678</v>
      </c>
      <c r="L964" s="9">
        <f>WEEKDAY(Table1_2[[#This Row],[Transaction date]])</f>
        <v>1</v>
      </c>
    </row>
    <row r="965" spans="1:12" x14ac:dyDescent="0.3">
      <c r="A965" t="str">
        <f t="shared" si="15"/>
        <v>12-Jan 2009</v>
      </c>
      <c r="B965" s="10">
        <v>39825</v>
      </c>
      <c r="C965">
        <v>2009</v>
      </c>
      <c r="D965" s="11">
        <v>6.7361111111111108E-2</v>
      </c>
      <c r="E965" t="s">
        <v>1738</v>
      </c>
      <c r="F965" t="s">
        <v>11</v>
      </c>
      <c r="G965">
        <v>1200</v>
      </c>
      <c r="H965" t="s">
        <v>12</v>
      </c>
      <c r="I965" t="s">
        <v>1683</v>
      </c>
      <c r="J965" t="s">
        <v>1684</v>
      </c>
      <c r="K965" t="s">
        <v>1678</v>
      </c>
      <c r="L965" s="9">
        <f>WEEKDAY(Table1_2[[#This Row],[Transaction date]])</f>
        <v>2</v>
      </c>
    </row>
    <row r="966" spans="1:12" x14ac:dyDescent="0.3">
      <c r="A966" t="str">
        <f t="shared" si="15"/>
        <v>04-Jan 2009</v>
      </c>
      <c r="B966" s="10">
        <v>39817</v>
      </c>
      <c r="C966">
        <v>2009</v>
      </c>
      <c r="D966" s="11">
        <v>6.805555555555555E-2</v>
      </c>
      <c r="E966" t="s">
        <v>1738</v>
      </c>
      <c r="F966" t="s">
        <v>11</v>
      </c>
      <c r="G966">
        <v>1200</v>
      </c>
      <c r="H966" t="s">
        <v>65</v>
      </c>
      <c r="I966" t="s">
        <v>1685</v>
      </c>
      <c r="J966" t="s">
        <v>1686</v>
      </c>
      <c r="K966" t="s">
        <v>1678</v>
      </c>
      <c r="L966" s="9">
        <f>WEEKDAY(Table1_2[[#This Row],[Transaction date]])</f>
        <v>1</v>
      </c>
    </row>
    <row r="967" spans="1:12" x14ac:dyDescent="0.3">
      <c r="A967" t="str">
        <f t="shared" si="15"/>
        <v>20-Jan 2009</v>
      </c>
      <c r="B967" s="10">
        <v>39833</v>
      </c>
      <c r="C967">
        <v>2009</v>
      </c>
      <c r="D967" s="11">
        <v>0.16041666666666668</v>
      </c>
      <c r="E967" t="s">
        <v>1738</v>
      </c>
      <c r="F967" t="s">
        <v>11</v>
      </c>
      <c r="G967">
        <v>1200</v>
      </c>
      <c r="H967" t="s">
        <v>12</v>
      </c>
      <c r="I967" t="s">
        <v>675</v>
      </c>
      <c r="J967" t="s">
        <v>1688</v>
      </c>
      <c r="K967" t="s">
        <v>1678</v>
      </c>
      <c r="L967" s="9">
        <f>WEEKDAY(Table1_2[[#This Row],[Transaction date]])</f>
        <v>3</v>
      </c>
    </row>
    <row r="968" spans="1:12" x14ac:dyDescent="0.3">
      <c r="A968" t="str">
        <f t="shared" si="15"/>
        <v>09-Jan 2009</v>
      </c>
      <c r="B968" s="10">
        <v>39822</v>
      </c>
      <c r="C968">
        <v>2009</v>
      </c>
      <c r="D968" s="11">
        <v>0.11874999999999999</v>
      </c>
      <c r="E968" t="s">
        <v>1738</v>
      </c>
      <c r="F968" t="s">
        <v>11</v>
      </c>
      <c r="G968">
        <v>1200</v>
      </c>
      <c r="H968" t="s">
        <v>12</v>
      </c>
      <c r="I968" t="s">
        <v>1689</v>
      </c>
      <c r="J968" t="s">
        <v>1690</v>
      </c>
      <c r="K968" t="s">
        <v>1678</v>
      </c>
      <c r="L968" s="9">
        <f>WEEKDAY(Table1_2[[#This Row],[Transaction date]])</f>
        <v>6</v>
      </c>
    </row>
    <row r="969" spans="1:12" x14ac:dyDescent="0.3">
      <c r="A969" t="str">
        <f t="shared" si="15"/>
        <v>16-Jan 2009</v>
      </c>
      <c r="B969" s="10">
        <v>39829</v>
      </c>
      <c r="C969">
        <v>2009</v>
      </c>
      <c r="D969" s="11">
        <v>0.27500000000000002</v>
      </c>
      <c r="E969" t="s">
        <v>1738</v>
      </c>
      <c r="F969" t="s">
        <v>11</v>
      </c>
      <c r="G969">
        <v>1200</v>
      </c>
      <c r="H969" t="s">
        <v>12</v>
      </c>
      <c r="I969" t="s">
        <v>675</v>
      </c>
      <c r="J969" t="s">
        <v>1691</v>
      </c>
      <c r="K969" t="s">
        <v>1678</v>
      </c>
      <c r="L969" s="9">
        <f>WEEKDAY(Table1_2[[#This Row],[Transaction date]])</f>
        <v>6</v>
      </c>
    </row>
    <row r="970" spans="1:12" x14ac:dyDescent="0.3">
      <c r="A970" t="str">
        <f t="shared" si="15"/>
        <v>02-Jan 2009</v>
      </c>
      <c r="B970" s="10">
        <v>39815</v>
      </c>
      <c r="C970">
        <v>2009</v>
      </c>
      <c r="D970" s="11">
        <v>0.10277777777777777</v>
      </c>
      <c r="E970" t="s">
        <v>1738</v>
      </c>
      <c r="F970" t="s">
        <v>11</v>
      </c>
      <c r="G970">
        <v>1200</v>
      </c>
      <c r="H970" t="s">
        <v>17</v>
      </c>
      <c r="I970" t="s">
        <v>1692</v>
      </c>
      <c r="J970" t="s">
        <v>1693</v>
      </c>
      <c r="K970" t="s">
        <v>1678</v>
      </c>
      <c r="L970" s="9">
        <f>WEEKDAY(Table1_2[[#This Row],[Transaction date]])</f>
        <v>6</v>
      </c>
    </row>
    <row r="971" spans="1:12" x14ac:dyDescent="0.3">
      <c r="A971" t="str">
        <f t="shared" si="15"/>
        <v>11-Jan 2009</v>
      </c>
      <c r="B971" s="10">
        <v>39824</v>
      </c>
      <c r="C971">
        <v>2009</v>
      </c>
      <c r="D971" s="11">
        <v>0.43194444444444446</v>
      </c>
      <c r="E971" t="s">
        <v>1738</v>
      </c>
      <c r="F971" t="s">
        <v>21</v>
      </c>
      <c r="G971">
        <v>200000</v>
      </c>
      <c r="H971" t="s">
        <v>12</v>
      </c>
      <c r="I971" t="s">
        <v>1694</v>
      </c>
      <c r="J971" t="s">
        <v>1695</v>
      </c>
      <c r="K971" t="s">
        <v>1678</v>
      </c>
      <c r="L971" s="9">
        <f>WEEKDAY(Table1_2[[#This Row],[Transaction date]])</f>
        <v>1</v>
      </c>
    </row>
    <row r="972" spans="1:12" x14ac:dyDescent="0.3">
      <c r="A972" t="str">
        <f t="shared" si="15"/>
        <v>07-Jan 2009</v>
      </c>
      <c r="B972" s="10">
        <v>39820</v>
      </c>
      <c r="C972">
        <v>2009</v>
      </c>
      <c r="D972" s="11">
        <v>0.41875000000000001</v>
      </c>
      <c r="E972" t="s">
        <v>1738</v>
      </c>
      <c r="F972" t="s">
        <v>11</v>
      </c>
      <c r="G972">
        <v>1200</v>
      </c>
      <c r="H972" t="s">
        <v>17</v>
      </c>
      <c r="I972" t="s">
        <v>1696</v>
      </c>
      <c r="J972" t="s">
        <v>1690</v>
      </c>
      <c r="K972" t="s">
        <v>1678</v>
      </c>
      <c r="L972" s="9">
        <f>WEEKDAY(Table1_2[[#This Row],[Transaction date]])</f>
        <v>4</v>
      </c>
    </row>
    <row r="973" spans="1:12" x14ac:dyDescent="0.3">
      <c r="A973" t="str">
        <f t="shared" si="15"/>
        <v>18-Jan 2009</v>
      </c>
      <c r="B973" s="10">
        <v>39831</v>
      </c>
      <c r="C973">
        <v>2009</v>
      </c>
      <c r="D973" s="11">
        <v>0.15694444444444444</v>
      </c>
      <c r="E973" t="s">
        <v>1738</v>
      </c>
      <c r="F973" t="s">
        <v>11</v>
      </c>
      <c r="G973">
        <v>1200</v>
      </c>
      <c r="H973" t="s">
        <v>12</v>
      </c>
      <c r="I973" t="s">
        <v>404</v>
      </c>
      <c r="J973" t="s">
        <v>1697</v>
      </c>
      <c r="K973" t="s">
        <v>1678</v>
      </c>
      <c r="L973" s="9">
        <f>WEEKDAY(Table1_2[[#This Row],[Transaction date]])</f>
        <v>1</v>
      </c>
    </row>
    <row r="974" spans="1:12" x14ac:dyDescent="0.3">
      <c r="A974" t="str">
        <f t="shared" si="15"/>
        <v>01-Jan 2009</v>
      </c>
      <c r="B974" s="10">
        <v>39814</v>
      </c>
      <c r="C974">
        <v>2009</v>
      </c>
      <c r="D974" s="11">
        <v>0.33958333333333335</v>
      </c>
      <c r="E974" t="s">
        <v>1738</v>
      </c>
      <c r="F974" t="s">
        <v>11</v>
      </c>
      <c r="G974">
        <v>1200</v>
      </c>
      <c r="H974" t="s">
        <v>17</v>
      </c>
      <c r="I974" t="s">
        <v>83</v>
      </c>
      <c r="J974" t="s">
        <v>1698</v>
      </c>
      <c r="K974" t="s">
        <v>1678</v>
      </c>
      <c r="L974" s="9">
        <f>WEEKDAY(Table1_2[[#This Row],[Transaction date]])</f>
        <v>5</v>
      </c>
    </row>
    <row r="975" spans="1:12" x14ac:dyDescent="0.3">
      <c r="A975" t="str">
        <f t="shared" si="15"/>
        <v>30-Jan 2009</v>
      </c>
      <c r="B975" s="10">
        <v>39843</v>
      </c>
      <c r="C975">
        <v>2009</v>
      </c>
      <c r="D975" s="11">
        <v>0.23125000000000001</v>
      </c>
      <c r="E975" t="s">
        <v>1738</v>
      </c>
      <c r="F975" t="s">
        <v>11</v>
      </c>
      <c r="G975">
        <v>1200</v>
      </c>
      <c r="H975" t="s">
        <v>12</v>
      </c>
      <c r="I975" t="s">
        <v>1699</v>
      </c>
      <c r="J975" t="s">
        <v>551</v>
      </c>
      <c r="K975" t="s">
        <v>1678</v>
      </c>
      <c r="L975" s="9">
        <f>WEEKDAY(Table1_2[[#This Row],[Transaction date]])</f>
        <v>6</v>
      </c>
    </row>
    <row r="976" spans="1:12" x14ac:dyDescent="0.3">
      <c r="A976" t="str">
        <f t="shared" si="15"/>
        <v>04-Jan 2009</v>
      </c>
      <c r="B976" s="10">
        <v>39817</v>
      </c>
      <c r="C976">
        <v>2009</v>
      </c>
      <c r="D976" s="11">
        <v>0.2076388888888889</v>
      </c>
      <c r="E976" t="s">
        <v>1738</v>
      </c>
      <c r="F976" t="s">
        <v>11</v>
      </c>
      <c r="G976">
        <v>1200</v>
      </c>
      <c r="H976" t="s">
        <v>12</v>
      </c>
      <c r="I976" t="s">
        <v>145</v>
      </c>
      <c r="J976" t="s">
        <v>1700</v>
      </c>
      <c r="K976" t="s">
        <v>1678</v>
      </c>
      <c r="L976" s="9">
        <f>WEEKDAY(Table1_2[[#This Row],[Transaction date]])</f>
        <v>1</v>
      </c>
    </row>
    <row r="977" spans="1:12" x14ac:dyDescent="0.3">
      <c r="A977" t="str">
        <f t="shared" si="15"/>
        <v>02-Jan 2009</v>
      </c>
      <c r="B977" s="10">
        <v>39815</v>
      </c>
      <c r="C977">
        <v>2009</v>
      </c>
      <c r="D977" s="11">
        <v>0.44722222222222224</v>
      </c>
      <c r="E977" t="s">
        <v>1738</v>
      </c>
      <c r="F977" t="s">
        <v>21</v>
      </c>
      <c r="G977">
        <v>200000</v>
      </c>
      <c r="H977" t="s">
        <v>12</v>
      </c>
      <c r="I977" t="s">
        <v>1701</v>
      </c>
      <c r="J977" t="s">
        <v>1702</v>
      </c>
      <c r="K977" t="s">
        <v>1678</v>
      </c>
      <c r="L977" s="9">
        <f>WEEKDAY(Table1_2[[#This Row],[Transaction date]])</f>
        <v>6</v>
      </c>
    </row>
    <row r="978" spans="1:12" x14ac:dyDescent="0.3">
      <c r="A978" t="str">
        <f t="shared" si="15"/>
        <v>26-Jan 2009</v>
      </c>
      <c r="B978" s="10">
        <v>39839</v>
      </c>
      <c r="C978">
        <v>2009</v>
      </c>
      <c r="D978" s="11">
        <v>0.34583333333333333</v>
      </c>
      <c r="E978" t="s">
        <v>1738</v>
      </c>
      <c r="F978" t="s">
        <v>11</v>
      </c>
      <c r="G978">
        <v>1200</v>
      </c>
      <c r="H978" t="s">
        <v>17</v>
      </c>
      <c r="I978" t="s">
        <v>607</v>
      </c>
      <c r="J978" t="s">
        <v>1703</v>
      </c>
      <c r="K978" t="s">
        <v>1678</v>
      </c>
      <c r="L978" s="9">
        <f>WEEKDAY(Table1_2[[#This Row],[Transaction date]])</f>
        <v>2</v>
      </c>
    </row>
    <row r="979" spans="1:12" x14ac:dyDescent="0.3">
      <c r="A979" t="str">
        <f t="shared" si="15"/>
        <v>08-Jan 2009</v>
      </c>
      <c r="B979" s="10">
        <v>39821</v>
      </c>
      <c r="C979">
        <v>2009</v>
      </c>
      <c r="D979" s="11">
        <v>0.4861111111111111</v>
      </c>
      <c r="E979" t="s">
        <v>1738</v>
      </c>
      <c r="F979" t="s">
        <v>11</v>
      </c>
      <c r="G979">
        <v>1200</v>
      </c>
      <c r="H979" t="s">
        <v>12</v>
      </c>
      <c r="I979" t="s">
        <v>283</v>
      </c>
      <c r="J979" t="s">
        <v>1704</v>
      </c>
      <c r="K979" t="s">
        <v>1678</v>
      </c>
      <c r="L979" s="9">
        <f>WEEKDAY(Table1_2[[#This Row],[Transaction date]])</f>
        <v>5</v>
      </c>
    </row>
    <row r="980" spans="1:12" x14ac:dyDescent="0.3">
      <c r="A980" t="str">
        <f t="shared" si="15"/>
        <v>24-Jan 2009</v>
      </c>
      <c r="B980" s="10">
        <v>39837</v>
      </c>
      <c r="C980">
        <v>2009</v>
      </c>
      <c r="D980" s="11">
        <v>0.27083333333333331</v>
      </c>
      <c r="E980" t="s">
        <v>1738</v>
      </c>
      <c r="F980" t="s">
        <v>11</v>
      </c>
      <c r="G980">
        <v>1200</v>
      </c>
      <c r="H980" t="s">
        <v>12</v>
      </c>
      <c r="I980" t="s">
        <v>1705</v>
      </c>
      <c r="J980" t="s">
        <v>1681</v>
      </c>
      <c r="K980" t="s">
        <v>1678</v>
      </c>
      <c r="L980" s="9">
        <f>WEEKDAY(Table1_2[[#This Row],[Transaction date]])</f>
        <v>7</v>
      </c>
    </row>
    <row r="981" spans="1:12" x14ac:dyDescent="0.3">
      <c r="A981" t="str">
        <f t="shared" si="15"/>
        <v>14-Jan 2009</v>
      </c>
      <c r="B981" s="10">
        <v>39827</v>
      </c>
      <c r="C981">
        <v>2009</v>
      </c>
      <c r="D981" s="11">
        <v>0.27430555555555558</v>
      </c>
      <c r="E981" t="s">
        <v>1738</v>
      </c>
      <c r="F981" t="s">
        <v>11</v>
      </c>
      <c r="G981">
        <v>1200</v>
      </c>
      <c r="H981" t="s">
        <v>12</v>
      </c>
      <c r="I981" t="s">
        <v>291</v>
      </c>
      <c r="J981" t="s">
        <v>1681</v>
      </c>
      <c r="K981" t="s">
        <v>1678</v>
      </c>
      <c r="L981" s="9">
        <f>WEEKDAY(Table1_2[[#This Row],[Transaction date]])</f>
        <v>4</v>
      </c>
    </row>
    <row r="982" spans="1:12" x14ac:dyDescent="0.3">
      <c r="A982" t="str">
        <f t="shared" si="15"/>
        <v>31-Jan 2009</v>
      </c>
      <c r="B982" s="10">
        <v>39844</v>
      </c>
      <c r="C982">
        <v>2009</v>
      </c>
      <c r="D982" s="11">
        <v>0.46458333333333335</v>
      </c>
      <c r="E982" t="s">
        <v>1738</v>
      </c>
      <c r="F982" t="s">
        <v>11</v>
      </c>
      <c r="G982">
        <v>1200</v>
      </c>
      <c r="H982" t="s">
        <v>65</v>
      </c>
      <c r="I982" t="s">
        <v>1706</v>
      </c>
      <c r="J982" t="s">
        <v>1707</v>
      </c>
      <c r="K982" t="s">
        <v>1678</v>
      </c>
      <c r="L982" s="9">
        <f>WEEKDAY(Table1_2[[#This Row],[Transaction date]])</f>
        <v>7</v>
      </c>
    </row>
    <row r="983" spans="1:12" x14ac:dyDescent="0.3">
      <c r="A983" t="str">
        <f t="shared" si="15"/>
        <v>24-Jan 2009</v>
      </c>
      <c r="B983" s="10">
        <v>39837</v>
      </c>
      <c r="C983">
        <v>2009</v>
      </c>
      <c r="D983" s="11">
        <v>0.1423611111111111</v>
      </c>
      <c r="E983" t="s">
        <v>1738</v>
      </c>
      <c r="F983" t="s">
        <v>11</v>
      </c>
      <c r="G983">
        <v>1200</v>
      </c>
      <c r="H983" t="s">
        <v>12</v>
      </c>
      <c r="I983" t="s">
        <v>960</v>
      </c>
      <c r="J983" t="s">
        <v>1708</v>
      </c>
      <c r="K983" t="s">
        <v>1678</v>
      </c>
      <c r="L983" s="9">
        <f>WEEKDAY(Table1_2[[#This Row],[Transaction date]])</f>
        <v>7</v>
      </c>
    </row>
    <row r="984" spans="1:12" x14ac:dyDescent="0.3">
      <c r="A984" t="str">
        <f t="shared" si="15"/>
        <v>12-Jan 2009</v>
      </c>
      <c r="B984" s="10">
        <v>39825</v>
      </c>
      <c r="C984">
        <v>2009</v>
      </c>
      <c r="D984" s="11">
        <v>0.4826388888888889</v>
      </c>
      <c r="E984" t="s">
        <v>1738</v>
      </c>
      <c r="F984" t="s">
        <v>11</v>
      </c>
      <c r="G984">
        <v>1200</v>
      </c>
      <c r="H984" t="s">
        <v>12</v>
      </c>
      <c r="I984" t="s">
        <v>51</v>
      </c>
      <c r="J984" t="s">
        <v>887</v>
      </c>
      <c r="K984" t="s">
        <v>1678</v>
      </c>
      <c r="L984" s="9">
        <f>WEEKDAY(Table1_2[[#This Row],[Transaction date]])</f>
        <v>2</v>
      </c>
    </row>
    <row r="985" spans="1:12" x14ac:dyDescent="0.3">
      <c r="A985" t="str">
        <f t="shared" si="15"/>
        <v>01-Jan 2009</v>
      </c>
      <c r="B985" s="10">
        <v>39814</v>
      </c>
      <c r="C985">
        <v>2009</v>
      </c>
      <c r="D985" s="11">
        <v>0.40277777777777779</v>
      </c>
      <c r="E985" t="s">
        <v>1738</v>
      </c>
      <c r="F985" t="s">
        <v>11</v>
      </c>
      <c r="G985">
        <v>1200</v>
      </c>
      <c r="H985" t="s">
        <v>17</v>
      </c>
      <c r="I985" t="s">
        <v>1573</v>
      </c>
      <c r="J985" t="s">
        <v>1711</v>
      </c>
      <c r="K985" t="s">
        <v>1678</v>
      </c>
      <c r="L985" s="9">
        <f>WEEKDAY(Table1_2[[#This Row],[Transaction date]])</f>
        <v>5</v>
      </c>
    </row>
    <row r="986" spans="1:12" x14ac:dyDescent="0.3">
      <c r="A986" t="str">
        <f t="shared" si="15"/>
        <v>22-Jan 2009</v>
      </c>
      <c r="B986" s="10">
        <v>39835</v>
      </c>
      <c r="C986">
        <v>2009</v>
      </c>
      <c r="D986" s="11">
        <v>0.10555555555555556</v>
      </c>
      <c r="E986" t="s">
        <v>1738</v>
      </c>
      <c r="F986" t="s">
        <v>11</v>
      </c>
      <c r="G986">
        <v>1200</v>
      </c>
      <c r="H986" t="s">
        <v>12</v>
      </c>
      <c r="I986" t="s">
        <v>761</v>
      </c>
      <c r="J986" t="s">
        <v>1712</v>
      </c>
      <c r="K986" t="s">
        <v>1678</v>
      </c>
      <c r="L986" s="9">
        <f>WEEKDAY(Table1_2[[#This Row],[Transaction date]])</f>
        <v>5</v>
      </c>
    </row>
    <row r="987" spans="1:12" x14ac:dyDescent="0.3">
      <c r="A987" t="str">
        <f t="shared" si="15"/>
        <v>23-Jan 2009</v>
      </c>
      <c r="B987" s="10">
        <v>39836</v>
      </c>
      <c r="C987">
        <v>2009</v>
      </c>
      <c r="D987" s="11">
        <v>0.21805555555555556</v>
      </c>
      <c r="E987" t="s">
        <v>1738</v>
      </c>
      <c r="F987" t="s">
        <v>11</v>
      </c>
      <c r="G987">
        <v>1200</v>
      </c>
      <c r="H987" t="s">
        <v>12</v>
      </c>
      <c r="I987" t="s">
        <v>1713</v>
      </c>
      <c r="J987" t="s">
        <v>1681</v>
      </c>
      <c r="K987" t="s">
        <v>1678</v>
      </c>
      <c r="L987" s="9">
        <f>WEEKDAY(Table1_2[[#This Row],[Transaction date]])</f>
        <v>6</v>
      </c>
    </row>
    <row r="988" spans="1:12" x14ac:dyDescent="0.3">
      <c r="A988" t="str">
        <f t="shared" si="15"/>
        <v>03-Jan 2009</v>
      </c>
      <c r="B988" s="10">
        <v>39816</v>
      </c>
      <c r="C988">
        <v>2009</v>
      </c>
      <c r="D988" s="11">
        <v>9.5138888888888884E-2</v>
      </c>
      <c r="E988" t="s">
        <v>1738</v>
      </c>
      <c r="F988" t="s">
        <v>21</v>
      </c>
      <c r="G988">
        <v>200000</v>
      </c>
      <c r="H988" t="s">
        <v>12</v>
      </c>
      <c r="I988" t="s">
        <v>1714</v>
      </c>
      <c r="J988" t="s">
        <v>1715</v>
      </c>
      <c r="K988" t="s">
        <v>1678</v>
      </c>
      <c r="L988" s="9">
        <f>WEEKDAY(Table1_2[[#This Row],[Transaction date]])</f>
        <v>7</v>
      </c>
    </row>
    <row r="989" spans="1:12" x14ac:dyDescent="0.3">
      <c r="A989" t="str">
        <f t="shared" si="15"/>
        <v>04-Jan 2009</v>
      </c>
      <c r="B989" s="10">
        <v>39817</v>
      </c>
      <c r="C989">
        <v>2009</v>
      </c>
      <c r="D989" s="11">
        <v>0.23194444444444445</v>
      </c>
      <c r="E989" t="s">
        <v>1738</v>
      </c>
      <c r="F989" t="s">
        <v>11</v>
      </c>
      <c r="G989">
        <v>1200</v>
      </c>
      <c r="H989" t="s">
        <v>17</v>
      </c>
      <c r="I989" t="s">
        <v>1717</v>
      </c>
      <c r="J989" t="s">
        <v>1718</v>
      </c>
      <c r="K989" t="s">
        <v>1678</v>
      </c>
      <c r="L989" s="9">
        <f>WEEKDAY(Table1_2[[#This Row],[Transaction date]])</f>
        <v>1</v>
      </c>
    </row>
    <row r="990" spans="1:12" x14ac:dyDescent="0.3">
      <c r="A990" t="str">
        <f t="shared" si="15"/>
        <v>19-Jan 2009</v>
      </c>
      <c r="B990" s="10">
        <v>39832</v>
      </c>
      <c r="C990">
        <v>2009</v>
      </c>
      <c r="D990" s="11">
        <v>7.7777777777777779E-2</v>
      </c>
      <c r="E990" t="s">
        <v>1738</v>
      </c>
      <c r="F990" t="s">
        <v>11</v>
      </c>
      <c r="G990">
        <v>1200</v>
      </c>
      <c r="H990" t="s">
        <v>65</v>
      </c>
      <c r="I990" t="s">
        <v>1719</v>
      </c>
      <c r="J990" t="s">
        <v>1681</v>
      </c>
      <c r="K990" t="s">
        <v>1678</v>
      </c>
      <c r="L990" s="9">
        <f>WEEKDAY(Table1_2[[#This Row],[Transaction date]])</f>
        <v>2</v>
      </c>
    </row>
    <row r="991" spans="1:12" x14ac:dyDescent="0.3">
      <c r="A991" t="str">
        <f t="shared" si="15"/>
        <v>14-Jan 2009</v>
      </c>
      <c r="B991" s="10">
        <v>39827</v>
      </c>
      <c r="C991">
        <v>2009</v>
      </c>
      <c r="D991" s="11">
        <v>0.50208333333333333</v>
      </c>
      <c r="E991" t="s">
        <v>1739</v>
      </c>
      <c r="F991" t="s">
        <v>21</v>
      </c>
      <c r="G991">
        <v>200000</v>
      </c>
      <c r="H991" t="s">
        <v>17</v>
      </c>
      <c r="I991" t="s">
        <v>1720</v>
      </c>
      <c r="J991" t="s">
        <v>1721</v>
      </c>
      <c r="K991" t="s">
        <v>1678</v>
      </c>
      <c r="L991" s="9">
        <f>WEEKDAY(Table1_2[[#This Row],[Transaction date]])</f>
        <v>4</v>
      </c>
    </row>
    <row r="992" spans="1:12" x14ac:dyDescent="0.3">
      <c r="A992" t="str">
        <f t="shared" si="15"/>
        <v>20-Jan 2009</v>
      </c>
      <c r="B992" s="10">
        <v>39833</v>
      </c>
      <c r="C992">
        <v>2009</v>
      </c>
      <c r="D992" s="11">
        <v>7.9166666666666663E-2</v>
      </c>
      <c r="E992" t="s">
        <v>1738</v>
      </c>
      <c r="F992" t="s">
        <v>11</v>
      </c>
      <c r="G992">
        <v>1200</v>
      </c>
      <c r="H992" t="s">
        <v>17</v>
      </c>
      <c r="I992" t="s">
        <v>691</v>
      </c>
      <c r="J992" t="s">
        <v>1722</v>
      </c>
      <c r="K992" t="s">
        <v>1678</v>
      </c>
      <c r="L992" s="9">
        <f>WEEKDAY(Table1_2[[#This Row],[Transaction date]])</f>
        <v>3</v>
      </c>
    </row>
    <row r="993" spans="1:12" x14ac:dyDescent="0.3">
      <c r="A993" t="str">
        <f t="shared" si="15"/>
        <v>23-Jan 2009</v>
      </c>
      <c r="B993" s="10">
        <v>39836</v>
      </c>
      <c r="C993">
        <v>2009</v>
      </c>
      <c r="D993" s="11">
        <v>0.39930555555555558</v>
      </c>
      <c r="E993" t="s">
        <v>1738</v>
      </c>
      <c r="F993" t="s">
        <v>11</v>
      </c>
      <c r="G993">
        <v>1200</v>
      </c>
      <c r="H993" t="s">
        <v>12</v>
      </c>
      <c r="I993" t="s">
        <v>314</v>
      </c>
      <c r="J993" t="s">
        <v>1684</v>
      </c>
      <c r="K993" t="s">
        <v>1678</v>
      </c>
      <c r="L993" s="9">
        <f>WEEKDAY(Table1_2[[#This Row],[Transaction date]])</f>
        <v>6</v>
      </c>
    </row>
    <row r="994" spans="1:12" x14ac:dyDescent="0.3">
      <c r="A994" t="str">
        <f t="shared" si="15"/>
        <v>06-Jan 2009</v>
      </c>
      <c r="B994" s="10">
        <v>39819</v>
      </c>
      <c r="C994">
        <v>2009</v>
      </c>
      <c r="D994" s="11">
        <v>0.11180555555555556</v>
      </c>
      <c r="E994" t="s">
        <v>1738</v>
      </c>
      <c r="F994" t="s">
        <v>11</v>
      </c>
      <c r="G994">
        <v>1200</v>
      </c>
      <c r="H994" t="s">
        <v>12</v>
      </c>
      <c r="I994" t="s">
        <v>1723</v>
      </c>
      <c r="J994" t="s">
        <v>887</v>
      </c>
      <c r="K994" t="s">
        <v>1678</v>
      </c>
      <c r="L994" s="9">
        <f>WEEKDAY(Table1_2[[#This Row],[Transaction date]])</f>
        <v>3</v>
      </c>
    </row>
    <row r="995" spans="1:12" x14ac:dyDescent="0.3">
      <c r="A995" t="str">
        <f t="shared" si="15"/>
        <v>02-Jan 2009</v>
      </c>
      <c r="B995" s="10">
        <v>39815</v>
      </c>
      <c r="C995">
        <v>2009</v>
      </c>
      <c r="D995" s="11">
        <v>0.22500000000000001</v>
      </c>
      <c r="E995" t="s">
        <v>1738</v>
      </c>
      <c r="F995" t="s">
        <v>21</v>
      </c>
      <c r="G995">
        <v>200000</v>
      </c>
      <c r="H995" t="s">
        <v>65</v>
      </c>
      <c r="I995" t="s">
        <v>1724</v>
      </c>
      <c r="J995" t="s">
        <v>887</v>
      </c>
      <c r="K995" t="s">
        <v>1678</v>
      </c>
      <c r="L995" s="9">
        <f>WEEKDAY(Table1_2[[#This Row],[Transaction date]])</f>
        <v>6</v>
      </c>
    </row>
    <row r="996" spans="1:12" x14ac:dyDescent="0.3">
      <c r="A996" t="str">
        <f t="shared" si="15"/>
        <v>04-Jan 2009</v>
      </c>
      <c r="B996" s="10">
        <v>39817</v>
      </c>
      <c r="C996">
        <v>2009</v>
      </c>
      <c r="D996" s="11">
        <v>0.28958333333333336</v>
      </c>
      <c r="E996" t="s">
        <v>1738</v>
      </c>
      <c r="F996" t="s">
        <v>11</v>
      </c>
      <c r="G996">
        <v>1200</v>
      </c>
      <c r="H996" t="s">
        <v>17</v>
      </c>
      <c r="I996" t="s">
        <v>1725</v>
      </c>
      <c r="J996" t="s">
        <v>1726</v>
      </c>
      <c r="K996" t="s">
        <v>1678</v>
      </c>
      <c r="L996" s="9">
        <f>WEEKDAY(Table1_2[[#This Row],[Transaction date]])</f>
        <v>1</v>
      </c>
    </row>
    <row r="997" spans="1:12" x14ac:dyDescent="0.3">
      <c r="A997" t="str">
        <f t="shared" si="15"/>
        <v>23-Jan 2009</v>
      </c>
      <c r="B997" s="10">
        <v>39836</v>
      </c>
      <c r="C997">
        <v>2009</v>
      </c>
      <c r="D997" s="11">
        <v>0.52916666666666667</v>
      </c>
      <c r="E997" t="s">
        <v>1739</v>
      </c>
      <c r="F997" t="s">
        <v>21</v>
      </c>
      <c r="G997">
        <v>200000</v>
      </c>
      <c r="H997" t="s">
        <v>17</v>
      </c>
      <c r="I997" t="s">
        <v>1727</v>
      </c>
      <c r="J997" t="s">
        <v>1728</v>
      </c>
      <c r="K997" t="s">
        <v>1678</v>
      </c>
      <c r="L997" s="9">
        <f>WEEKDAY(Table1_2[[#This Row],[Transaction date]])</f>
        <v>6</v>
      </c>
    </row>
    <row r="998" spans="1:12" x14ac:dyDescent="0.3">
      <c r="A998" t="str">
        <f t="shared" si="15"/>
        <v>07-Jan 2009</v>
      </c>
      <c r="B998" s="10">
        <v>39820</v>
      </c>
      <c r="C998">
        <v>2009</v>
      </c>
      <c r="D998" s="11">
        <v>0.32500000000000001</v>
      </c>
      <c r="E998" t="s">
        <v>1738</v>
      </c>
      <c r="F998" t="s">
        <v>21</v>
      </c>
      <c r="G998">
        <v>200000</v>
      </c>
      <c r="H998" t="s">
        <v>17</v>
      </c>
      <c r="I998" t="s">
        <v>1729</v>
      </c>
      <c r="J998" t="s">
        <v>1690</v>
      </c>
      <c r="K998" t="s">
        <v>1678</v>
      </c>
      <c r="L998" s="9">
        <f>WEEKDAY(Table1_2[[#This Row],[Transaction date]])</f>
        <v>4</v>
      </c>
    </row>
    <row r="999" spans="1:12" x14ac:dyDescent="0.3">
      <c r="A999" t="str">
        <f t="shared" si="15"/>
        <v>25-Jan 2009</v>
      </c>
      <c r="B999" s="10">
        <v>39838</v>
      </c>
      <c r="C999">
        <v>2009</v>
      </c>
      <c r="D999" s="11">
        <v>0.24791666666666667</v>
      </c>
      <c r="E999" t="s">
        <v>1738</v>
      </c>
      <c r="F999" t="s">
        <v>11</v>
      </c>
      <c r="G999">
        <v>1200</v>
      </c>
      <c r="H999" t="s">
        <v>65</v>
      </c>
      <c r="I999" t="s">
        <v>1730</v>
      </c>
      <c r="J999" t="s">
        <v>1731</v>
      </c>
      <c r="K999" t="s">
        <v>1733</v>
      </c>
      <c r="L999" s="9">
        <f>WEEKDAY(Table1_2[[#This Row],[Transaction date]])</f>
        <v>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B34EB-C073-4D59-98E7-7D4F3497A631}">
  <sheetPr codeName="Sheet4"/>
  <dimension ref="A1"/>
  <sheetViews>
    <sheetView showGridLines="0" tabSelected="1" zoomScale="90" zoomScaleNormal="90" workbookViewId="0">
      <selection activeCell="Y18" sqref="Y18"/>
    </sheetView>
  </sheetViews>
  <sheetFormatPr defaultRowHeight="14.4" x14ac:dyDescent="0.3"/>
  <cols>
    <col min="1" max="16384" width="8.88671875" style="12"/>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348CA4-5FD5-4EFF-9696-126227738FC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Dataset </vt:lpstr>
      <vt:lpstr>time range </vt:lpstr>
      <vt:lpstr>sales analysis</vt:lpstr>
      <vt:lpstr>Sheet5</vt:lpstr>
      <vt:lpstr>Sheet3</vt:lpstr>
      <vt:lpstr>am pm</vt:lpstr>
      <vt:lpstr>country</vt:lpstr>
      <vt:lpstr>cleaned dataset</vt:lpstr>
      <vt:lpstr>dashbard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mehul chafekar</dc:creator>
  <cp:lastModifiedBy>Mehul Chafekar</cp:lastModifiedBy>
  <dcterms:created xsi:type="dcterms:W3CDTF">2015-06-05T18:17:20Z</dcterms:created>
  <dcterms:modified xsi:type="dcterms:W3CDTF">2024-08-26T05:29:07Z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2024-08-16T16:39:34Z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573ff913-268d-4753-a455-703d328a45b2</vt:lpwstr>
  </property>
  <property fmtid="{D5CDD505-2E9C-101B-9397-08002B2CF9AE}" pid="7" name="MSIP_Label_defa4170-0d19-0005-0004-bc88714345d2_ActionId">
    <vt:lpwstr>3e854863-d47f-48b8-809d-93bab3052fb1</vt:lpwstr>
  </property>
  <property fmtid="{D5CDD505-2E9C-101B-9397-08002B2CF9AE}" pid="8" name="MSIP_Label_defa4170-0d19-0005-0004-bc88714345d2_ContentBits">
    <vt:lpwstr>0</vt:lpwstr>
  </property>
</Properties>
</file>